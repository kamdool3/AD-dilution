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ster\Desktop\"/>
    </mc:Choice>
  </mc:AlternateContent>
  <xr:revisionPtr revIDLastSave="0" documentId="13_ncr:1_{C1B3EAC9-BAFB-4E54-8B1C-CDD6C21CC54C}" xr6:coauthVersionLast="36" xr6:coauthVersionMax="36" xr10:uidLastSave="{00000000-0000-0000-0000-000000000000}"/>
  <bookViews>
    <workbookView xWindow="0" yWindow="0" windowWidth="28800" windowHeight="11400" activeTab="9" xr2:uid="{00000000-000D-0000-FFFF-FFFF00000000}"/>
  </bookViews>
  <sheets>
    <sheet name="README" sheetId="1" r:id="rId1"/>
    <sheet name="Inputs" sheetId="2" r:id="rId2"/>
    <sheet name="Reservoir" sheetId="3" r:id="rId3"/>
    <sheet name="Chemistry_Daily" sheetId="4" r:id="rId4"/>
    <sheet name="BAC_ARC_Daily" sheetId="5" r:id="rId5"/>
    <sheet name="NGS_Bacteria_Input" sheetId="6" state="hidden" r:id="rId6"/>
    <sheet name="NGS_Archaea_Input" sheetId="7" state="hidden" r:id="rId7"/>
    <sheet name="NGS_Bacteria_Daily" sheetId="8" state="hidden" r:id="rId8"/>
    <sheet name="NGS_Archaea_Daily" sheetId="9" state="hidden" r:id="rId9"/>
    <sheet name="Observed_Compare" sheetId="10" r:id="rId10"/>
  </sheets>
  <calcPr calcId="191029"/>
</workbook>
</file>

<file path=xl/calcChain.xml><?xml version="1.0" encoding="utf-8"?>
<calcChain xmlns="http://schemas.openxmlformats.org/spreadsheetml/2006/main">
  <c r="C22" i="10" l="1"/>
  <c r="C21" i="10"/>
  <c r="C20" i="10"/>
  <c r="C19" i="10"/>
  <c r="C18" i="10"/>
  <c r="C17" i="10"/>
  <c r="C16" i="10"/>
  <c r="C11" i="10"/>
  <c r="C10" i="10"/>
  <c r="C9" i="10"/>
  <c r="C8" i="10"/>
  <c r="C7" i="10"/>
  <c r="C6" i="10"/>
  <c r="C5" i="10"/>
  <c r="A157" i="9"/>
  <c r="A156" i="9"/>
  <c r="A155" i="9"/>
  <c r="A154" i="9"/>
  <c r="A153" i="9"/>
  <c r="A152" i="9"/>
  <c r="A151" i="9"/>
  <c r="B150" i="9"/>
  <c r="A150" i="9"/>
  <c r="A149" i="9"/>
  <c r="A148" i="9"/>
  <c r="A147" i="9"/>
  <c r="B144" i="9"/>
  <c r="A144" i="9"/>
  <c r="B143" i="9"/>
  <c r="A143" i="9"/>
  <c r="B142" i="9"/>
  <c r="A142" i="9"/>
  <c r="B141" i="9"/>
  <c r="A141" i="9"/>
  <c r="B140" i="9"/>
  <c r="A140" i="9"/>
  <c r="B139" i="9"/>
  <c r="A139" i="9"/>
  <c r="B138" i="9"/>
  <c r="A138" i="9"/>
  <c r="B137" i="9"/>
  <c r="A137" i="9"/>
  <c r="B136" i="9"/>
  <c r="A136" i="9"/>
  <c r="B135" i="9"/>
  <c r="A135" i="9"/>
  <c r="B134" i="9"/>
  <c r="A134" i="9"/>
  <c r="A129" i="9"/>
  <c r="A128" i="9"/>
  <c r="A127" i="9"/>
  <c r="A126" i="9"/>
  <c r="A125" i="9"/>
  <c r="A124" i="9"/>
  <c r="A123" i="9"/>
  <c r="A122" i="9"/>
  <c r="A121" i="9"/>
  <c r="A120" i="9"/>
  <c r="A119" i="9"/>
  <c r="B116" i="9"/>
  <c r="A116" i="9"/>
  <c r="B115" i="9"/>
  <c r="A115" i="9"/>
  <c r="B114" i="9"/>
  <c r="A114" i="9"/>
  <c r="B113" i="9"/>
  <c r="A113" i="9"/>
  <c r="B112" i="9"/>
  <c r="A112" i="9"/>
  <c r="B111" i="9"/>
  <c r="A111" i="9"/>
  <c r="B110" i="9"/>
  <c r="A110" i="9"/>
  <c r="B109" i="9"/>
  <c r="A109" i="9"/>
  <c r="B108" i="9"/>
  <c r="A108" i="9"/>
  <c r="B107" i="9"/>
  <c r="A107" i="9"/>
  <c r="B106" i="9"/>
  <c r="A106" i="9"/>
  <c r="A101" i="9"/>
  <c r="A100" i="9"/>
  <c r="A99" i="9"/>
  <c r="A98" i="9"/>
  <c r="A97" i="9"/>
  <c r="A96" i="9"/>
  <c r="A95" i="9"/>
  <c r="A94" i="9"/>
  <c r="A93" i="9"/>
  <c r="A92" i="9"/>
  <c r="A91" i="9"/>
  <c r="B88" i="9"/>
  <c r="A88" i="9"/>
  <c r="B87" i="9"/>
  <c r="A87" i="9"/>
  <c r="B86" i="9"/>
  <c r="A86" i="9"/>
  <c r="B85" i="9"/>
  <c r="A85" i="9"/>
  <c r="B84" i="9"/>
  <c r="A84" i="9"/>
  <c r="B83" i="9"/>
  <c r="A83" i="9"/>
  <c r="B82" i="9"/>
  <c r="A82" i="9"/>
  <c r="B81" i="9"/>
  <c r="A81" i="9"/>
  <c r="B80" i="9"/>
  <c r="A80" i="9"/>
  <c r="B79" i="9"/>
  <c r="A79" i="9"/>
  <c r="B78" i="9"/>
  <c r="A78" i="9"/>
  <c r="A73" i="9"/>
  <c r="A72" i="9"/>
  <c r="A71" i="9"/>
  <c r="A70" i="9"/>
  <c r="A69" i="9"/>
  <c r="A68" i="9"/>
  <c r="A67" i="9"/>
  <c r="A66" i="9"/>
  <c r="A65" i="9"/>
  <c r="A64" i="9"/>
  <c r="A63" i="9"/>
  <c r="B60" i="9"/>
  <c r="A60" i="9"/>
  <c r="B59" i="9"/>
  <c r="A59" i="9"/>
  <c r="B58" i="9"/>
  <c r="A58" i="9"/>
  <c r="B57" i="9"/>
  <c r="A57" i="9"/>
  <c r="B56" i="9"/>
  <c r="A56" i="9"/>
  <c r="B55" i="9"/>
  <c r="A55" i="9"/>
  <c r="B54" i="9"/>
  <c r="A54" i="9"/>
  <c r="B53" i="9"/>
  <c r="A53" i="9"/>
  <c r="B52" i="9"/>
  <c r="A52" i="9"/>
  <c r="B51" i="9"/>
  <c r="A51" i="9"/>
  <c r="B50" i="9"/>
  <c r="A50" i="9"/>
  <c r="A45" i="9"/>
  <c r="A44" i="9"/>
  <c r="A43" i="9"/>
  <c r="A42" i="9"/>
  <c r="A41" i="9"/>
  <c r="A40" i="9"/>
  <c r="A39" i="9"/>
  <c r="A38" i="9"/>
  <c r="A37" i="9"/>
  <c r="A36" i="9"/>
  <c r="A35" i="9"/>
  <c r="B32" i="9"/>
  <c r="A32" i="9"/>
  <c r="B31" i="9"/>
  <c r="A31" i="9"/>
  <c r="B30" i="9"/>
  <c r="A30" i="9"/>
  <c r="B29" i="9"/>
  <c r="A29" i="9"/>
  <c r="B28" i="9"/>
  <c r="A28" i="9"/>
  <c r="B27" i="9"/>
  <c r="A27" i="9"/>
  <c r="B26" i="9"/>
  <c r="A26" i="9"/>
  <c r="B25" i="9"/>
  <c r="A25" i="9"/>
  <c r="B24" i="9"/>
  <c r="A24" i="9"/>
  <c r="B23" i="9"/>
  <c r="A23" i="9"/>
  <c r="B22" i="9"/>
  <c r="A22" i="9"/>
  <c r="A15" i="9"/>
  <c r="A14" i="9"/>
  <c r="A13" i="9"/>
  <c r="A12" i="9"/>
  <c r="A11" i="9"/>
  <c r="A10" i="9"/>
  <c r="A9" i="9"/>
  <c r="A8" i="9"/>
  <c r="A7" i="9"/>
  <c r="A6" i="9"/>
  <c r="A5" i="9"/>
  <c r="A157" i="8"/>
  <c r="A156" i="8"/>
  <c r="A155" i="8"/>
  <c r="A154" i="8"/>
  <c r="A153" i="8"/>
  <c r="A152" i="8"/>
  <c r="A151" i="8"/>
  <c r="A150" i="8"/>
  <c r="A149" i="8"/>
  <c r="A148" i="8"/>
  <c r="A147" i="8"/>
  <c r="B144" i="8"/>
  <c r="A144" i="8"/>
  <c r="B143" i="8"/>
  <c r="A143" i="8"/>
  <c r="B142" i="8"/>
  <c r="A142" i="8"/>
  <c r="B141" i="8"/>
  <c r="A141" i="8"/>
  <c r="B140" i="8"/>
  <c r="A140" i="8"/>
  <c r="B139" i="8"/>
  <c r="A139" i="8"/>
  <c r="B138" i="8"/>
  <c r="B151" i="8" s="1"/>
  <c r="A138" i="8"/>
  <c r="B137" i="8"/>
  <c r="A137" i="8"/>
  <c r="B136" i="8"/>
  <c r="A136" i="8"/>
  <c r="B135" i="8"/>
  <c r="A135" i="8"/>
  <c r="B134" i="8"/>
  <c r="A134" i="8"/>
  <c r="A129" i="8"/>
  <c r="A128" i="8"/>
  <c r="A127" i="8"/>
  <c r="A126" i="8"/>
  <c r="A125" i="8"/>
  <c r="A124" i="8"/>
  <c r="A123" i="8"/>
  <c r="A122" i="8"/>
  <c r="A121" i="8"/>
  <c r="A120" i="8"/>
  <c r="A119" i="8"/>
  <c r="B116" i="8"/>
  <c r="A116" i="8"/>
  <c r="B115" i="8"/>
  <c r="A115" i="8"/>
  <c r="B114" i="8"/>
  <c r="A114" i="8"/>
  <c r="B113" i="8"/>
  <c r="C113" i="8" s="1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A101" i="8"/>
  <c r="A100" i="8"/>
  <c r="A99" i="8"/>
  <c r="A98" i="8"/>
  <c r="B97" i="8"/>
  <c r="A97" i="8"/>
  <c r="A96" i="8"/>
  <c r="A95" i="8"/>
  <c r="B94" i="8"/>
  <c r="A94" i="8"/>
  <c r="A93" i="8"/>
  <c r="A92" i="8"/>
  <c r="A91" i="8"/>
  <c r="B88" i="8"/>
  <c r="A88" i="8"/>
  <c r="B87" i="8"/>
  <c r="A87" i="8"/>
  <c r="B86" i="8"/>
  <c r="A86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A73" i="8"/>
  <c r="A72" i="8"/>
  <c r="A71" i="8"/>
  <c r="A70" i="8"/>
  <c r="A69" i="8"/>
  <c r="A68" i="8"/>
  <c r="A67" i="8"/>
  <c r="A66" i="8"/>
  <c r="A65" i="8"/>
  <c r="A64" i="8"/>
  <c r="A63" i="8"/>
  <c r="B60" i="8"/>
  <c r="A60" i="8"/>
  <c r="B59" i="8"/>
  <c r="A59" i="8"/>
  <c r="B58" i="8"/>
  <c r="A58" i="8"/>
  <c r="B57" i="8"/>
  <c r="B12" i="8" s="1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50" i="8"/>
  <c r="A50" i="8"/>
  <c r="A45" i="8"/>
  <c r="B44" i="8"/>
  <c r="A44" i="8"/>
  <c r="A43" i="8"/>
  <c r="A42" i="8"/>
  <c r="A41" i="8"/>
  <c r="A40" i="8"/>
  <c r="A39" i="8"/>
  <c r="A38" i="8"/>
  <c r="A37" i="8"/>
  <c r="A36" i="8"/>
  <c r="A35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A15" i="8"/>
  <c r="A14" i="8"/>
  <c r="A13" i="8"/>
  <c r="A12" i="8"/>
  <c r="A11" i="8"/>
  <c r="A10" i="8"/>
  <c r="A9" i="8"/>
  <c r="A8" i="8"/>
  <c r="A7" i="8"/>
  <c r="A6" i="8"/>
  <c r="A5" i="8"/>
  <c r="H17" i="7"/>
  <c r="G17" i="7"/>
  <c r="F17" i="7"/>
  <c r="E17" i="7"/>
  <c r="H15" i="7"/>
  <c r="G15" i="7"/>
  <c r="F15" i="7"/>
  <c r="E15" i="7"/>
  <c r="D15" i="7"/>
  <c r="D17" i="7" s="1"/>
  <c r="C15" i="7"/>
  <c r="C17" i="7" s="1"/>
  <c r="B15" i="7"/>
  <c r="B17" i="7" s="1"/>
  <c r="H17" i="6"/>
  <c r="G17" i="6"/>
  <c r="F17" i="6"/>
  <c r="D17" i="6"/>
  <c r="B17" i="6"/>
  <c r="H15" i="6"/>
  <c r="G15" i="6"/>
  <c r="F15" i="6"/>
  <c r="E15" i="6"/>
  <c r="E17" i="6" s="1"/>
  <c r="D15" i="6"/>
  <c r="C15" i="6"/>
  <c r="C17" i="6" s="1"/>
  <c r="B15" i="6"/>
  <c r="AE5" i="5"/>
  <c r="AD5" i="5"/>
  <c r="B148" i="8" s="1"/>
  <c r="X5" i="5"/>
  <c r="W5" i="5"/>
  <c r="B119" i="8" s="1"/>
  <c r="Q5" i="5"/>
  <c r="B100" i="9" s="1"/>
  <c r="P5" i="5"/>
  <c r="R5" i="5" s="1"/>
  <c r="J5" i="5"/>
  <c r="I5" i="5"/>
  <c r="B67" i="8" s="1"/>
  <c r="C5" i="5"/>
  <c r="B5" i="5"/>
  <c r="B42" i="8" s="1"/>
  <c r="AQ5" i="4"/>
  <c r="AP5" i="4"/>
  <c r="AO5" i="4"/>
  <c r="AN5" i="4"/>
  <c r="AM5" i="4"/>
  <c r="AL5" i="4"/>
  <c r="AH5" i="4"/>
  <c r="AG5" i="4"/>
  <c r="AF5" i="4"/>
  <c r="AE5" i="4"/>
  <c r="AD5" i="4"/>
  <c r="AC5" i="4"/>
  <c r="Y5" i="4"/>
  <c r="X5" i="4"/>
  <c r="W5" i="4"/>
  <c r="V5" i="4"/>
  <c r="U5" i="4"/>
  <c r="T5" i="4"/>
  <c r="P5" i="4"/>
  <c r="O5" i="4"/>
  <c r="N5" i="4"/>
  <c r="M5" i="4"/>
  <c r="L5" i="4"/>
  <c r="K5" i="4"/>
  <c r="G5" i="4"/>
  <c r="F5" i="4"/>
  <c r="E5" i="4"/>
  <c r="D5" i="4"/>
  <c r="C5" i="4"/>
  <c r="B5" i="4"/>
  <c r="H16" i="2"/>
  <c r="G16" i="2"/>
  <c r="F16" i="2"/>
  <c r="G15" i="2"/>
  <c r="H15" i="2" s="1"/>
  <c r="F15" i="2"/>
  <c r="G14" i="2"/>
  <c r="H14" i="2" s="1"/>
  <c r="F14" i="2"/>
  <c r="H13" i="2"/>
  <c r="G13" i="2"/>
  <c r="F13" i="2"/>
  <c r="H12" i="2"/>
  <c r="G12" i="2"/>
  <c r="F12" i="2"/>
  <c r="B6" i="2"/>
  <c r="B7" i="9" l="1"/>
  <c r="C136" i="9"/>
  <c r="B11" i="9"/>
  <c r="C28" i="9" s="1"/>
  <c r="C52" i="9"/>
  <c r="C108" i="9"/>
  <c r="C86" i="9"/>
  <c r="C24" i="9"/>
  <c r="C113" i="9"/>
  <c r="C88" i="9"/>
  <c r="C80" i="9"/>
  <c r="C84" i="9"/>
  <c r="B148" i="9"/>
  <c r="C141" i="9"/>
  <c r="C115" i="9"/>
  <c r="B5" i="9"/>
  <c r="C134" i="9" s="1"/>
  <c r="T5" i="5"/>
  <c r="B9" i="9"/>
  <c r="C110" i="9" s="1"/>
  <c r="C27" i="9"/>
  <c r="AH5" i="5"/>
  <c r="C111" i="9"/>
  <c r="B12" i="9"/>
  <c r="C57" i="9" s="1"/>
  <c r="C140" i="9"/>
  <c r="B6" i="9"/>
  <c r="C51" i="9" s="1"/>
  <c r="C116" i="9"/>
  <c r="C141" i="8"/>
  <c r="C55" i="8"/>
  <c r="C29" i="8"/>
  <c r="C110" i="8"/>
  <c r="C50" i="8"/>
  <c r="C86" i="8"/>
  <c r="C28" i="8"/>
  <c r="C57" i="8"/>
  <c r="C12" i="8" s="1"/>
  <c r="D113" i="8" s="1"/>
  <c r="H5" i="3"/>
  <c r="C51" i="8"/>
  <c r="B126" i="8"/>
  <c r="B120" i="8"/>
  <c r="B128" i="8"/>
  <c r="C139" i="8"/>
  <c r="C53" i="8"/>
  <c r="C23" i="8"/>
  <c r="B99" i="8"/>
  <c r="AF5" i="5"/>
  <c r="C85" i="8"/>
  <c r="B39" i="8"/>
  <c r="B69" i="8"/>
  <c r="C114" i="8"/>
  <c r="C112" i="8"/>
  <c r="C106" i="8"/>
  <c r="C138" i="8"/>
  <c r="AG5" i="5"/>
  <c r="C142" i="8"/>
  <c r="B37" i="8"/>
  <c r="K5" i="5"/>
  <c r="L5" i="5"/>
  <c r="C115" i="8"/>
  <c r="B124" i="8"/>
  <c r="C59" i="8"/>
  <c r="B10" i="8"/>
  <c r="C111" i="8" s="1"/>
  <c r="B71" i="8"/>
  <c r="B149" i="8"/>
  <c r="C83" i="8"/>
  <c r="E5" i="5"/>
  <c r="C27" i="8"/>
  <c r="B6" i="8"/>
  <c r="C107" i="8" s="1"/>
  <c r="AI5" i="4"/>
  <c r="E5" i="3"/>
  <c r="W6" i="4" s="1"/>
  <c r="Z5" i="4"/>
  <c r="D5" i="3"/>
  <c r="V6" i="4" s="1"/>
  <c r="M5" i="5"/>
  <c r="B157" i="8"/>
  <c r="B153" i="8"/>
  <c r="C140" i="8"/>
  <c r="B14" i="9"/>
  <c r="C31" i="9" s="1"/>
  <c r="G5" i="3"/>
  <c r="Y6" i="4" s="1"/>
  <c r="H5" i="4"/>
  <c r="AR5" i="4"/>
  <c r="F5" i="3"/>
  <c r="X6" i="4" s="1"/>
  <c r="B63" i="9"/>
  <c r="B64" i="9"/>
  <c r="B65" i="9"/>
  <c r="B66" i="9"/>
  <c r="B70" i="9"/>
  <c r="B69" i="9"/>
  <c r="B67" i="9"/>
  <c r="B72" i="9"/>
  <c r="B68" i="9"/>
  <c r="B71" i="9"/>
  <c r="B73" i="9"/>
  <c r="B5" i="3"/>
  <c r="AL6" i="4" s="1"/>
  <c r="Q5" i="4"/>
  <c r="B8" i="8"/>
  <c r="C137" i="8" s="1"/>
  <c r="B15" i="8"/>
  <c r="C88" i="8" s="1"/>
  <c r="B38" i="8"/>
  <c r="B5" i="8"/>
  <c r="C134" i="8" s="1"/>
  <c r="B13" i="8"/>
  <c r="C30" i="8" s="1"/>
  <c r="C58" i="8"/>
  <c r="B44" i="9"/>
  <c r="B45" i="9"/>
  <c r="B40" i="9"/>
  <c r="B37" i="9"/>
  <c r="B36" i="9"/>
  <c r="B39" i="9"/>
  <c r="B41" i="9"/>
  <c r="I5" i="3"/>
  <c r="AE6" i="5" s="1"/>
  <c r="B35" i="9"/>
  <c r="B43" i="9"/>
  <c r="B38" i="9"/>
  <c r="B42" i="9"/>
  <c r="F5" i="5"/>
  <c r="B7" i="8"/>
  <c r="C24" i="8" s="1"/>
  <c r="B10" i="9"/>
  <c r="C55" i="9" s="1"/>
  <c r="D5" i="5"/>
  <c r="C22" i="8"/>
  <c r="B72" i="8"/>
  <c r="B73" i="8"/>
  <c r="B68" i="8"/>
  <c r="B64" i="8"/>
  <c r="B63" i="8"/>
  <c r="B66" i="8"/>
  <c r="B70" i="8"/>
  <c r="B65" i="8"/>
  <c r="B93" i="8"/>
  <c r="B95" i="8"/>
  <c r="B92" i="9"/>
  <c r="B93" i="9"/>
  <c r="B94" i="9"/>
  <c r="B95" i="9"/>
  <c r="B96" i="9"/>
  <c r="B98" i="9"/>
  <c r="B97" i="9"/>
  <c r="B91" i="9"/>
  <c r="B99" i="9"/>
  <c r="B101" i="9"/>
  <c r="B91" i="8"/>
  <c r="B100" i="8"/>
  <c r="B92" i="8"/>
  <c r="B101" i="8"/>
  <c r="B98" i="8"/>
  <c r="B96" i="8"/>
  <c r="S5" i="5"/>
  <c r="B127" i="8"/>
  <c r="B121" i="8"/>
  <c r="B125" i="8"/>
  <c r="B129" i="8"/>
  <c r="Z5" i="5"/>
  <c r="B123" i="8"/>
  <c r="Y5" i="5"/>
  <c r="B122" i="8"/>
  <c r="B122" i="9"/>
  <c r="B123" i="9"/>
  <c r="B124" i="9"/>
  <c r="B125" i="9"/>
  <c r="B126" i="9"/>
  <c r="B120" i="9"/>
  <c r="B128" i="9"/>
  <c r="B127" i="9"/>
  <c r="B129" i="9"/>
  <c r="B119" i="9"/>
  <c r="B121" i="9"/>
  <c r="AA5" i="5"/>
  <c r="B9" i="8"/>
  <c r="B11" i="8"/>
  <c r="C84" i="8" s="1"/>
  <c r="B14" i="8"/>
  <c r="C31" i="8" s="1"/>
  <c r="B43" i="8"/>
  <c r="B45" i="8"/>
  <c r="B36" i="8"/>
  <c r="B41" i="8"/>
  <c r="B35" i="8"/>
  <c r="B40" i="8"/>
  <c r="B8" i="9"/>
  <c r="C137" i="9" s="1"/>
  <c r="B152" i="8"/>
  <c r="B155" i="8"/>
  <c r="B156" i="8"/>
  <c r="B154" i="8"/>
  <c r="B150" i="8"/>
  <c r="B147" i="8"/>
  <c r="B152" i="9"/>
  <c r="B153" i="9"/>
  <c r="B154" i="9"/>
  <c r="B155" i="9"/>
  <c r="B156" i="9"/>
  <c r="B157" i="9"/>
  <c r="B149" i="9"/>
  <c r="B147" i="9"/>
  <c r="B151" i="9"/>
  <c r="AD6" i="5"/>
  <c r="B13" i="9"/>
  <c r="C30" i="9" s="1"/>
  <c r="B15" i="9"/>
  <c r="C144" i="9" s="1"/>
  <c r="C32" i="9"/>
  <c r="C114" i="9" l="1"/>
  <c r="C109" i="9"/>
  <c r="C60" i="9"/>
  <c r="C143" i="9"/>
  <c r="C59" i="9"/>
  <c r="C23" i="9"/>
  <c r="C81" i="9"/>
  <c r="C56" i="9"/>
  <c r="C85" i="9"/>
  <c r="C53" i="9"/>
  <c r="C66" i="9" s="1"/>
  <c r="C106" i="9"/>
  <c r="C79" i="9"/>
  <c r="C22" i="9"/>
  <c r="C112" i="9"/>
  <c r="C50" i="9"/>
  <c r="C29" i="9"/>
  <c r="C12" i="9" s="1"/>
  <c r="D85" i="9" s="1"/>
  <c r="C147" i="9"/>
  <c r="C150" i="9"/>
  <c r="C149" i="9"/>
  <c r="C153" i="9"/>
  <c r="C154" i="9"/>
  <c r="AH6" i="5"/>
  <c r="C148" i="9"/>
  <c r="C156" i="9"/>
  <c r="C157" i="9"/>
  <c r="C6" i="5"/>
  <c r="J6" i="5"/>
  <c r="C78" i="9"/>
  <c r="C138" i="9"/>
  <c r="C151" i="9" s="1"/>
  <c r="C54" i="9"/>
  <c r="C142" i="9"/>
  <c r="C155" i="9" s="1"/>
  <c r="X6" i="5"/>
  <c r="C124" i="9" s="1"/>
  <c r="C139" i="9"/>
  <c r="C152" i="9" s="1"/>
  <c r="C82" i="9"/>
  <c r="C25" i="9"/>
  <c r="C8" i="9" s="1"/>
  <c r="D109" i="9" s="1"/>
  <c r="C26" i="9"/>
  <c r="C58" i="9"/>
  <c r="C13" i="9" s="1"/>
  <c r="D30" i="9" s="1"/>
  <c r="C83" i="9"/>
  <c r="C135" i="9"/>
  <c r="C87" i="9"/>
  <c r="C14" i="9" s="1"/>
  <c r="C7" i="9"/>
  <c r="D136" i="9" s="1"/>
  <c r="C107" i="9"/>
  <c r="C6" i="9" s="1"/>
  <c r="C11" i="9"/>
  <c r="D84" i="9" s="1"/>
  <c r="Q6" i="5"/>
  <c r="P6" i="5"/>
  <c r="B6" i="5"/>
  <c r="I6" i="5"/>
  <c r="C71" i="8" s="1"/>
  <c r="D57" i="8"/>
  <c r="C60" i="8"/>
  <c r="C80" i="8"/>
  <c r="C81" i="8"/>
  <c r="C52" i="8"/>
  <c r="D85" i="8"/>
  <c r="C87" i="8"/>
  <c r="C144" i="8"/>
  <c r="C157" i="8" s="1"/>
  <c r="C78" i="8"/>
  <c r="C5" i="8" s="1"/>
  <c r="C143" i="8"/>
  <c r="C156" i="8" s="1"/>
  <c r="C32" i="8"/>
  <c r="C15" i="8" s="1"/>
  <c r="D88" i="8" s="1"/>
  <c r="C136" i="8"/>
  <c r="C116" i="8"/>
  <c r="C26" i="8"/>
  <c r="C82" i="8"/>
  <c r="C54" i="8"/>
  <c r="C109" i="8"/>
  <c r="C25" i="8"/>
  <c r="C56" i="8"/>
  <c r="C108" i="8"/>
  <c r="W6" i="5"/>
  <c r="C124" i="8" s="1"/>
  <c r="C79" i="8"/>
  <c r="C6" i="8" s="1"/>
  <c r="C135" i="8"/>
  <c r="C148" i="8" s="1"/>
  <c r="C10" i="8"/>
  <c r="D27" i="8" s="1"/>
  <c r="D29" i="8"/>
  <c r="D141" i="8"/>
  <c r="AQ6" i="4"/>
  <c r="AP6" i="4"/>
  <c r="Z6" i="4"/>
  <c r="AO6" i="4"/>
  <c r="AN6" i="4"/>
  <c r="AM6" i="4"/>
  <c r="AH6" i="4"/>
  <c r="AF6" i="4"/>
  <c r="AG6" i="4"/>
  <c r="M6" i="4"/>
  <c r="AE6" i="4"/>
  <c r="B6" i="4"/>
  <c r="AC6" i="4"/>
  <c r="P6" i="4"/>
  <c r="O6" i="4"/>
  <c r="N6" i="4"/>
  <c r="K6" i="4"/>
  <c r="G6" i="4"/>
  <c r="F6" i="4"/>
  <c r="E6" i="4"/>
  <c r="D6" i="4"/>
  <c r="C5" i="3"/>
  <c r="T6" i="4"/>
  <c r="C13" i="8"/>
  <c r="D86" i="8" s="1"/>
  <c r="C64" i="9"/>
  <c r="C65" i="9"/>
  <c r="C119" i="8"/>
  <c r="C128" i="8"/>
  <c r="C127" i="8"/>
  <c r="C126" i="8"/>
  <c r="C153" i="8"/>
  <c r="C155" i="8"/>
  <c r="C151" i="8"/>
  <c r="C147" i="8"/>
  <c r="C150" i="8"/>
  <c r="C154" i="8"/>
  <c r="C152" i="8"/>
  <c r="AG6" i="5"/>
  <c r="AF6" i="5"/>
  <c r="C35" i="8"/>
  <c r="C15" i="9"/>
  <c r="D32" i="9" s="1"/>
  <c r="D24" i="9" l="1"/>
  <c r="D116" i="9"/>
  <c r="C5" i="9"/>
  <c r="C67" i="9"/>
  <c r="C63" i="9"/>
  <c r="D22" i="8"/>
  <c r="D50" i="8"/>
  <c r="D114" i="8"/>
  <c r="D12" i="8"/>
  <c r="E113" i="8" s="1"/>
  <c r="D142" i="8"/>
  <c r="D6" i="3"/>
  <c r="Q6" i="4"/>
  <c r="B6" i="3"/>
  <c r="C6" i="3" s="1"/>
  <c r="D50" i="9"/>
  <c r="D22" i="9"/>
  <c r="C10" i="9"/>
  <c r="D139" i="9" s="1"/>
  <c r="C68" i="9"/>
  <c r="C72" i="9"/>
  <c r="C73" i="9"/>
  <c r="M6" i="5"/>
  <c r="C70" i="9"/>
  <c r="D60" i="9"/>
  <c r="C69" i="9"/>
  <c r="C71" i="9"/>
  <c r="D107" i="8"/>
  <c r="D51" i="8"/>
  <c r="D23" i="8"/>
  <c r="D139" i="8"/>
  <c r="H6" i="3"/>
  <c r="B7" i="5" s="1"/>
  <c r="D35" i="8" s="1"/>
  <c r="C129" i="8"/>
  <c r="C125" i="8"/>
  <c r="C45" i="8"/>
  <c r="D106" i="8"/>
  <c r="C123" i="8"/>
  <c r="C121" i="8"/>
  <c r="D111" i="8"/>
  <c r="Z6" i="5"/>
  <c r="C120" i="8"/>
  <c r="D58" i="8"/>
  <c r="C122" i="8"/>
  <c r="C7" i="8"/>
  <c r="D24" i="8" s="1"/>
  <c r="C6" i="4"/>
  <c r="D79" i="9"/>
  <c r="D51" i="9"/>
  <c r="D23" i="9"/>
  <c r="D55" i="9"/>
  <c r="D111" i="9"/>
  <c r="D27" i="9"/>
  <c r="D143" i="9"/>
  <c r="D31" i="9"/>
  <c r="D59" i="9"/>
  <c r="D115" i="9"/>
  <c r="D113" i="9"/>
  <c r="C129" i="9"/>
  <c r="D135" i="9"/>
  <c r="D52" i="9"/>
  <c r="C38" i="9"/>
  <c r="C7" i="5"/>
  <c r="D43" i="9" s="1"/>
  <c r="F6" i="5"/>
  <c r="C39" i="9"/>
  <c r="C35" i="9"/>
  <c r="C44" i="9"/>
  <c r="C42" i="9"/>
  <c r="C37" i="9"/>
  <c r="C40" i="9"/>
  <c r="C36" i="9"/>
  <c r="C41" i="9"/>
  <c r="D57" i="9"/>
  <c r="C121" i="9"/>
  <c r="D108" i="9"/>
  <c r="D54" i="9"/>
  <c r="D25" i="9"/>
  <c r="D88" i="9"/>
  <c r="D106" i="9"/>
  <c r="D29" i="9"/>
  <c r="AA6" i="5"/>
  <c r="C127" i="9"/>
  <c r="C123" i="9"/>
  <c r="D58" i="9"/>
  <c r="D81" i="9"/>
  <c r="D141" i="9"/>
  <c r="D78" i="9"/>
  <c r="C43" i="9"/>
  <c r="C122" i="9"/>
  <c r="C120" i="9"/>
  <c r="C126" i="9"/>
  <c r="C125" i="9"/>
  <c r="C9" i="9"/>
  <c r="D110" i="9" s="1"/>
  <c r="D86" i="9"/>
  <c r="D137" i="9"/>
  <c r="D56" i="9"/>
  <c r="D28" i="9"/>
  <c r="D112" i="9"/>
  <c r="D53" i="9"/>
  <c r="D138" i="9"/>
  <c r="C45" i="9"/>
  <c r="D114" i="9"/>
  <c r="D144" i="9"/>
  <c r="I6" i="3"/>
  <c r="C119" i="9"/>
  <c r="D142" i="9"/>
  <c r="C128" i="9"/>
  <c r="D134" i="9"/>
  <c r="C92" i="9"/>
  <c r="C100" i="9"/>
  <c r="C91" i="9"/>
  <c r="C97" i="9"/>
  <c r="C99" i="9"/>
  <c r="C101" i="9"/>
  <c r="C94" i="9"/>
  <c r="T6" i="5"/>
  <c r="C93" i="9"/>
  <c r="C98" i="9"/>
  <c r="C95" i="9"/>
  <c r="C96" i="9"/>
  <c r="D107" i="9"/>
  <c r="D87" i="9"/>
  <c r="D80" i="9"/>
  <c r="Y6" i="5"/>
  <c r="D140" i="9"/>
  <c r="D32" i="8"/>
  <c r="D60" i="8"/>
  <c r="E141" i="8"/>
  <c r="C11" i="8"/>
  <c r="D56" i="8" s="1"/>
  <c r="C8" i="8"/>
  <c r="D25" i="8" s="1"/>
  <c r="E57" i="8"/>
  <c r="D30" i="8"/>
  <c r="D134" i="8"/>
  <c r="D79" i="8"/>
  <c r="E85" i="8"/>
  <c r="C93" i="8"/>
  <c r="D116" i="8"/>
  <c r="D136" i="8"/>
  <c r="D144" i="8"/>
  <c r="D83" i="8"/>
  <c r="C14" i="8"/>
  <c r="D78" i="8"/>
  <c r="L6" i="5"/>
  <c r="K6" i="5"/>
  <c r="C68" i="8"/>
  <c r="C73" i="8"/>
  <c r="C63" i="8"/>
  <c r="C70" i="8"/>
  <c r="C65" i="8"/>
  <c r="C66" i="8"/>
  <c r="C67" i="8"/>
  <c r="C72" i="8"/>
  <c r="C69" i="8"/>
  <c r="C64" i="8"/>
  <c r="C97" i="8"/>
  <c r="R6" i="5"/>
  <c r="C96" i="8"/>
  <c r="C92" i="8"/>
  <c r="C101" i="8"/>
  <c r="S6" i="5"/>
  <c r="C91" i="8"/>
  <c r="C98" i="8"/>
  <c r="C100" i="8"/>
  <c r="C99" i="8"/>
  <c r="C94" i="8"/>
  <c r="C95" i="8"/>
  <c r="D135" i="8"/>
  <c r="C9" i="8"/>
  <c r="D82" i="8" s="1"/>
  <c r="C36" i="8"/>
  <c r="C41" i="8"/>
  <c r="C37" i="8"/>
  <c r="C42" i="8"/>
  <c r="C40" i="8"/>
  <c r="C39" i="8"/>
  <c r="C43" i="8"/>
  <c r="E6" i="5"/>
  <c r="D6" i="5"/>
  <c r="C44" i="8"/>
  <c r="C38" i="8"/>
  <c r="C149" i="8"/>
  <c r="D108" i="8"/>
  <c r="D55" i="8"/>
  <c r="G6" i="3"/>
  <c r="Y7" i="4" s="1"/>
  <c r="AH7" i="4"/>
  <c r="F6" i="3"/>
  <c r="X7" i="4" s="1"/>
  <c r="M7" i="4"/>
  <c r="V7" i="4"/>
  <c r="AR6" i="4"/>
  <c r="AN7" i="4"/>
  <c r="B7" i="4"/>
  <c r="C7" i="4" s="1"/>
  <c r="AL7" i="4"/>
  <c r="AE7" i="4"/>
  <c r="AI6" i="4"/>
  <c r="AC7" i="4"/>
  <c r="AD6" i="4"/>
  <c r="L6" i="4"/>
  <c r="K7" i="4"/>
  <c r="E6" i="3"/>
  <c r="W7" i="4" s="1"/>
  <c r="H6" i="4"/>
  <c r="D7" i="4"/>
  <c r="U6" i="4"/>
  <c r="T7" i="4"/>
  <c r="D82" i="9" l="1"/>
  <c r="D7" i="9"/>
  <c r="D13" i="9"/>
  <c r="E30" i="9" s="1"/>
  <c r="D83" i="9"/>
  <c r="P7" i="5"/>
  <c r="AD7" i="5"/>
  <c r="I7" i="5"/>
  <c r="D52" i="8"/>
  <c r="D54" i="8"/>
  <c r="W7" i="5"/>
  <c r="Z7" i="5" s="1"/>
  <c r="E29" i="8"/>
  <c r="AQ7" i="4"/>
  <c r="D14" i="9"/>
  <c r="E31" i="9" s="1"/>
  <c r="D26" i="9"/>
  <c r="D9" i="9" s="1"/>
  <c r="D80" i="8"/>
  <c r="D93" i="8" s="1"/>
  <c r="E12" i="8"/>
  <c r="F113" i="8" s="1"/>
  <c r="D15" i="8"/>
  <c r="E88" i="8" s="1"/>
  <c r="D129" i="8"/>
  <c r="D127" i="8"/>
  <c r="D7" i="3"/>
  <c r="V8" i="4" s="1"/>
  <c r="B7" i="3"/>
  <c r="C7" i="3" s="1"/>
  <c r="E136" i="9"/>
  <c r="E24" i="9"/>
  <c r="E142" i="9"/>
  <c r="J7" i="5"/>
  <c r="AE7" i="5"/>
  <c r="E52" i="9"/>
  <c r="E114" i="9"/>
  <c r="D8" i="9"/>
  <c r="E25" i="9" s="1"/>
  <c r="Q7" i="5"/>
  <c r="R7" i="5" s="1"/>
  <c r="D6" i="9"/>
  <c r="E51" i="9" s="1"/>
  <c r="D41" i="9"/>
  <c r="D35" i="9"/>
  <c r="D37" i="9"/>
  <c r="D42" i="9"/>
  <c r="F7" i="5"/>
  <c r="D38" i="9"/>
  <c r="D40" i="9"/>
  <c r="D36" i="9"/>
  <c r="E58" i="9"/>
  <c r="D44" i="9"/>
  <c r="E80" i="9"/>
  <c r="D11" i="9"/>
  <c r="E84" i="9" s="1"/>
  <c r="D10" i="9"/>
  <c r="E27" i="9" s="1"/>
  <c r="X7" i="5"/>
  <c r="E86" i="9"/>
  <c r="D12" i="9"/>
  <c r="E85" i="9" s="1"/>
  <c r="E108" i="9"/>
  <c r="D5" i="9"/>
  <c r="E78" i="9" s="1"/>
  <c r="D45" i="9"/>
  <c r="D15" i="9"/>
  <c r="D109" i="8"/>
  <c r="D10" i="8"/>
  <c r="E55" i="8" s="1"/>
  <c r="D115" i="8"/>
  <c r="D59" i="8"/>
  <c r="D72" i="8" s="1"/>
  <c r="D31" i="8"/>
  <c r="D101" i="8"/>
  <c r="D92" i="8"/>
  <c r="D95" i="8"/>
  <c r="D98" i="8"/>
  <c r="D91" i="8"/>
  <c r="D96" i="8"/>
  <c r="S7" i="5"/>
  <c r="D99" i="8"/>
  <c r="D137" i="8"/>
  <c r="D53" i="8"/>
  <c r="D6" i="8"/>
  <c r="D28" i="8"/>
  <c r="D84" i="8"/>
  <c r="D97" i="8" s="1"/>
  <c r="D112" i="8"/>
  <c r="D140" i="8"/>
  <c r="E83" i="8"/>
  <c r="D143" i="8"/>
  <c r="D7" i="8"/>
  <c r="E52" i="8" s="1"/>
  <c r="D42" i="8"/>
  <c r="D38" i="8"/>
  <c r="E7" i="5"/>
  <c r="D43" i="8"/>
  <c r="D36" i="8"/>
  <c r="D40" i="8"/>
  <c r="D37" i="8"/>
  <c r="D45" i="8"/>
  <c r="D7" i="5"/>
  <c r="D110" i="8"/>
  <c r="D138" i="8"/>
  <c r="D119" i="8"/>
  <c r="D149" i="8"/>
  <c r="D26" i="8"/>
  <c r="D39" i="8" s="1"/>
  <c r="D13" i="8"/>
  <c r="E30" i="8" s="1"/>
  <c r="D5" i="8"/>
  <c r="E134" i="8" s="1"/>
  <c r="D120" i="8"/>
  <c r="D148" i="8"/>
  <c r="D87" i="8"/>
  <c r="D100" i="8" s="1"/>
  <c r="D67" i="8"/>
  <c r="D68" i="8"/>
  <c r="D65" i="8"/>
  <c r="D64" i="8"/>
  <c r="D70" i="8"/>
  <c r="L7" i="5"/>
  <c r="D63" i="8"/>
  <c r="D73" i="8"/>
  <c r="D69" i="8"/>
  <c r="D71" i="8"/>
  <c r="D81" i="8"/>
  <c r="D152" i="8"/>
  <c r="G7" i="4"/>
  <c r="P7" i="4"/>
  <c r="O7" i="4"/>
  <c r="AG7" i="4"/>
  <c r="AP7" i="4"/>
  <c r="F7" i="4"/>
  <c r="AF7" i="4"/>
  <c r="AI7" i="4" s="1"/>
  <c r="AO7" i="4"/>
  <c r="AR7" i="4" s="1"/>
  <c r="E7" i="4"/>
  <c r="H7" i="4" s="1"/>
  <c r="Z7" i="4"/>
  <c r="N7" i="4"/>
  <c r="M8" i="4"/>
  <c r="AN8" i="4"/>
  <c r="B8" i="4"/>
  <c r="AL8" i="4"/>
  <c r="AM7" i="4"/>
  <c r="AE8" i="4"/>
  <c r="AC8" i="4"/>
  <c r="AD7" i="4"/>
  <c r="L7" i="4"/>
  <c r="K8" i="4"/>
  <c r="D8" i="4"/>
  <c r="T8" i="4"/>
  <c r="U7" i="4"/>
  <c r="C8" i="4"/>
  <c r="D39" i="9" l="1"/>
  <c r="I7" i="3"/>
  <c r="C8" i="5" s="1"/>
  <c r="E44" i="9" s="1"/>
  <c r="E26" i="9"/>
  <c r="E138" i="9"/>
  <c r="E110" i="9"/>
  <c r="E82" i="9"/>
  <c r="E54" i="9"/>
  <c r="E9" i="9" s="1"/>
  <c r="K7" i="5"/>
  <c r="E137" i="9"/>
  <c r="E135" i="9"/>
  <c r="E87" i="9"/>
  <c r="E143" i="9"/>
  <c r="E59" i="9"/>
  <c r="E115" i="9"/>
  <c r="D8" i="8"/>
  <c r="E25" i="8" s="1"/>
  <c r="E32" i="8"/>
  <c r="D126" i="8"/>
  <c r="E144" i="8"/>
  <c r="E116" i="8"/>
  <c r="F29" i="8"/>
  <c r="F12" i="8" s="1"/>
  <c r="F85" i="8"/>
  <c r="E60" i="8"/>
  <c r="E15" i="8" s="1"/>
  <c r="D121" i="8"/>
  <c r="H7" i="3"/>
  <c r="AD8" i="5" s="1"/>
  <c r="E147" i="8" s="1"/>
  <c r="AG7" i="5"/>
  <c r="D154" i="8"/>
  <c r="D147" i="8"/>
  <c r="D155" i="8"/>
  <c r="D157" i="8"/>
  <c r="F57" i="8"/>
  <c r="D124" i="8"/>
  <c r="F141" i="8"/>
  <c r="G141" i="8" s="1"/>
  <c r="E55" i="9"/>
  <c r="E111" i="9"/>
  <c r="E139" i="9"/>
  <c r="E106" i="9"/>
  <c r="E79" i="9"/>
  <c r="E83" i="9"/>
  <c r="E136" i="8"/>
  <c r="E108" i="8"/>
  <c r="E7" i="3"/>
  <c r="W8" i="4" s="1"/>
  <c r="B8" i="3"/>
  <c r="C8" i="3" s="1"/>
  <c r="E40" i="9"/>
  <c r="E10" i="9"/>
  <c r="F55" i="9" s="1"/>
  <c r="F27" i="9"/>
  <c r="F139" i="9"/>
  <c r="E29" i="9"/>
  <c r="E107" i="9"/>
  <c r="E57" i="9"/>
  <c r="D68" i="9"/>
  <c r="D71" i="9"/>
  <c r="D69" i="9"/>
  <c r="D63" i="9"/>
  <c r="D70" i="9"/>
  <c r="D66" i="9"/>
  <c r="J8" i="5"/>
  <c r="D73" i="9"/>
  <c r="D64" i="9"/>
  <c r="D72" i="9"/>
  <c r="M7" i="5"/>
  <c r="D67" i="9"/>
  <c r="D65" i="9"/>
  <c r="E28" i="9"/>
  <c r="E56" i="9"/>
  <c r="E23" i="9"/>
  <c r="E112" i="9"/>
  <c r="E141" i="9"/>
  <c r="E39" i="9"/>
  <c r="AE8" i="5"/>
  <c r="D149" i="9"/>
  <c r="D151" i="9"/>
  <c r="D153" i="9"/>
  <c r="D148" i="9"/>
  <c r="D152" i="9"/>
  <c r="D150" i="9"/>
  <c r="D156" i="9"/>
  <c r="AH7" i="5"/>
  <c r="D154" i="9"/>
  <c r="D155" i="9"/>
  <c r="D147" i="9"/>
  <c r="D157" i="9"/>
  <c r="AF7" i="5"/>
  <c r="E53" i="9"/>
  <c r="E109" i="9"/>
  <c r="E116" i="9"/>
  <c r="E32" i="9"/>
  <c r="E45" i="9" s="1"/>
  <c r="E60" i="9"/>
  <c r="F8" i="5"/>
  <c r="E37" i="9"/>
  <c r="E38" i="9"/>
  <c r="E43" i="9"/>
  <c r="E13" i="9"/>
  <c r="F30" i="9" s="1"/>
  <c r="E88" i="9"/>
  <c r="D97" i="9"/>
  <c r="T7" i="5"/>
  <c r="D91" i="9"/>
  <c r="D93" i="9"/>
  <c r="D101" i="9"/>
  <c r="D94" i="9"/>
  <c r="Q8" i="5"/>
  <c r="D96" i="9"/>
  <c r="D92" i="9"/>
  <c r="D95" i="9"/>
  <c r="D98" i="9"/>
  <c r="D100" i="9"/>
  <c r="D99" i="9"/>
  <c r="E134" i="9"/>
  <c r="E113" i="9"/>
  <c r="E81" i="9"/>
  <c r="E7" i="9"/>
  <c r="F136" i="9" s="1"/>
  <c r="E144" i="9"/>
  <c r="E50" i="9"/>
  <c r="E22" i="9"/>
  <c r="E140" i="9"/>
  <c r="D123" i="9"/>
  <c r="D119" i="9"/>
  <c r="D120" i="9"/>
  <c r="D121" i="9"/>
  <c r="Y7" i="5"/>
  <c r="D129" i="9"/>
  <c r="D127" i="9"/>
  <c r="D128" i="9"/>
  <c r="D126" i="9"/>
  <c r="D125" i="9"/>
  <c r="X8" i="5"/>
  <c r="D124" i="9"/>
  <c r="AA7" i="5"/>
  <c r="D122" i="9"/>
  <c r="D11" i="8"/>
  <c r="E56" i="8" s="1"/>
  <c r="E109" i="8"/>
  <c r="D122" i="8"/>
  <c r="E107" i="8"/>
  <c r="E51" i="8"/>
  <c r="E23" i="8"/>
  <c r="E135" i="8"/>
  <c r="D14" i="8"/>
  <c r="E87" i="8" s="1"/>
  <c r="D123" i="8"/>
  <c r="D66" i="8"/>
  <c r="E81" i="8"/>
  <c r="D44" i="8"/>
  <c r="E79" i="8"/>
  <c r="D128" i="8"/>
  <c r="D153" i="8"/>
  <c r="D125" i="8"/>
  <c r="D151" i="8"/>
  <c r="AG8" i="5"/>
  <c r="E106" i="8"/>
  <c r="E22" i="8"/>
  <c r="E50" i="8"/>
  <c r="D41" i="8"/>
  <c r="D94" i="8"/>
  <c r="E53" i="8"/>
  <c r="D9" i="8"/>
  <c r="E110" i="8" s="1"/>
  <c r="E59" i="8"/>
  <c r="E149" i="8"/>
  <c r="E78" i="8"/>
  <c r="E80" i="8"/>
  <c r="E24" i="8"/>
  <c r="E137" i="8"/>
  <c r="D150" i="8"/>
  <c r="E139" i="8"/>
  <c r="E111" i="8"/>
  <c r="E27" i="8"/>
  <c r="E86" i="8"/>
  <c r="E114" i="8"/>
  <c r="E142" i="8"/>
  <c r="E58" i="8"/>
  <c r="D156" i="8"/>
  <c r="P8" i="5"/>
  <c r="G7" i="3"/>
  <c r="P8" i="4" s="1"/>
  <c r="F7" i="3"/>
  <c r="X8" i="4" s="1"/>
  <c r="AP8" i="4"/>
  <c r="AG8" i="4"/>
  <c r="O8" i="4"/>
  <c r="Z8" i="4"/>
  <c r="N8" i="4"/>
  <c r="Q7" i="4"/>
  <c r="AM8" i="4"/>
  <c r="AD8" i="4"/>
  <c r="L8" i="4"/>
  <c r="D8" i="3"/>
  <c r="AN9" i="4" s="1"/>
  <c r="U8" i="4"/>
  <c r="F58" i="9" l="1"/>
  <c r="F142" i="9"/>
  <c r="F114" i="9"/>
  <c r="F111" i="9"/>
  <c r="F108" i="9"/>
  <c r="F83" i="9"/>
  <c r="E14" i="9"/>
  <c r="F52" i="9"/>
  <c r="F80" i="9"/>
  <c r="E42" i="9"/>
  <c r="F87" i="9"/>
  <c r="F31" i="9"/>
  <c r="F143" i="9"/>
  <c r="F115" i="9"/>
  <c r="F138" i="9"/>
  <c r="F110" i="9"/>
  <c r="F86" i="9"/>
  <c r="F13" i="9" s="1"/>
  <c r="G30" i="9" s="1"/>
  <c r="F144" i="8"/>
  <c r="F60" i="8"/>
  <c r="F88" i="8"/>
  <c r="F116" i="8"/>
  <c r="F32" i="8"/>
  <c r="G113" i="8"/>
  <c r="G29" i="8"/>
  <c r="G57" i="8"/>
  <c r="G85" i="8"/>
  <c r="I8" i="5"/>
  <c r="E69" i="8" s="1"/>
  <c r="B8" i="5"/>
  <c r="E40" i="8"/>
  <c r="E157" i="8"/>
  <c r="AF8" i="5"/>
  <c r="E72" i="8"/>
  <c r="E13" i="8"/>
  <c r="F30" i="8" s="1"/>
  <c r="E152" i="8"/>
  <c r="W8" i="5"/>
  <c r="E119" i="8" s="1"/>
  <c r="E64" i="8"/>
  <c r="E154" i="8"/>
  <c r="E8" i="4"/>
  <c r="AF8" i="4"/>
  <c r="AI8" i="4" s="1"/>
  <c r="AO8" i="4"/>
  <c r="AR8" i="4" s="1"/>
  <c r="T9" i="4"/>
  <c r="AC9" i="4"/>
  <c r="B9" i="4"/>
  <c r="K9" i="4"/>
  <c r="AL9" i="4"/>
  <c r="AM9" i="4" s="1"/>
  <c r="F59" i="9"/>
  <c r="F14" i="9" s="1"/>
  <c r="G31" i="9" s="1"/>
  <c r="E8" i="8"/>
  <c r="F25" i="8" s="1"/>
  <c r="E140" i="8"/>
  <c r="E84" i="8"/>
  <c r="E97" i="8" s="1"/>
  <c r="H8" i="4"/>
  <c r="E157" i="9"/>
  <c r="AH8" i="5"/>
  <c r="E153" i="9"/>
  <c r="E150" i="9"/>
  <c r="E147" i="9"/>
  <c r="E154" i="9"/>
  <c r="E149" i="9"/>
  <c r="E151" i="9"/>
  <c r="E152" i="9"/>
  <c r="E148" i="9"/>
  <c r="E156" i="9"/>
  <c r="E155" i="9"/>
  <c r="F26" i="9"/>
  <c r="E36" i="9"/>
  <c r="E6" i="9"/>
  <c r="F23" i="9"/>
  <c r="G114" i="9"/>
  <c r="G86" i="9"/>
  <c r="G142" i="9"/>
  <c r="E5" i="9"/>
  <c r="F22" i="9" s="1"/>
  <c r="G58" i="9"/>
  <c r="F24" i="9"/>
  <c r="E119" i="9"/>
  <c r="E125" i="9"/>
  <c r="E126" i="9"/>
  <c r="E128" i="9"/>
  <c r="E129" i="9"/>
  <c r="E120" i="9"/>
  <c r="E124" i="9"/>
  <c r="AA8" i="5"/>
  <c r="E123" i="9"/>
  <c r="E127" i="9"/>
  <c r="E121" i="9"/>
  <c r="E122" i="9"/>
  <c r="E12" i="9"/>
  <c r="F85" i="9" s="1"/>
  <c r="F54" i="9"/>
  <c r="F82" i="9"/>
  <c r="E8" i="9"/>
  <c r="F81" i="9" s="1"/>
  <c r="E11" i="9"/>
  <c r="F84" i="9" s="1"/>
  <c r="E66" i="9"/>
  <c r="E71" i="9"/>
  <c r="E64" i="9"/>
  <c r="M8" i="5"/>
  <c r="E67" i="9"/>
  <c r="E68" i="9"/>
  <c r="E69" i="9"/>
  <c r="E70" i="9"/>
  <c r="E65" i="9"/>
  <c r="E73" i="9"/>
  <c r="I8" i="3"/>
  <c r="C9" i="5" s="1"/>
  <c r="F40" i="9" s="1"/>
  <c r="E63" i="9"/>
  <c r="E72" i="9"/>
  <c r="F10" i="9"/>
  <c r="G139" i="9" s="1"/>
  <c r="E41" i="9"/>
  <c r="E15" i="9"/>
  <c r="F88" i="9" s="1"/>
  <c r="E91" i="9"/>
  <c r="E101" i="9"/>
  <c r="T8" i="5"/>
  <c r="E100" i="9"/>
  <c r="E96" i="9"/>
  <c r="E94" i="9"/>
  <c r="E92" i="9"/>
  <c r="E95" i="9"/>
  <c r="E99" i="9"/>
  <c r="E97" i="9"/>
  <c r="E98" i="9"/>
  <c r="E93" i="9"/>
  <c r="E35" i="9"/>
  <c r="E31" i="8"/>
  <c r="F109" i="8"/>
  <c r="E28" i="8"/>
  <c r="G12" i="8"/>
  <c r="H85" i="8" s="1"/>
  <c r="H57" i="8"/>
  <c r="E112" i="8"/>
  <c r="E54" i="8"/>
  <c r="E82" i="8"/>
  <c r="E7" i="8"/>
  <c r="F24" i="8" s="1"/>
  <c r="F53" i="8"/>
  <c r="E5" i="8"/>
  <c r="F134" i="8" s="1"/>
  <c r="F22" i="8"/>
  <c r="E115" i="8"/>
  <c r="E150" i="8"/>
  <c r="E148" i="8"/>
  <c r="E124" i="8"/>
  <c r="Y8" i="5"/>
  <c r="E120" i="8"/>
  <c r="E129" i="8"/>
  <c r="E127" i="8"/>
  <c r="E138" i="8"/>
  <c r="E99" i="8"/>
  <c r="E94" i="8"/>
  <c r="S8" i="5"/>
  <c r="E96" i="8"/>
  <c r="E101" i="8"/>
  <c r="E98" i="8"/>
  <c r="R8" i="5"/>
  <c r="E92" i="8"/>
  <c r="E91" i="8"/>
  <c r="E100" i="8"/>
  <c r="E93" i="8"/>
  <c r="E143" i="8"/>
  <c r="F86" i="8"/>
  <c r="H8" i="3"/>
  <c r="P9" i="5" s="1"/>
  <c r="E10" i="8"/>
  <c r="F111" i="8" s="1"/>
  <c r="F27" i="8"/>
  <c r="E153" i="8"/>
  <c r="E6" i="8"/>
  <c r="F79" i="8" s="1"/>
  <c r="F23" i="8"/>
  <c r="E26" i="8"/>
  <c r="E155" i="8"/>
  <c r="F81" i="8"/>
  <c r="Y8" i="4"/>
  <c r="AH8" i="4"/>
  <c r="AQ8" i="4"/>
  <c r="G8" i="4"/>
  <c r="F8" i="4"/>
  <c r="Q8" i="4"/>
  <c r="D9" i="4"/>
  <c r="AE9" i="4"/>
  <c r="V9" i="4"/>
  <c r="M9" i="4"/>
  <c r="AD9" i="4"/>
  <c r="L9" i="4"/>
  <c r="U9" i="4"/>
  <c r="F50" i="9" l="1"/>
  <c r="G13" i="9"/>
  <c r="H30" i="9" s="1"/>
  <c r="G83" i="9"/>
  <c r="F134" i="9"/>
  <c r="X9" i="5"/>
  <c r="F112" i="9"/>
  <c r="E122" i="8"/>
  <c r="E121" i="8"/>
  <c r="E38" i="8"/>
  <c r="E45" i="8"/>
  <c r="E42" i="8"/>
  <c r="E43" i="8"/>
  <c r="E8" i="5"/>
  <c r="D8" i="5"/>
  <c r="E128" i="8"/>
  <c r="F142" i="8"/>
  <c r="G142" i="8" s="1"/>
  <c r="F137" i="8"/>
  <c r="G137" i="8" s="1"/>
  <c r="E126" i="8"/>
  <c r="E71" i="8"/>
  <c r="E63" i="8"/>
  <c r="E66" i="8"/>
  <c r="E70" i="8"/>
  <c r="K8" i="5"/>
  <c r="E68" i="8"/>
  <c r="E65" i="8"/>
  <c r="L8" i="5"/>
  <c r="E73" i="8"/>
  <c r="Z8" i="5"/>
  <c r="E37" i="8"/>
  <c r="F51" i="8"/>
  <c r="F6" i="8" s="1"/>
  <c r="G79" i="8" s="1"/>
  <c r="F139" i="8"/>
  <c r="E36" i="8"/>
  <c r="F114" i="8"/>
  <c r="E35" i="8"/>
  <c r="F15" i="8"/>
  <c r="E123" i="8"/>
  <c r="E125" i="8"/>
  <c r="F135" i="8"/>
  <c r="F107" i="8"/>
  <c r="F58" i="8"/>
  <c r="E8" i="3"/>
  <c r="C9" i="4"/>
  <c r="B9" i="3"/>
  <c r="AL10" i="4"/>
  <c r="AE9" i="5"/>
  <c r="AH9" i="5" s="1"/>
  <c r="Q9" i="5"/>
  <c r="R9" i="5" s="1"/>
  <c r="F113" i="9"/>
  <c r="F126" i="9" s="1"/>
  <c r="F57" i="9"/>
  <c r="F140" i="9"/>
  <c r="F141" i="9"/>
  <c r="F32" i="9"/>
  <c r="F45" i="9" s="1"/>
  <c r="F50" i="8"/>
  <c r="F5" i="8" s="1"/>
  <c r="F106" i="8"/>
  <c r="F78" i="8"/>
  <c r="F91" i="8" s="1"/>
  <c r="D9" i="3"/>
  <c r="AN10" i="4" s="1"/>
  <c r="F135" i="9"/>
  <c r="F51" i="9"/>
  <c r="F79" i="9"/>
  <c r="G55" i="9"/>
  <c r="G111" i="9"/>
  <c r="F7" i="9"/>
  <c r="F39" i="9"/>
  <c r="F9" i="9"/>
  <c r="G26" i="9" s="1"/>
  <c r="G59" i="9"/>
  <c r="F60" i="9"/>
  <c r="F144" i="9"/>
  <c r="F37" i="9"/>
  <c r="F9" i="5"/>
  <c r="F35" i="9"/>
  <c r="F43" i="9"/>
  <c r="F44" i="9"/>
  <c r="H142" i="9"/>
  <c r="G87" i="9"/>
  <c r="H86" i="9"/>
  <c r="F25" i="9"/>
  <c r="F38" i="9" s="1"/>
  <c r="F137" i="9"/>
  <c r="F78" i="9"/>
  <c r="F106" i="9"/>
  <c r="F116" i="9"/>
  <c r="F129" i="9" s="1"/>
  <c r="F53" i="9"/>
  <c r="F128" i="9"/>
  <c r="F121" i="9"/>
  <c r="F125" i="9"/>
  <c r="AA9" i="5"/>
  <c r="F127" i="9"/>
  <c r="F123" i="9"/>
  <c r="F124" i="9"/>
  <c r="G115" i="9"/>
  <c r="H58" i="9"/>
  <c r="G27" i="9"/>
  <c r="F109" i="9"/>
  <c r="F122" i="9" s="1"/>
  <c r="F29" i="9"/>
  <c r="H114" i="9"/>
  <c r="F36" i="9"/>
  <c r="F147" i="9"/>
  <c r="F155" i="9"/>
  <c r="F107" i="9"/>
  <c r="G143" i="9"/>
  <c r="F28" i="9"/>
  <c r="F41" i="9" s="1"/>
  <c r="J9" i="5"/>
  <c r="F56" i="9"/>
  <c r="H113" i="8"/>
  <c r="H29" i="8"/>
  <c r="G58" i="8"/>
  <c r="E11" i="8"/>
  <c r="F112" i="8" s="1"/>
  <c r="E41" i="8"/>
  <c r="F143" i="8"/>
  <c r="E156" i="8"/>
  <c r="E95" i="8"/>
  <c r="E151" i="8"/>
  <c r="H141" i="8"/>
  <c r="E14" i="8"/>
  <c r="F115" i="8" s="1"/>
  <c r="E44" i="8"/>
  <c r="E67" i="8"/>
  <c r="F83" i="8"/>
  <c r="F55" i="8"/>
  <c r="F10" i="8" s="1"/>
  <c r="E9" i="8"/>
  <c r="F110" i="8" s="1"/>
  <c r="E39" i="8"/>
  <c r="I9" i="5"/>
  <c r="B9" i="5"/>
  <c r="F35" i="8" s="1"/>
  <c r="AD9" i="5"/>
  <c r="W9" i="5"/>
  <c r="F136" i="8"/>
  <c r="F52" i="8"/>
  <c r="F108" i="8"/>
  <c r="F101" i="8"/>
  <c r="F99" i="8"/>
  <c r="F92" i="8"/>
  <c r="F98" i="8"/>
  <c r="S9" i="5"/>
  <c r="F94" i="8"/>
  <c r="F13" i="8"/>
  <c r="G30" i="8" s="1"/>
  <c r="F80" i="8"/>
  <c r="F93" i="8" s="1"/>
  <c r="F8" i="8"/>
  <c r="G25" i="8" s="1"/>
  <c r="G8" i="3"/>
  <c r="P9" i="4" s="1"/>
  <c r="AQ9" i="4"/>
  <c r="AH9" i="4"/>
  <c r="Y9" i="4"/>
  <c r="F8" i="3"/>
  <c r="F9" i="4"/>
  <c r="AE10" i="4"/>
  <c r="M10" i="4"/>
  <c r="F120" i="9" l="1"/>
  <c r="I9" i="3"/>
  <c r="F156" i="9"/>
  <c r="F151" i="9"/>
  <c r="F157" i="9"/>
  <c r="T9" i="5"/>
  <c r="F93" i="9"/>
  <c r="F95" i="9"/>
  <c r="F148" i="9"/>
  <c r="F96" i="9"/>
  <c r="F99" i="9"/>
  <c r="F91" i="9"/>
  <c r="F101" i="9"/>
  <c r="F100" i="9"/>
  <c r="F94" i="9"/>
  <c r="F97" i="9"/>
  <c r="F98" i="9"/>
  <c r="F149" i="9"/>
  <c r="F152" i="9"/>
  <c r="F154" i="9"/>
  <c r="F153" i="9"/>
  <c r="F150" i="9"/>
  <c r="G106" i="8"/>
  <c r="G50" i="8"/>
  <c r="G134" i="8"/>
  <c r="G78" i="8"/>
  <c r="G109" i="8"/>
  <c r="G32" i="8"/>
  <c r="G144" i="8"/>
  <c r="G60" i="8"/>
  <c r="G116" i="8"/>
  <c r="G88" i="8"/>
  <c r="G9" i="4"/>
  <c r="W9" i="4"/>
  <c r="Z9" i="4" s="1"/>
  <c r="AF9" i="4"/>
  <c r="AO9" i="4"/>
  <c r="N9" i="4"/>
  <c r="E9" i="4"/>
  <c r="C9" i="3"/>
  <c r="AC10" i="4"/>
  <c r="T10" i="4"/>
  <c r="B10" i="4"/>
  <c r="K10" i="4"/>
  <c r="AM10" i="4"/>
  <c r="X10" i="5"/>
  <c r="AA10" i="5" s="1"/>
  <c r="Q10" i="5"/>
  <c r="T10" i="5" s="1"/>
  <c r="H13" i="9"/>
  <c r="I30" i="9" s="1"/>
  <c r="F26" i="8"/>
  <c r="G22" i="8"/>
  <c r="F54" i="8"/>
  <c r="G81" i="8"/>
  <c r="G53" i="8"/>
  <c r="V10" i="4"/>
  <c r="D10" i="4"/>
  <c r="G138" i="9"/>
  <c r="G110" i="9"/>
  <c r="G136" i="9"/>
  <c r="G80" i="9"/>
  <c r="G52" i="9"/>
  <c r="G108" i="9"/>
  <c r="C10" i="5"/>
  <c r="G39" i="9" s="1"/>
  <c r="F5" i="9"/>
  <c r="G106" i="9" s="1"/>
  <c r="G10" i="9"/>
  <c r="G24" i="9"/>
  <c r="H111" i="9"/>
  <c r="F12" i="9"/>
  <c r="G29" i="9" s="1"/>
  <c r="F8" i="9"/>
  <c r="G81" i="9" s="1"/>
  <c r="F42" i="9"/>
  <c r="F119" i="9"/>
  <c r="AE10" i="5"/>
  <c r="F92" i="9"/>
  <c r="G137" i="9"/>
  <c r="G54" i="9"/>
  <c r="F11" i="9"/>
  <c r="G56" i="9" s="1"/>
  <c r="G82" i="9"/>
  <c r="F15" i="9"/>
  <c r="G116" i="9" s="1"/>
  <c r="F72" i="9"/>
  <c r="F65" i="9"/>
  <c r="M9" i="5"/>
  <c r="F63" i="9"/>
  <c r="J10" i="5"/>
  <c r="F73" i="9"/>
  <c r="F67" i="9"/>
  <c r="F70" i="9"/>
  <c r="F71" i="9"/>
  <c r="F66" i="9"/>
  <c r="F68" i="9"/>
  <c r="F64" i="9"/>
  <c r="F69" i="9"/>
  <c r="F6" i="9"/>
  <c r="G23" i="9" s="1"/>
  <c r="G14" i="9"/>
  <c r="H31" i="9" s="1"/>
  <c r="G139" i="8"/>
  <c r="G27" i="8"/>
  <c r="G111" i="8"/>
  <c r="F84" i="8"/>
  <c r="F140" i="8"/>
  <c r="F153" i="8" s="1"/>
  <c r="F56" i="8"/>
  <c r="G51" i="8"/>
  <c r="F42" i="8"/>
  <c r="F37" i="8"/>
  <c r="F39" i="8"/>
  <c r="F43" i="8"/>
  <c r="F38" i="8"/>
  <c r="E9" i="5"/>
  <c r="F40" i="8"/>
  <c r="D9" i="5"/>
  <c r="F36" i="8"/>
  <c r="H9" i="3"/>
  <c r="P10" i="5" s="1"/>
  <c r="F45" i="8"/>
  <c r="H12" i="8"/>
  <c r="I141" i="8" s="1"/>
  <c r="G107" i="8"/>
  <c r="G114" i="8"/>
  <c r="I113" i="8"/>
  <c r="F59" i="8"/>
  <c r="F87" i="8"/>
  <c r="F128" i="8"/>
  <c r="F122" i="8"/>
  <c r="F120" i="8"/>
  <c r="Y9" i="5"/>
  <c r="F119" i="8"/>
  <c r="F129" i="8"/>
  <c r="F127" i="8"/>
  <c r="F123" i="8"/>
  <c r="Z9" i="5"/>
  <c r="F124" i="8"/>
  <c r="F125" i="8"/>
  <c r="F126" i="8"/>
  <c r="F121" i="8"/>
  <c r="F28" i="8"/>
  <c r="F41" i="8" s="1"/>
  <c r="F152" i="8"/>
  <c r="F155" i="8"/>
  <c r="F156" i="8"/>
  <c r="F154" i="8"/>
  <c r="AG9" i="5"/>
  <c r="F149" i="8"/>
  <c r="F150" i="8"/>
  <c r="F147" i="8"/>
  <c r="AF9" i="5"/>
  <c r="F151" i="8"/>
  <c r="F157" i="8"/>
  <c r="F148" i="8"/>
  <c r="F64" i="8"/>
  <c r="F67" i="8"/>
  <c r="F65" i="8"/>
  <c r="F66" i="8"/>
  <c r="F63" i="8"/>
  <c r="F71" i="8"/>
  <c r="F68" i="8"/>
  <c r="F73" i="8"/>
  <c r="L9" i="5"/>
  <c r="F70" i="8"/>
  <c r="K9" i="5"/>
  <c r="G5" i="8"/>
  <c r="H50" i="8" s="1"/>
  <c r="H22" i="8"/>
  <c r="H134" i="8"/>
  <c r="F82" i="8"/>
  <c r="F31" i="8"/>
  <c r="F44" i="8" s="1"/>
  <c r="F138" i="8"/>
  <c r="F7" i="8"/>
  <c r="G24" i="8" s="1"/>
  <c r="G83" i="8"/>
  <c r="F96" i="8"/>
  <c r="G108" i="8"/>
  <c r="G8" i="8"/>
  <c r="H53" i="8" s="1"/>
  <c r="G80" i="8"/>
  <c r="G86" i="8"/>
  <c r="G135" i="8"/>
  <c r="G55" i="8"/>
  <c r="G23" i="8"/>
  <c r="G136" i="8"/>
  <c r="G9" i="3"/>
  <c r="Y10" i="4" s="1"/>
  <c r="O9" i="4"/>
  <c r="AG9" i="4"/>
  <c r="AP9" i="4"/>
  <c r="X9" i="4"/>
  <c r="D10" i="3"/>
  <c r="V11" i="4" s="1"/>
  <c r="G53" i="9" l="1"/>
  <c r="G119" i="9"/>
  <c r="I114" i="9"/>
  <c r="G95" i="9"/>
  <c r="G96" i="9"/>
  <c r="G129" i="9"/>
  <c r="G144" i="9"/>
  <c r="G157" i="9" s="1"/>
  <c r="I86" i="9"/>
  <c r="G128" i="9"/>
  <c r="G93" i="9"/>
  <c r="G127" i="9"/>
  <c r="I142" i="9"/>
  <c r="G99" i="9"/>
  <c r="I58" i="9"/>
  <c r="I13" i="9" s="1"/>
  <c r="G100" i="9"/>
  <c r="G123" i="9"/>
  <c r="G124" i="9"/>
  <c r="G94" i="9"/>
  <c r="G60" i="9"/>
  <c r="G73" i="9" s="1"/>
  <c r="G52" i="8"/>
  <c r="G15" i="8"/>
  <c r="H32" i="8" s="1"/>
  <c r="F9" i="8"/>
  <c r="H144" i="8"/>
  <c r="H81" i="8"/>
  <c r="AI9" i="4"/>
  <c r="E9" i="3"/>
  <c r="W10" i="4" s="1"/>
  <c r="Z10" i="4" s="1"/>
  <c r="H9" i="4"/>
  <c r="E10" i="4"/>
  <c r="AR9" i="4"/>
  <c r="AO10" i="4"/>
  <c r="N10" i="4"/>
  <c r="Q9" i="4"/>
  <c r="B10" i="3"/>
  <c r="C10" i="4"/>
  <c r="B11" i="4"/>
  <c r="AD10" i="4"/>
  <c r="AC11" i="4"/>
  <c r="T11" i="4"/>
  <c r="U10" i="4"/>
  <c r="K11" i="4"/>
  <c r="L10" i="4"/>
  <c r="G79" i="9"/>
  <c r="G109" i="9"/>
  <c r="G122" i="9" s="1"/>
  <c r="I10" i="5"/>
  <c r="L10" i="5" s="1"/>
  <c r="G13" i="8"/>
  <c r="H58" i="8" s="1"/>
  <c r="B10" i="5"/>
  <c r="AD10" i="5"/>
  <c r="G147" i="8" s="1"/>
  <c r="W10" i="5"/>
  <c r="G124" i="8" s="1"/>
  <c r="P10" i="4"/>
  <c r="H83" i="9"/>
  <c r="H139" i="9"/>
  <c r="H143" i="9"/>
  <c r="G152" i="9"/>
  <c r="G149" i="9"/>
  <c r="AH10" i="5"/>
  <c r="G151" i="9"/>
  <c r="G156" i="9"/>
  <c r="G150" i="9"/>
  <c r="G155" i="9"/>
  <c r="G50" i="9"/>
  <c r="G134" i="9"/>
  <c r="G147" i="9" s="1"/>
  <c r="G22" i="9"/>
  <c r="G35" i="9" s="1"/>
  <c r="H115" i="9"/>
  <c r="G51" i="9"/>
  <c r="G64" i="9" s="1"/>
  <c r="G135" i="9"/>
  <c r="G148" i="9" s="1"/>
  <c r="G7" i="9"/>
  <c r="H24" i="9" s="1"/>
  <c r="H108" i="9"/>
  <c r="H80" i="9"/>
  <c r="G92" i="9"/>
  <c r="H87" i="9"/>
  <c r="G121" i="9"/>
  <c r="G28" i="9"/>
  <c r="G78" i="9"/>
  <c r="H59" i="9"/>
  <c r="H27" i="9"/>
  <c r="G107" i="9"/>
  <c r="M10" i="5"/>
  <c r="G71" i="9"/>
  <c r="G72" i="9"/>
  <c r="G68" i="9"/>
  <c r="G66" i="9"/>
  <c r="G65" i="9"/>
  <c r="G67" i="9"/>
  <c r="G69" i="9"/>
  <c r="G140" i="9"/>
  <c r="G153" i="9" s="1"/>
  <c r="G84" i="9"/>
  <c r="G112" i="9"/>
  <c r="G36" i="9"/>
  <c r="H55" i="9"/>
  <c r="G88" i="9"/>
  <c r="G32" i="9"/>
  <c r="G45" i="9" s="1"/>
  <c r="G25" i="9"/>
  <c r="G38" i="9" s="1"/>
  <c r="G9" i="9"/>
  <c r="H26" i="9" s="1"/>
  <c r="G42" i="9"/>
  <c r="F10" i="5"/>
  <c r="G37" i="9"/>
  <c r="G40" i="9"/>
  <c r="I10" i="3"/>
  <c r="G44" i="9"/>
  <c r="G43" i="9"/>
  <c r="G57" i="9"/>
  <c r="G70" i="9" s="1"/>
  <c r="G85" i="9"/>
  <c r="G113" i="9"/>
  <c r="G141" i="9"/>
  <c r="G154" i="9" s="1"/>
  <c r="H30" i="8"/>
  <c r="G26" i="8"/>
  <c r="G110" i="8"/>
  <c r="G54" i="8"/>
  <c r="E10" i="5"/>
  <c r="G38" i="8"/>
  <c r="D10" i="5"/>
  <c r="G43" i="8"/>
  <c r="G39" i="8"/>
  <c r="G40" i="8"/>
  <c r="G36" i="8"/>
  <c r="G42" i="8"/>
  <c r="G37" i="8"/>
  <c r="G35" i="8"/>
  <c r="G45" i="8"/>
  <c r="G6" i="8"/>
  <c r="H79" i="8" s="1"/>
  <c r="G150" i="8"/>
  <c r="G148" i="8"/>
  <c r="AF10" i="5"/>
  <c r="F100" i="8"/>
  <c r="F97" i="8"/>
  <c r="H137" i="8"/>
  <c r="G82" i="8"/>
  <c r="F95" i="8"/>
  <c r="I57" i="8"/>
  <c r="I85" i="8"/>
  <c r="H109" i="8"/>
  <c r="H86" i="8"/>
  <c r="H114" i="8"/>
  <c r="G138" i="8"/>
  <c r="I29" i="8"/>
  <c r="H78" i="8"/>
  <c r="G64" i="8"/>
  <c r="G70" i="8"/>
  <c r="G63" i="8"/>
  <c r="G73" i="8"/>
  <c r="G65" i="8"/>
  <c r="G66" i="8"/>
  <c r="G71" i="8"/>
  <c r="G67" i="8"/>
  <c r="G68" i="8"/>
  <c r="K10" i="5"/>
  <c r="H83" i="8"/>
  <c r="H106" i="8"/>
  <c r="H25" i="8"/>
  <c r="F14" i="8"/>
  <c r="G59" i="8" s="1"/>
  <c r="G31" i="8"/>
  <c r="G44" i="8" s="1"/>
  <c r="G96" i="8"/>
  <c r="G98" i="8"/>
  <c r="S10" i="5"/>
  <c r="G101" i="8"/>
  <c r="G94" i="8"/>
  <c r="G91" i="8"/>
  <c r="G92" i="8"/>
  <c r="G99" i="8"/>
  <c r="R10" i="5"/>
  <c r="G93" i="8"/>
  <c r="G10" i="8"/>
  <c r="H55" i="8" s="1"/>
  <c r="Y10" i="5"/>
  <c r="G123" i="8"/>
  <c r="G120" i="8"/>
  <c r="G129" i="8"/>
  <c r="G122" i="8"/>
  <c r="G126" i="8"/>
  <c r="G121" i="8"/>
  <c r="G119" i="8"/>
  <c r="F72" i="8"/>
  <c r="F11" i="8"/>
  <c r="G112" i="8" s="1"/>
  <c r="G28" i="8"/>
  <c r="G7" i="8"/>
  <c r="H24" i="8" s="1"/>
  <c r="F69" i="8"/>
  <c r="AQ10" i="4"/>
  <c r="AH10" i="4"/>
  <c r="G10" i="4"/>
  <c r="F9" i="3"/>
  <c r="F10" i="4" s="1"/>
  <c r="X10" i="4"/>
  <c r="M11" i="4"/>
  <c r="D11" i="4"/>
  <c r="AN11" i="4"/>
  <c r="AE11" i="4"/>
  <c r="J30" i="9" l="1"/>
  <c r="J142" i="9"/>
  <c r="G6" i="9"/>
  <c r="H23" i="9" s="1"/>
  <c r="G12" i="9"/>
  <c r="H29" i="9" s="1"/>
  <c r="G140" i="8"/>
  <c r="G153" i="8" s="1"/>
  <c r="H52" i="8"/>
  <c r="H142" i="8"/>
  <c r="G41" i="8"/>
  <c r="G149" i="8"/>
  <c r="G157" i="8"/>
  <c r="H60" i="8"/>
  <c r="H10" i="3"/>
  <c r="P11" i="5" s="1"/>
  <c r="G155" i="8"/>
  <c r="G152" i="8"/>
  <c r="H5" i="8"/>
  <c r="I50" i="8" s="1"/>
  <c r="G154" i="8"/>
  <c r="H88" i="8"/>
  <c r="G84" i="8"/>
  <c r="G87" i="8"/>
  <c r="G100" i="8" s="1"/>
  <c r="AG10" i="5"/>
  <c r="H116" i="8"/>
  <c r="Q10" i="4"/>
  <c r="H10" i="4"/>
  <c r="AF10" i="4"/>
  <c r="E10" i="3" s="1"/>
  <c r="AR10" i="4"/>
  <c r="C11" i="4"/>
  <c r="L11" i="4"/>
  <c r="AD11" i="4"/>
  <c r="U11" i="4"/>
  <c r="C10" i="3"/>
  <c r="AL11" i="4"/>
  <c r="H138" i="9"/>
  <c r="H52" i="9"/>
  <c r="H54" i="9"/>
  <c r="H136" i="9"/>
  <c r="H108" i="8"/>
  <c r="I11" i="5"/>
  <c r="H63" i="8" s="1"/>
  <c r="Z10" i="5"/>
  <c r="G127" i="8"/>
  <c r="H80" i="8"/>
  <c r="H111" i="8"/>
  <c r="H7" i="9"/>
  <c r="I24" i="9" s="1"/>
  <c r="G125" i="9"/>
  <c r="J114" i="9"/>
  <c r="G11" i="9"/>
  <c r="H56" i="9" s="1"/>
  <c r="G41" i="9"/>
  <c r="I136" i="9"/>
  <c r="I80" i="9"/>
  <c r="G63" i="9"/>
  <c r="H82" i="9"/>
  <c r="G97" i="9"/>
  <c r="Q11" i="5"/>
  <c r="X11" i="5"/>
  <c r="G8" i="9"/>
  <c r="H135" i="9"/>
  <c r="AE11" i="5"/>
  <c r="H141" i="9"/>
  <c r="G15" i="9"/>
  <c r="H107" i="9"/>
  <c r="G120" i="9"/>
  <c r="H51" i="9"/>
  <c r="G91" i="9"/>
  <c r="J58" i="9"/>
  <c r="J11" i="5"/>
  <c r="K11" i="5" s="1"/>
  <c r="H113" i="9"/>
  <c r="G126" i="9"/>
  <c r="G101" i="9"/>
  <c r="H110" i="9"/>
  <c r="J86" i="9"/>
  <c r="H85" i="9"/>
  <c r="G98" i="9"/>
  <c r="H10" i="9"/>
  <c r="I111" i="9" s="1"/>
  <c r="G5" i="9"/>
  <c r="H106" i="9" s="1"/>
  <c r="C11" i="5"/>
  <c r="H14" i="9"/>
  <c r="I31" i="9" s="1"/>
  <c r="G72" i="8"/>
  <c r="H23" i="8"/>
  <c r="H135" i="8"/>
  <c r="I86" i="8"/>
  <c r="G95" i="8"/>
  <c r="G125" i="8"/>
  <c r="H136" i="8"/>
  <c r="G9" i="8"/>
  <c r="H54" i="8" s="1"/>
  <c r="G97" i="8"/>
  <c r="H51" i="8"/>
  <c r="H107" i="8"/>
  <c r="G115" i="8"/>
  <c r="G143" i="8"/>
  <c r="G151" i="8"/>
  <c r="H13" i="8"/>
  <c r="I114" i="8" s="1"/>
  <c r="H8" i="8"/>
  <c r="I25" i="8" s="1"/>
  <c r="H27" i="8"/>
  <c r="I58" i="8"/>
  <c r="I12" i="8"/>
  <c r="J57" i="8" s="1"/>
  <c r="H139" i="8"/>
  <c r="I142" i="8"/>
  <c r="H68" i="8"/>
  <c r="H73" i="8"/>
  <c r="H65" i="8"/>
  <c r="H71" i="8"/>
  <c r="H70" i="8"/>
  <c r="H66" i="8"/>
  <c r="L11" i="5"/>
  <c r="G56" i="8"/>
  <c r="G10" i="3"/>
  <c r="AH11" i="4" s="1"/>
  <c r="AQ11" i="4"/>
  <c r="AP10" i="4"/>
  <c r="O10" i="4"/>
  <c r="F10" i="3" s="1"/>
  <c r="AG10" i="4"/>
  <c r="D11" i="3"/>
  <c r="V12" i="4" s="1"/>
  <c r="H57" i="9" l="1"/>
  <c r="H79" i="9"/>
  <c r="H6" i="9" s="1"/>
  <c r="H84" i="9"/>
  <c r="I143" i="9"/>
  <c r="R11" i="5"/>
  <c r="S11" i="5"/>
  <c r="H99" i="8"/>
  <c r="H98" i="8"/>
  <c r="H91" i="8"/>
  <c r="H101" i="8"/>
  <c r="H94" i="8"/>
  <c r="H92" i="8"/>
  <c r="H93" i="8"/>
  <c r="H96" i="8"/>
  <c r="G14" i="8"/>
  <c r="H31" i="8" s="1"/>
  <c r="G11" i="8"/>
  <c r="H28" i="8" s="1"/>
  <c r="H15" i="8"/>
  <c r="I60" i="8"/>
  <c r="I22" i="8"/>
  <c r="I78" i="8"/>
  <c r="I106" i="8"/>
  <c r="AD11" i="5"/>
  <c r="AF11" i="5" s="1"/>
  <c r="B11" i="5"/>
  <c r="W11" i="5"/>
  <c r="H120" i="8" s="1"/>
  <c r="I134" i="8"/>
  <c r="I5" i="8" s="1"/>
  <c r="J50" i="8" s="1"/>
  <c r="H64" i="8"/>
  <c r="W11" i="4"/>
  <c r="Z11" i="4" s="1"/>
  <c r="N11" i="4"/>
  <c r="E11" i="4"/>
  <c r="AO11" i="4"/>
  <c r="AI10" i="4"/>
  <c r="AF11" i="4"/>
  <c r="AM11" i="4"/>
  <c r="B11" i="3"/>
  <c r="I139" i="9"/>
  <c r="H78" i="9"/>
  <c r="H134" i="9"/>
  <c r="H147" i="9" s="1"/>
  <c r="I108" i="9"/>
  <c r="I52" i="9"/>
  <c r="H87" i="8"/>
  <c r="H100" i="8" s="1"/>
  <c r="H110" i="8"/>
  <c r="I109" i="8"/>
  <c r="I7" i="9"/>
  <c r="J24" i="9" s="1"/>
  <c r="H28" i="9"/>
  <c r="H41" i="9" s="1"/>
  <c r="H144" i="9"/>
  <c r="H157" i="9" s="1"/>
  <c r="H60" i="9"/>
  <c r="H116" i="9"/>
  <c r="H129" i="9" s="1"/>
  <c r="H9" i="9"/>
  <c r="H112" i="9"/>
  <c r="H32" i="9"/>
  <c r="H45" i="9" s="1"/>
  <c r="H140" i="9"/>
  <c r="H153" i="9" s="1"/>
  <c r="I115" i="9"/>
  <c r="H81" i="9"/>
  <c r="H109" i="9"/>
  <c r="H122" i="9" s="1"/>
  <c r="H53" i="9"/>
  <c r="H137" i="9"/>
  <c r="H150" i="9" s="1"/>
  <c r="I59" i="9"/>
  <c r="I55" i="9"/>
  <c r="H25" i="9"/>
  <c r="H37" i="9"/>
  <c r="H35" i="9"/>
  <c r="F11" i="5"/>
  <c r="H40" i="9"/>
  <c r="H36" i="9"/>
  <c r="H42" i="9"/>
  <c r="H38" i="9"/>
  <c r="H39" i="9"/>
  <c r="I11" i="3"/>
  <c r="C12" i="5" s="1"/>
  <c r="H43" i="9"/>
  <c r="H44" i="9"/>
  <c r="I87" i="9"/>
  <c r="H22" i="9"/>
  <c r="I83" i="9"/>
  <c r="H121" i="9"/>
  <c r="H126" i="9"/>
  <c r="H119" i="9"/>
  <c r="H128" i="9"/>
  <c r="H123" i="9"/>
  <c r="H124" i="9"/>
  <c r="H127" i="9"/>
  <c r="H120" i="9"/>
  <c r="AA11" i="5"/>
  <c r="J13" i="9"/>
  <c r="K114" i="9" s="1"/>
  <c r="H65" i="9"/>
  <c r="H64" i="9"/>
  <c r="M11" i="5"/>
  <c r="H68" i="9"/>
  <c r="H69" i="9"/>
  <c r="H70" i="9"/>
  <c r="H71" i="9"/>
  <c r="H67" i="9"/>
  <c r="H72" i="9"/>
  <c r="H156" i="9"/>
  <c r="H151" i="9"/>
  <c r="AH11" i="5"/>
  <c r="H154" i="9"/>
  <c r="H148" i="9"/>
  <c r="H152" i="9"/>
  <c r="H155" i="9"/>
  <c r="H149" i="9"/>
  <c r="H12" i="9"/>
  <c r="I29" i="9" s="1"/>
  <c r="H88" i="9"/>
  <c r="H101" i="9" s="1"/>
  <c r="H100" i="9"/>
  <c r="H94" i="9"/>
  <c r="H92" i="9"/>
  <c r="H97" i="9"/>
  <c r="H95" i="9"/>
  <c r="H91" i="9"/>
  <c r="H96" i="9"/>
  <c r="H99" i="9"/>
  <c r="H98" i="9"/>
  <c r="H93" i="9"/>
  <c r="T11" i="5"/>
  <c r="I27" i="9"/>
  <c r="H50" i="9"/>
  <c r="H63" i="9" s="1"/>
  <c r="H112" i="8"/>
  <c r="H84" i="8"/>
  <c r="H140" i="8"/>
  <c r="H67" i="8"/>
  <c r="H10" i="8"/>
  <c r="H6" i="8"/>
  <c r="I79" i="8" s="1"/>
  <c r="I23" i="8"/>
  <c r="H138" i="8"/>
  <c r="H82" i="8"/>
  <c r="H26" i="8"/>
  <c r="I30" i="8"/>
  <c r="H7" i="8"/>
  <c r="I136" i="8" s="1"/>
  <c r="I137" i="8"/>
  <c r="J141" i="8"/>
  <c r="J113" i="8"/>
  <c r="J85" i="8"/>
  <c r="H56" i="8"/>
  <c r="G69" i="8"/>
  <c r="J29" i="8"/>
  <c r="I53" i="8"/>
  <c r="I81" i="8"/>
  <c r="G156" i="8"/>
  <c r="H115" i="8"/>
  <c r="G128" i="8"/>
  <c r="Y11" i="4"/>
  <c r="P11" i="4"/>
  <c r="G11" i="4"/>
  <c r="F11" i="4"/>
  <c r="X11" i="4"/>
  <c r="AP11" i="4"/>
  <c r="AG11" i="4"/>
  <c r="O11" i="4"/>
  <c r="D12" i="4"/>
  <c r="M12" i="4"/>
  <c r="AE12" i="4"/>
  <c r="AN12" i="4"/>
  <c r="I14" i="9" l="1"/>
  <c r="J143" i="9" s="1"/>
  <c r="Q12" i="5"/>
  <c r="I23" i="9"/>
  <c r="I79" i="9"/>
  <c r="I135" i="9"/>
  <c r="I51" i="9"/>
  <c r="I107" i="9"/>
  <c r="J108" i="9"/>
  <c r="J136" i="9"/>
  <c r="H148" i="8"/>
  <c r="H152" i="8"/>
  <c r="H45" i="8"/>
  <c r="H43" i="8"/>
  <c r="H38" i="8"/>
  <c r="D11" i="5"/>
  <c r="H42" i="8"/>
  <c r="H35" i="8"/>
  <c r="H11" i="3"/>
  <c r="H37" i="8"/>
  <c r="E11" i="5"/>
  <c r="H123" i="8"/>
  <c r="H122" i="8"/>
  <c r="H126" i="8"/>
  <c r="H119" i="8"/>
  <c r="Y11" i="5"/>
  <c r="Z11" i="5"/>
  <c r="H129" i="8"/>
  <c r="H124" i="8"/>
  <c r="H127" i="8"/>
  <c r="H121" i="8"/>
  <c r="H149" i="8"/>
  <c r="I144" i="8"/>
  <c r="I32" i="8"/>
  <c r="H44" i="8"/>
  <c r="H143" i="8"/>
  <c r="H40" i="8"/>
  <c r="I88" i="8"/>
  <c r="H154" i="8"/>
  <c r="AG11" i="5"/>
  <c r="H155" i="8"/>
  <c r="H147" i="8"/>
  <c r="H157" i="8"/>
  <c r="H150" i="8"/>
  <c r="H36" i="8"/>
  <c r="H59" i="8"/>
  <c r="I59" i="8" s="1"/>
  <c r="I116" i="8"/>
  <c r="AR11" i="4"/>
  <c r="E11" i="3"/>
  <c r="W12" i="4" s="1"/>
  <c r="Z12" i="4" s="1"/>
  <c r="E12" i="4"/>
  <c r="H11" i="4"/>
  <c r="N12" i="4"/>
  <c r="Q11" i="4"/>
  <c r="AF12" i="4"/>
  <c r="AI11" i="4"/>
  <c r="C11" i="3"/>
  <c r="B12" i="4"/>
  <c r="T12" i="4"/>
  <c r="K12" i="4"/>
  <c r="AC12" i="4"/>
  <c r="AL12" i="4"/>
  <c r="I85" i="9"/>
  <c r="I113" i="9"/>
  <c r="I141" i="9"/>
  <c r="X12" i="5"/>
  <c r="I122" i="9" s="1"/>
  <c r="AE12" i="5"/>
  <c r="I156" i="9" s="1"/>
  <c r="I57" i="9"/>
  <c r="I12" i="9" s="1"/>
  <c r="J141" i="9" s="1"/>
  <c r="J52" i="9"/>
  <c r="J80" i="9"/>
  <c r="J134" i="8"/>
  <c r="J22" i="8"/>
  <c r="I107" i="8"/>
  <c r="H14" i="8"/>
  <c r="I115" i="8" s="1"/>
  <c r="I42" i="9"/>
  <c r="F12" i="5"/>
  <c r="I37" i="9"/>
  <c r="I40" i="9"/>
  <c r="I36" i="9"/>
  <c r="I43" i="9"/>
  <c r="I44" i="9"/>
  <c r="I138" i="9"/>
  <c r="I26" i="9"/>
  <c r="I54" i="9"/>
  <c r="K86" i="9"/>
  <c r="T12" i="5"/>
  <c r="I100" i="9"/>
  <c r="I96" i="9"/>
  <c r="I93" i="9"/>
  <c r="I98" i="9"/>
  <c r="I92" i="9"/>
  <c r="I99" i="9"/>
  <c r="J31" i="9"/>
  <c r="AH12" i="5"/>
  <c r="I149" i="9"/>
  <c r="I152" i="9"/>
  <c r="I154" i="9"/>
  <c r="I148" i="9"/>
  <c r="H125" i="9"/>
  <c r="I82" i="9"/>
  <c r="J59" i="9"/>
  <c r="H5" i="9"/>
  <c r="I10" i="9"/>
  <c r="J83" i="9" s="1"/>
  <c r="J27" i="9"/>
  <c r="H8" i="9"/>
  <c r="I109" i="9" s="1"/>
  <c r="J87" i="9"/>
  <c r="I81" i="9"/>
  <c r="I94" i="9" s="1"/>
  <c r="I110" i="9"/>
  <c r="H73" i="9"/>
  <c r="J115" i="9"/>
  <c r="I137" i="9"/>
  <c r="J12" i="5"/>
  <c r="I6" i="9"/>
  <c r="J23" i="9" s="1"/>
  <c r="K30" i="9"/>
  <c r="K142" i="9"/>
  <c r="J135" i="9"/>
  <c r="I126" i="9"/>
  <c r="I124" i="9"/>
  <c r="AA12" i="5"/>
  <c r="H11" i="9"/>
  <c r="I28" i="9" s="1"/>
  <c r="K58" i="9"/>
  <c r="H66" i="9"/>
  <c r="H15" i="9"/>
  <c r="I116" i="9" s="1"/>
  <c r="I32" i="9"/>
  <c r="H97" i="8"/>
  <c r="H153" i="8"/>
  <c r="H11" i="8"/>
  <c r="I140" i="8" s="1"/>
  <c r="I28" i="8"/>
  <c r="H41" i="8"/>
  <c r="J12" i="8"/>
  <c r="K57" i="8" s="1"/>
  <c r="I82" i="8"/>
  <c r="H95" i="8"/>
  <c r="I55" i="8"/>
  <c r="I111" i="8"/>
  <c r="I83" i="8"/>
  <c r="H156" i="8"/>
  <c r="I135" i="8"/>
  <c r="H151" i="8"/>
  <c r="I139" i="8"/>
  <c r="H69" i="8"/>
  <c r="J78" i="8"/>
  <c r="H9" i="8"/>
  <c r="I138" i="8" s="1"/>
  <c r="I26" i="8"/>
  <c r="H39" i="8"/>
  <c r="I51" i="8"/>
  <c r="H125" i="8"/>
  <c r="I24" i="8"/>
  <c r="I80" i="8"/>
  <c r="I108" i="8"/>
  <c r="I52" i="8"/>
  <c r="H128" i="8"/>
  <c r="I13" i="8"/>
  <c r="J30" i="8" s="1"/>
  <c r="J106" i="8"/>
  <c r="I8" i="8"/>
  <c r="J81" i="8" s="1"/>
  <c r="I27" i="8"/>
  <c r="G11" i="3"/>
  <c r="Y12" i="4" s="1"/>
  <c r="F11" i="3"/>
  <c r="AG12" i="4" s="1"/>
  <c r="F12" i="4"/>
  <c r="Q12" i="4"/>
  <c r="AI12" i="4"/>
  <c r="D12" i="3"/>
  <c r="V13" i="4" s="1"/>
  <c r="H12" i="4"/>
  <c r="D13" i="4"/>
  <c r="J7" i="9" l="1"/>
  <c r="K24" i="9" s="1"/>
  <c r="I155" i="9"/>
  <c r="I53" i="9"/>
  <c r="I120" i="9"/>
  <c r="I127" i="9"/>
  <c r="I121" i="9"/>
  <c r="K136" i="9"/>
  <c r="J57" i="9"/>
  <c r="I140" i="9"/>
  <c r="I153" i="9" s="1"/>
  <c r="I151" i="9"/>
  <c r="B12" i="5"/>
  <c r="I12" i="5"/>
  <c r="P12" i="5"/>
  <c r="H72" i="8"/>
  <c r="I31" i="8"/>
  <c r="I87" i="8"/>
  <c r="J87" i="8" s="1"/>
  <c r="AD12" i="5"/>
  <c r="I143" i="8"/>
  <c r="W12" i="5"/>
  <c r="I112" i="8"/>
  <c r="I124" i="8"/>
  <c r="I15" i="8"/>
  <c r="AO12" i="4"/>
  <c r="U12" i="4"/>
  <c r="AM12" i="4"/>
  <c r="B12" i="3"/>
  <c r="C12" i="3" s="1"/>
  <c r="C12" i="4"/>
  <c r="AC13" i="4"/>
  <c r="AD12" i="4"/>
  <c r="L12" i="4"/>
  <c r="K13" i="4"/>
  <c r="I25" i="9"/>
  <c r="I38" i="9" s="1"/>
  <c r="J85" i="9"/>
  <c r="I128" i="9"/>
  <c r="I88" i="9"/>
  <c r="I101" i="9" s="1"/>
  <c r="K108" i="9"/>
  <c r="J5" i="8"/>
  <c r="K141" i="8"/>
  <c r="J53" i="8"/>
  <c r="G12" i="4"/>
  <c r="P12" i="4"/>
  <c r="I129" i="9"/>
  <c r="I9" i="9"/>
  <c r="J26" i="9" s="1"/>
  <c r="J107" i="9"/>
  <c r="J79" i="9"/>
  <c r="I60" i="9"/>
  <c r="I56" i="9"/>
  <c r="I69" i="9" s="1"/>
  <c r="I84" i="9"/>
  <c r="J113" i="9"/>
  <c r="K52" i="9"/>
  <c r="I78" i="9"/>
  <c r="I106" i="9"/>
  <c r="I134" i="9"/>
  <c r="K13" i="9"/>
  <c r="L114" i="9" s="1"/>
  <c r="L30" i="9"/>
  <c r="I50" i="9"/>
  <c r="I63" i="9" s="1"/>
  <c r="K80" i="9"/>
  <c r="L58" i="9"/>
  <c r="J29" i="9"/>
  <c r="J51" i="9"/>
  <c r="I41" i="9"/>
  <c r="I8" i="9"/>
  <c r="J109" i="9" s="1"/>
  <c r="J111" i="9"/>
  <c r="J139" i="9"/>
  <c r="I22" i="9"/>
  <c r="I64" i="9"/>
  <c r="I66" i="9"/>
  <c r="I70" i="9"/>
  <c r="I72" i="9"/>
  <c r="M12" i="5"/>
  <c r="I68" i="9"/>
  <c r="I67" i="9"/>
  <c r="I71" i="9"/>
  <c r="I65" i="9"/>
  <c r="K12" i="5"/>
  <c r="I12" i="3"/>
  <c r="I39" i="9"/>
  <c r="I150" i="9"/>
  <c r="J14" i="9"/>
  <c r="K143" i="9" s="1"/>
  <c r="I123" i="9"/>
  <c r="I112" i="9"/>
  <c r="J55" i="9"/>
  <c r="I45" i="9"/>
  <c r="K115" i="9"/>
  <c r="I144" i="9"/>
  <c r="I95" i="9"/>
  <c r="K134" i="8"/>
  <c r="K22" i="8"/>
  <c r="K50" i="8"/>
  <c r="I151" i="8"/>
  <c r="I153" i="8"/>
  <c r="I152" i="8"/>
  <c r="J25" i="8"/>
  <c r="J109" i="8"/>
  <c r="I10" i="8"/>
  <c r="J111" i="8" s="1"/>
  <c r="I40" i="8"/>
  <c r="J142" i="8"/>
  <c r="J58" i="8"/>
  <c r="J86" i="8"/>
  <c r="J114" i="8"/>
  <c r="K78" i="8"/>
  <c r="I96" i="8"/>
  <c r="I84" i="8"/>
  <c r="I39" i="8"/>
  <c r="I56" i="8"/>
  <c r="I95" i="8"/>
  <c r="I14" i="8"/>
  <c r="J31" i="8" s="1"/>
  <c r="I44" i="8"/>
  <c r="J115" i="8"/>
  <c r="K106" i="8"/>
  <c r="I7" i="8"/>
  <c r="J136" i="8" s="1"/>
  <c r="I37" i="8"/>
  <c r="K29" i="8"/>
  <c r="J59" i="8"/>
  <c r="K113" i="8"/>
  <c r="J137" i="8"/>
  <c r="I64" i="8"/>
  <c r="I6" i="8"/>
  <c r="J135" i="8"/>
  <c r="I148" i="8"/>
  <c r="I65" i="8"/>
  <c r="K85" i="8"/>
  <c r="I110" i="8"/>
  <c r="I54" i="8"/>
  <c r="I128" i="8"/>
  <c r="I121" i="8"/>
  <c r="I68" i="8"/>
  <c r="I125" i="8"/>
  <c r="J143" i="8"/>
  <c r="I156" i="8"/>
  <c r="AQ12" i="4"/>
  <c r="AH12" i="4"/>
  <c r="O12" i="4"/>
  <c r="X12" i="4"/>
  <c r="AP12" i="4"/>
  <c r="F12" i="3"/>
  <c r="AG13" i="4" s="1"/>
  <c r="M13" i="4"/>
  <c r="AE13" i="4"/>
  <c r="AN13" i="4"/>
  <c r="J54" i="9" l="1"/>
  <c r="J82" i="9"/>
  <c r="J10" i="9"/>
  <c r="I91" i="8"/>
  <c r="I99" i="8"/>
  <c r="I92" i="8"/>
  <c r="I94" i="8"/>
  <c r="I101" i="8"/>
  <c r="I100" i="8"/>
  <c r="I98" i="8"/>
  <c r="S12" i="5"/>
  <c r="R12" i="5"/>
  <c r="L12" i="5"/>
  <c r="I70" i="8"/>
  <c r="I63" i="8"/>
  <c r="I73" i="8"/>
  <c r="I71" i="8"/>
  <c r="I66" i="8"/>
  <c r="J144" i="8"/>
  <c r="J60" i="8"/>
  <c r="J32" i="8"/>
  <c r="J116" i="8"/>
  <c r="I35" i="8"/>
  <c r="I42" i="8"/>
  <c r="E12" i="5"/>
  <c r="I38" i="8"/>
  <c r="I45" i="8"/>
  <c r="H12" i="3"/>
  <c r="D12" i="5"/>
  <c r="I36" i="8"/>
  <c r="I43" i="8"/>
  <c r="I129" i="8"/>
  <c r="I119" i="8"/>
  <c r="I122" i="8"/>
  <c r="I127" i="8"/>
  <c r="Y12" i="5"/>
  <c r="Z12" i="5"/>
  <c r="I126" i="8"/>
  <c r="I120" i="8"/>
  <c r="I155" i="8"/>
  <c r="AG12" i="5"/>
  <c r="I147" i="8"/>
  <c r="I154" i="8"/>
  <c r="I157" i="8"/>
  <c r="I150" i="8"/>
  <c r="AF12" i="5"/>
  <c r="I149" i="8"/>
  <c r="I93" i="8"/>
  <c r="I72" i="8"/>
  <c r="I41" i="8"/>
  <c r="J88" i="8"/>
  <c r="G12" i="3"/>
  <c r="AR12" i="4"/>
  <c r="E12" i="3"/>
  <c r="AD13" i="4"/>
  <c r="B13" i="4"/>
  <c r="T13" i="4"/>
  <c r="L13" i="4"/>
  <c r="AL13" i="4"/>
  <c r="K83" i="9"/>
  <c r="K27" i="9"/>
  <c r="J138" i="9"/>
  <c r="J81" i="9"/>
  <c r="J53" i="9"/>
  <c r="J110" i="9"/>
  <c r="J25" i="9"/>
  <c r="J137" i="9"/>
  <c r="K59" i="9"/>
  <c r="K87" i="9"/>
  <c r="I11" i="8"/>
  <c r="J28" i="8" s="1"/>
  <c r="J9" i="9"/>
  <c r="K54" i="9" s="1"/>
  <c r="I11" i="9"/>
  <c r="J84" i="9" s="1"/>
  <c r="I157" i="9"/>
  <c r="I15" i="9"/>
  <c r="J144" i="9" s="1"/>
  <c r="I125" i="9"/>
  <c r="I147" i="9"/>
  <c r="I5" i="9"/>
  <c r="J22" i="9" s="1"/>
  <c r="I35" i="9"/>
  <c r="J106" i="9"/>
  <c r="I119" i="9"/>
  <c r="K7" i="9"/>
  <c r="L52" i="9" s="1"/>
  <c r="C13" i="5"/>
  <c r="Q13" i="5"/>
  <c r="AE13" i="5"/>
  <c r="X13" i="5"/>
  <c r="K55" i="9"/>
  <c r="L142" i="9"/>
  <c r="J78" i="9"/>
  <c r="I91" i="9"/>
  <c r="J13" i="5"/>
  <c r="K31" i="9"/>
  <c r="K139" i="9"/>
  <c r="J12" i="9"/>
  <c r="K113" i="9" s="1"/>
  <c r="I73" i="9"/>
  <c r="J6" i="9"/>
  <c r="K107" i="9" s="1"/>
  <c r="K111" i="9"/>
  <c r="L86" i="9"/>
  <c r="I97" i="9"/>
  <c r="J14" i="8"/>
  <c r="K59" i="8" s="1"/>
  <c r="K31" i="8"/>
  <c r="K12" i="8"/>
  <c r="L29" i="8" s="1"/>
  <c r="L113" i="8"/>
  <c r="J55" i="8"/>
  <c r="J52" i="8"/>
  <c r="J56" i="8"/>
  <c r="I69" i="8"/>
  <c r="I67" i="8"/>
  <c r="J27" i="8"/>
  <c r="J80" i="8"/>
  <c r="J8" i="8"/>
  <c r="K137" i="8" s="1"/>
  <c r="I9" i="8"/>
  <c r="J54" i="8" s="1"/>
  <c r="J139" i="8"/>
  <c r="J13" i="8"/>
  <c r="K30" i="8" s="1"/>
  <c r="K58" i="8"/>
  <c r="K109" i="8"/>
  <c r="J23" i="8"/>
  <c r="J79" i="8"/>
  <c r="J107" i="8"/>
  <c r="J108" i="8"/>
  <c r="J84" i="8"/>
  <c r="I97" i="8"/>
  <c r="I123" i="8"/>
  <c r="J51" i="8"/>
  <c r="J83" i="8"/>
  <c r="K5" i="8"/>
  <c r="L50" i="8" s="1"/>
  <c r="L22" i="8"/>
  <c r="J24" i="8"/>
  <c r="Y13" i="4"/>
  <c r="P13" i="4"/>
  <c r="G13" i="4"/>
  <c r="AQ13" i="4"/>
  <c r="AH13" i="4"/>
  <c r="AP13" i="4"/>
  <c r="X13" i="4"/>
  <c r="O13" i="4"/>
  <c r="F13" i="4"/>
  <c r="D13" i="3"/>
  <c r="AN14" i="4" s="1"/>
  <c r="M14" i="4"/>
  <c r="K26" i="9" l="1"/>
  <c r="K110" i="9"/>
  <c r="J56" i="9"/>
  <c r="L80" i="9"/>
  <c r="J50" i="9"/>
  <c r="J112" i="9"/>
  <c r="J8" i="9"/>
  <c r="K53" i="9" s="1"/>
  <c r="J134" i="9"/>
  <c r="J147" i="9" s="1"/>
  <c r="K82" i="9"/>
  <c r="J112" i="8"/>
  <c r="J15" i="8"/>
  <c r="K32" i="8" s="1"/>
  <c r="J140" i="8"/>
  <c r="L134" i="8"/>
  <c r="J110" i="8"/>
  <c r="P13" i="5"/>
  <c r="J97" i="8" s="1"/>
  <c r="AD13" i="5"/>
  <c r="B13" i="5"/>
  <c r="W13" i="5"/>
  <c r="J121" i="8" s="1"/>
  <c r="I13" i="5"/>
  <c r="J65" i="8" s="1"/>
  <c r="J37" i="8"/>
  <c r="J40" i="8"/>
  <c r="K88" i="8"/>
  <c r="W13" i="4"/>
  <c r="Z13" i="4" s="1"/>
  <c r="E13" i="4"/>
  <c r="N13" i="4"/>
  <c r="AF13" i="4"/>
  <c r="AO13" i="4"/>
  <c r="C13" i="4"/>
  <c r="B13" i="3"/>
  <c r="B14" i="4"/>
  <c r="U13" i="4"/>
  <c r="T14" i="4"/>
  <c r="AL14" i="4"/>
  <c r="AM13" i="4"/>
  <c r="L13" i="9"/>
  <c r="M142" i="9" s="1"/>
  <c r="K10" i="9"/>
  <c r="L83" i="9" s="1"/>
  <c r="K138" i="9"/>
  <c r="K115" i="8"/>
  <c r="K143" i="8"/>
  <c r="K114" i="8"/>
  <c r="K87" i="8"/>
  <c r="K14" i="8" s="1"/>
  <c r="L78" i="8"/>
  <c r="K142" i="8"/>
  <c r="L106" i="8"/>
  <c r="L85" i="8"/>
  <c r="K86" i="8"/>
  <c r="K13" i="8" s="1"/>
  <c r="L114" i="8" s="1"/>
  <c r="J5" i="9"/>
  <c r="K22" i="9" s="1"/>
  <c r="M114" i="9"/>
  <c r="K23" i="9"/>
  <c r="K135" i="9"/>
  <c r="K57" i="9"/>
  <c r="K141" i="9"/>
  <c r="K85" i="9"/>
  <c r="J60" i="9"/>
  <c r="J73" i="9" s="1"/>
  <c r="AA13" i="5"/>
  <c r="J125" i="9"/>
  <c r="J122" i="9"/>
  <c r="J127" i="9"/>
  <c r="J120" i="9"/>
  <c r="J121" i="9"/>
  <c r="J123" i="9"/>
  <c r="J128" i="9"/>
  <c r="J126" i="9"/>
  <c r="J124" i="9"/>
  <c r="J119" i="9"/>
  <c r="J93" i="9"/>
  <c r="J100" i="9"/>
  <c r="J91" i="9"/>
  <c r="J92" i="9"/>
  <c r="J94" i="9"/>
  <c r="J98" i="9"/>
  <c r="T13" i="5"/>
  <c r="J99" i="9"/>
  <c r="J97" i="9"/>
  <c r="J95" i="9"/>
  <c r="J96" i="9"/>
  <c r="R13" i="5"/>
  <c r="K29" i="9"/>
  <c r="J28" i="9"/>
  <c r="J140" i="9"/>
  <c r="K137" i="9"/>
  <c r="J41" i="9"/>
  <c r="J37" i="9"/>
  <c r="J40" i="9"/>
  <c r="J42" i="9"/>
  <c r="J35" i="9"/>
  <c r="F13" i="5"/>
  <c r="J38" i="9"/>
  <c r="J36" i="9"/>
  <c r="J43" i="9"/>
  <c r="J44" i="9"/>
  <c r="I13" i="3"/>
  <c r="AE14" i="5" s="1"/>
  <c r="K51" i="9"/>
  <c r="J65" i="9"/>
  <c r="M13" i="5"/>
  <c r="J64" i="9"/>
  <c r="J68" i="9"/>
  <c r="J70" i="9"/>
  <c r="J69" i="9"/>
  <c r="J71" i="9"/>
  <c r="J72" i="9"/>
  <c r="J67" i="9"/>
  <c r="J63" i="9"/>
  <c r="J66" i="9"/>
  <c r="J156" i="9"/>
  <c r="J148" i="9"/>
  <c r="J152" i="9"/>
  <c r="J155" i="9"/>
  <c r="J149" i="9"/>
  <c r="AH13" i="5"/>
  <c r="J150" i="9"/>
  <c r="J154" i="9"/>
  <c r="J151" i="9"/>
  <c r="J157" i="9"/>
  <c r="J116" i="9"/>
  <c r="J129" i="9" s="1"/>
  <c r="J32" i="9"/>
  <c r="J45" i="9" s="1"/>
  <c r="J88" i="9"/>
  <c r="L108" i="9"/>
  <c r="L136" i="9"/>
  <c r="L24" i="9"/>
  <c r="J39" i="9"/>
  <c r="K79" i="9"/>
  <c r="K14" i="9"/>
  <c r="J138" i="8"/>
  <c r="J26" i="8"/>
  <c r="J82" i="8"/>
  <c r="J6" i="8"/>
  <c r="K135" i="8" s="1"/>
  <c r="J96" i="8"/>
  <c r="K108" i="8"/>
  <c r="L57" i="8"/>
  <c r="L141" i="8"/>
  <c r="K53" i="8"/>
  <c r="K81" i="8"/>
  <c r="J7" i="8"/>
  <c r="K136" i="8" s="1"/>
  <c r="K25" i="8"/>
  <c r="K80" i="8"/>
  <c r="J93" i="8"/>
  <c r="J10" i="8"/>
  <c r="K111" i="8" s="1"/>
  <c r="J11" i="8"/>
  <c r="K28" i="8" s="1"/>
  <c r="G13" i="3"/>
  <c r="AQ14" i="4" s="1"/>
  <c r="AH14" i="4"/>
  <c r="Y14" i="4"/>
  <c r="F13" i="3"/>
  <c r="AG14" i="4" s="1"/>
  <c r="D14" i="4"/>
  <c r="V14" i="4"/>
  <c r="AE14" i="4"/>
  <c r="K109" i="9" l="1"/>
  <c r="M86" i="9"/>
  <c r="K81" i="9"/>
  <c r="L111" i="9"/>
  <c r="L55" i="9"/>
  <c r="M58" i="9"/>
  <c r="L139" i="9"/>
  <c r="M30" i="9"/>
  <c r="M13" i="9" s="1"/>
  <c r="N142" i="9" s="1"/>
  <c r="K78" i="9"/>
  <c r="K9" i="9"/>
  <c r="K25" i="9"/>
  <c r="K8" i="9" s="1"/>
  <c r="L27" i="9"/>
  <c r="K50" i="9"/>
  <c r="L31" i="8"/>
  <c r="L143" i="8"/>
  <c r="L5" i="8"/>
  <c r="M50" i="8" s="1"/>
  <c r="J123" i="8"/>
  <c r="K13" i="5"/>
  <c r="J36" i="8"/>
  <c r="J41" i="8"/>
  <c r="J155" i="8"/>
  <c r="J149" i="8"/>
  <c r="AG13" i="5"/>
  <c r="J157" i="8"/>
  <c r="J154" i="8"/>
  <c r="J150" i="8"/>
  <c r="J147" i="8"/>
  <c r="J156" i="8"/>
  <c r="J148" i="8"/>
  <c r="J64" i="8"/>
  <c r="J67" i="8"/>
  <c r="J68" i="8"/>
  <c r="J69" i="8"/>
  <c r="K144" i="8"/>
  <c r="J124" i="8"/>
  <c r="J127" i="8"/>
  <c r="J120" i="8"/>
  <c r="Z13" i="5"/>
  <c r="J119" i="8"/>
  <c r="J129" i="8"/>
  <c r="J128" i="8"/>
  <c r="J122" i="8"/>
  <c r="J126" i="8"/>
  <c r="Y13" i="5"/>
  <c r="J91" i="8"/>
  <c r="J101" i="8"/>
  <c r="S13" i="5"/>
  <c r="J98" i="8"/>
  <c r="J94" i="8"/>
  <c r="J100" i="8"/>
  <c r="J99" i="8"/>
  <c r="J152" i="8"/>
  <c r="AF13" i="5"/>
  <c r="J92" i="8"/>
  <c r="K60" i="8"/>
  <c r="J63" i="8"/>
  <c r="J66" i="8"/>
  <c r="J73" i="8"/>
  <c r="J71" i="8"/>
  <c r="J70" i="8"/>
  <c r="J72" i="8"/>
  <c r="L13" i="5"/>
  <c r="E13" i="5"/>
  <c r="J44" i="8"/>
  <c r="J45" i="8"/>
  <c r="J42" i="8"/>
  <c r="J38" i="8"/>
  <c r="J35" i="8"/>
  <c r="D13" i="5"/>
  <c r="H13" i="3"/>
  <c r="J43" i="8"/>
  <c r="J153" i="8"/>
  <c r="J125" i="8"/>
  <c r="K116" i="8"/>
  <c r="AI13" i="4"/>
  <c r="Q13" i="4"/>
  <c r="E13" i="3"/>
  <c r="W14" i="4" s="1"/>
  <c r="H13" i="4"/>
  <c r="AO14" i="4"/>
  <c r="AR13" i="4"/>
  <c r="O14" i="4"/>
  <c r="AP14" i="4"/>
  <c r="X14" i="4"/>
  <c r="C14" i="4"/>
  <c r="AM14" i="4"/>
  <c r="C13" i="3"/>
  <c r="AC14" i="4"/>
  <c r="K14" i="4"/>
  <c r="B14" i="3" s="1"/>
  <c r="U14" i="4"/>
  <c r="K134" i="9"/>
  <c r="K147" i="9" s="1"/>
  <c r="K106" i="9"/>
  <c r="K5" i="9" s="1"/>
  <c r="L50" i="9" s="1"/>
  <c r="K55" i="8"/>
  <c r="K56" i="8"/>
  <c r="K112" i="8"/>
  <c r="K140" i="8"/>
  <c r="K84" i="8"/>
  <c r="K11" i="8" s="1"/>
  <c r="K83" i="8"/>
  <c r="P14" i="4"/>
  <c r="K156" i="9"/>
  <c r="K151" i="9"/>
  <c r="K150" i="9"/>
  <c r="K152" i="9"/>
  <c r="K155" i="9"/>
  <c r="AH14" i="5"/>
  <c r="K149" i="9"/>
  <c r="K154" i="9"/>
  <c r="K148" i="9"/>
  <c r="L7" i="9"/>
  <c r="M136" i="9" s="1"/>
  <c r="Q14" i="5"/>
  <c r="K6" i="9"/>
  <c r="L107" i="9" s="1"/>
  <c r="L23" i="9"/>
  <c r="K12" i="9"/>
  <c r="L113" i="9" s="1"/>
  <c r="J14" i="5"/>
  <c r="L10" i="9"/>
  <c r="M83" i="9" s="1"/>
  <c r="M27" i="9"/>
  <c r="M111" i="9"/>
  <c r="L85" i="9"/>
  <c r="M139" i="9"/>
  <c r="K88" i="9"/>
  <c r="C14" i="5"/>
  <c r="X14" i="5"/>
  <c r="J153" i="9"/>
  <c r="L87" i="9"/>
  <c r="L143" i="9"/>
  <c r="L115" i="9"/>
  <c r="L59" i="9"/>
  <c r="J101" i="9"/>
  <c r="J11" i="9"/>
  <c r="K28" i="9" s="1"/>
  <c r="L31" i="9"/>
  <c r="J15" i="9"/>
  <c r="K144" i="9" s="1"/>
  <c r="K157" i="9" s="1"/>
  <c r="L142" i="8"/>
  <c r="M106" i="8"/>
  <c r="M22" i="8"/>
  <c r="K79" i="8"/>
  <c r="L87" i="8"/>
  <c r="L30" i="8"/>
  <c r="J95" i="8"/>
  <c r="K107" i="8"/>
  <c r="K8" i="8"/>
  <c r="L81" i="8" s="1"/>
  <c r="L115" i="8"/>
  <c r="K52" i="8"/>
  <c r="K51" i="8"/>
  <c r="L86" i="8"/>
  <c r="M134" i="8"/>
  <c r="K139" i="8"/>
  <c r="L59" i="8"/>
  <c r="L58" i="8"/>
  <c r="K24" i="8"/>
  <c r="M78" i="8"/>
  <c r="K23" i="8"/>
  <c r="J151" i="8"/>
  <c r="L12" i="8"/>
  <c r="M141" i="8" s="1"/>
  <c r="J9" i="8"/>
  <c r="K26" i="8" s="1"/>
  <c r="J39" i="8"/>
  <c r="K27" i="8"/>
  <c r="G14" i="4"/>
  <c r="F14" i="4"/>
  <c r="Z14" i="4"/>
  <c r="D14" i="3"/>
  <c r="AE15" i="4" s="1"/>
  <c r="L53" i="9" l="1"/>
  <c r="L137" i="9"/>
  <c r="L57" i="9"/>
  <c r="M55" i="9"/>
  <c r="N114" i="9"/>
  <c r="L26" i="9"/>
  <c r="L82" i="9"/>
  <c r="L110" i="9"/>
  <c r="L54" i="9"/>
  <c r="N86" i="9"/>
  <c r="L138" i="9"/>
  <c r="L28" i="8"/>
  <c r="L56" i="8"/>
  <c r="L140" i="8"/>
  <c r="L84" i="8"/>
  <c r="P14" i="5"/>
  <c r="R14" i="5" s="1"/>
  <c r="AD14" i="5"/>
  <c r="W14" i="5"/>
  <c r="K96" i="8"/>
  <c r="I14" i="5"/>
  <c r="K120" i="8"/>
  <c r="B14" i="5"/>
  <c r="K15" i="8"/>
  <c r="K152" i="8"/>
  <c r="K36" i="8"/>
  <c r="K97" i="8"/>
  <c r="K68" i="8"/>
  <c r="K138" i="8"/>
  <c r="K151" i="8" s="1"/>
  <c r="K82" i="8"/>
  <c r="K95" i="8" s="1"/>
  <c r="AR14" i="4"/>
  <c r="N14" i="4"/>
  <c r="E14" i="4"/>
  <c r="AF14" i="4"/>
  <c r="C14" i="3"/>
  <c r="AL15" i="4"/>
  <c r="B15" i="4"/>
  <c r="T15" i="4"/>
  <c r="K15" i="4"/>
  <c r="L14" i="4"/>
  <c r="AD14" i="4"/>
  <c r="AC15" i="4"/>
  <c r="L134" i="9"/>
  <c r="N58" i="9"/>
  <c r="K60" i="9"/>
  <c r="K73" i="9" s="1"/>
  <c r="L53" i="8"/>
  <c r="L112" i="8"/>
  <c r="L11" i="8" s="1"/>
  <c r="K93" i="9"/>
  <c r="K98" i="9"/>
  <c r="K99" i="9"/>
  <c r="K92" i="9"/>
  <c r="K91" i="9"/>
  <c r="K101" i="9"/>
  <c r="K94" i="9"/>
  <c r="K96" i="9"/>
  <c r="T14" i="5"/>
  <c r="K95" i="9"/>
  <c r="K100" i="9"/>
  <c r="K35" i="9"/>
  <c r="F14" i="5"/>
  <c r="K38" i="9"/>
  <c r="K41" i="9"/>
  <c r="K42" i="9"/>
  <c r="K37" i="9"/>
  <c r="I14" i="3"/>
  <c r="AE15" i="5" s="1"/>
  <c r="K44" i="9"/>
  <c r="K43" i="9"/>
  <c r="K40" i="9"/>
  <c r="K39" i="9"/>
  <c r="K84" i="9"/>
  <c r="K97" i="9" s="1"/>
  <c r="K112" i="9"/>
  <c r="K56" i="9"/>
  <c r="K11" i="9" s="1"/>
  <c r="L28" i="9" s="1"/>
  <c r="K65" i="9"/>
  <c r="K70" i="9"/>
  <c r="K71" i="9"/>
  <c r="K66" i="9"/>
  <c r="K68" i="9"/>
  <c r="M14" i="5"/>
  <c r="K72" i="9"/>
  <c r="K64" i="9"/>
  <c r="K67" i="9"/>
  <c r="K63" i="9"/>
  <c r="L14" i="9"/>
  <c r="M87" i="9" s="1"/>
  <c r="M31" i="9"/>
  <c r="L25" i="9"/>
  <c r="L78" i="9"/>
  <c r="M115" i="9"/>
  <c r="K140" i="9"/>
  <c r="K36" i="9"/>
  <c r="L81" i="9"/>
  <c r="K124" i="9"/>
  <c r="K126" i="9"/>
  <c r="K128" i="9"/>
  <c r="K122" i="9"/>
  <c r="K120" i="9"/>
  <c r="K127" i="9"/>
  <c r="K121" i="9"/>
  <c r="K119" i="9"/>
  <c r="K123" i="9"/>
  <c r="AA14" i="5"/>
  <c r="M80" i="9"/>
  <c r="M52" i="9"/>
  <c r="L135" i="9"/>
  <c r="L51" i="9"/>
  <c r="L141" i="9"/>
  <c r="L109" i="9"/>
  <c r="Y14" i="5"/>
  <c r="M24" i="9"/>
  <c r="L22" i="9"/>
  <c r="M10" i="9"/>
  <c r="N111" i="9" s="1"/>
  <c r="L106" i="9"/>
  <c r="L79" i="9"/>
  <c r="L6" i="9" s="1"/>
  <c r="M108" i="9"/>
  <c r="L29" i="9"/>
  <c r="D14" i="5"/>
  <c r="N30" i="9"/>
  <c r="K32" i="9"/>
  <c r="K45" i="9" s="1"/>
  <c r="K116" i="9"/>
  <c r="N106" i="8"/>
  <c r="L13" i="8"/>
  <c r="M114" i="8" s="1"/>
  <c r="M30" i="8"/>
  <c r="M58" i="8"/>
  <c r="K92" i="8"/>
  <c r="N78" i="8"/>
  <c r="K64" i="8"/>
  <c r="M86" i="8"/>
  <c r="M29" i="8"/>
  <c r="M113" i="8"/>
  <c r="M85" i="8"/>
  <c r="M57" i="8"/>
  <c r="M5" i="8"/>
  <c r="N50" i="8" s="1"/>
  <c r="K10" i="8"/>
  <c r="L27" i="8"/>
  <c r="K7" i="8"/>
  <c r="L52" i="8" s="1"/>
  <c r="L139" i="8"/>
  <c r="L109" i="8"/>
  <c r="L137" i="8"/>
  <c r="K6" i="8"/>
  <c r="L135" i="8" s="1"/>
  <c r="K54" i="8"/>
  <c r="K110" i="8"/>
  <c r="L25" i="8"/>
  <c r="L14" i="8"/>
  <c r="M87" i="8" s="1"/>
  <c r="G14" i="3"/>
  <c r="G15" i="4" s="1"/>
  <c r="F14" i="3"/>
  <c r="AN15" i="4"/>
  <c r="M15" i="4"/>
  <c r="D15" i="4"/>
  <c r="V15" i="4"/>
  <c r="N27" i="9" l="1"/>
  <c r="L9" i="9"/>
  <c r="K69" i="9"/>
  <c r="M143" i="9"/>
  <c r="J15" i="5"/>
  <c r="Q15" i="5"/>
  <c r="L98" i="9" s="1"/>
  <c r="M56" i="8"/>
  <c r="M28" i="8"/>
  <c r="L88" i="8"/>
  <c r="L32" i="8"/>
  <c r="L60" i="8"/>
  <c r="Z14" i="5"/>
  <c r="K121" i="8"/>
  <c r="K128" i="8"/>
  <c r="K126" i="8"/>
  <c r="K124" i="8"/>
  <c r="K129" i="8"/>
  <c r="K122" i="8"/>
  <c r="K119" i="8"/>
  <c r="K125" i="8"/>
  <c r="K127" i="8"/>
  <c r="L144" i="8"/>
  <c r="K71" i="8"/>
  <c r="K66" i="8"/>
  <c r="K63" i="8"/>
  <c r="K73" i="8"/>
  <c r="K72" i="8"/>
  <c r="K70" i="8"/>
  <c r="L14" i="5"/>
  <c r="K69" i="8"/>
  <c r="K14" i="5"/>
  <c r="K65" i="8"/>
  <c r="M112" i="8"/>
  <c r="K101" i="8"/>
  <c r="K98" i="8"/>
  <c r="K99" i="8"/>
  <c r="K91" i="8"/>
  <c r="K100" i="8"/>
  <c r="S14" i="5"/>
  <c r="K93" i="8"/>
  <c r="K94" i="8"/>
  <c r="H14" i="3"/>
  <c r="K41" i="8"/>
  <c r="K43" i="8"/>
  <c r="K38" i="8"/>
  <c r="K45" i="8"/>
  <c r="K35" i="8"/>
  <c r="K44" i="8"/>
  <c r="K40" i="8"/>
  <c r="K42" i="8"/>
  <c r="E14" i="5"/>
  <c r="K37" i="8"/>
  <c r="K150" i="8"/>
  <c r="AF14" i="5"/>
  <c r="K157" i="8"/>
  <c r="K154" i="8"/>
  <c r="K149" i="8"/>
  <c r="K155" i="8"/>
  <c r="K153" i="8"/>
  <c r="K156" i="8"/>
  <c r="AG14" i="5"/>
  <c r="K147" i="8"/>
  <c r="K148" i="8"/>
  <c r="L116" i="8"/>
  <c r="K39" i="8"/>
  <c r="N134" i="8"/>
  <c r="E14" i="3"/>
  <c r="E15" i="4"/>
  <c r="H14" i="4"/>
  <c r="N15" i="4"/>
  <c r="Q14" i="4"/>
  <c r="AF15" i="4"/>
  <c r="AI14" i="4"/>
  <c r="AD15" i="4"/>
  <c r="B15" i="3"/>
  <c r="C15" i="3" s="1"/>
  <c r="C15" i="4"/>
  <c r="B16" i="4"/>
  <c r="AL16" i="4"/>
  <c r="AM15" i="4"/>
  <c r="K16" i="4"/>
  <c r="L15" i="4"/>
  <c r="U15" i="4"/>
  <c r="T16" i="4"/>
  <c r="M107" i="9"/>
  <c r="M23" i="9"/>
  <c r="C15" i="5"/>
  <c r="I15" i="3" s="1"/>
  <c r="J16" i="5" s="1"/>
  <c r="M59" i="9"/>
  <c r="M14" i="9" s="1"/>
  <c r="N87" i="9" s="1"/>
  <c r="K9" i="8"/>
  <c r="L138" i="8" s="1"/>
  <c r="M115" i="8"/>
  <c r="M59" i="8"/>
  <c r="F15" i="5"/>
  <c r="L35" i="9"/>
  <c r="L42" i="9"/>
  <c r="L41" i="9"/>
  <c r="L37" i="9"/>
  <c r="L38" i="9"/>
  <c r="L5" i="9"/>
  <c r="M78" i="9" s="1"/>
  <c r="N13" i="9"/>
  <c r="O30" i="9"/>
  <c r="M51" i="9"/>
  <c r="L67" i="9"/>
  <c r="L64" i="9"/>
  <c r="M15" i="5"/>
  <c r="L63" i="9"/>
  <c r="L68" i="9"/>
  <c r="L66" i="9"/>
  <c r="L70" i="9"/>
  <c r="L65" i="9"/>
  <c r="L72" i="9"/>
  <c r="L71" i="9"/>
  <c r="L56" i="9"/>
  <c r="L84" i="9"/>
  <c r="L97" i="9" s="1"/>
  <c r="K15" i="9"/>
  <c r="L32" i="9" s="1"/>
  <c r="L36" i="9"/>
  <c r="M135" i="9"/>
  <c r="L12" i="9"/>
  <c r="M141" i="9" s="1"/>
  <c r="N139" i="9"/>
  <c r="M7" i="9"/>
  <c r="N136" i="9" s="1"/>
  <c r="N55" i="9"/>
  <c r="L140" i="9"/>
  <c r="L153" i="9" s="1"/>
  <c r="K153" i="9"/>
  <c r="L91" i="9"/>
  <c r="L94" i="9"/>
  <c r="L92" i="9"/>
  <c r="L100" i="9"/>
  <c r="L93" i="9"/>
  <c r="L8" i="9"/>
  <c r="K129" i="9"/>
  <c r="L147" i="9"/>
  <c r="L154" i="9"/>
  <c r="L149" i="9"/>
  <c r="L150" i="9"/>
  <c r="L152" i="9"/>
  <c r="L156" i="9"/>
  <c r="L151" i="9"/>
  <c r="L155" i="9"/>
  <c r="AH15" i="5"/>
  <c r="L148" i="9"/>
  <c r="N83" i="9"/>
  <c r="L112" i="9"/>
  <c r="X15" i="5"/>
  <c r="K125" i="9"/>
  <c r="M79" i="9"/>
  <c r="L26" i="8"/>
  <c r="L82" i="8"/>
  <c r="L107" i="8"/>
  <c r="M140" i="8"/>
  <c r="M84" i="8"/>
  <c r="M11" i="8" s="1"/>
  <c r="L23" i="8"/>
  <c r="L79" i="8"/>
  <c r="L83" i="8"/>
  <c r="L111" i="8"/>
  <c r="L55" i="8"/>
  <c r="L10" i="8" s="1"/>
  <c r="M139" i="8" s="1"/>
  <c r="L51" i="8"/>
  <c r="M31" i="8"/>
  <c r="M143" i="8"/>
  <c r="L8" i="8"/>
  <c r="M109" i="8" s="1"/>
  <c r="M25" i="8"/>
  <c r="N22" i="8"/>
  <c r="M12" i="8"/>
  <c r="N141" i="8" s="1"/>
  <c r="L80" i="8"/>
  <c r="L108" i="8"/>
  <c r="L136" i="8"/>
  <c r="K123" i="8"/>
  <c r="M142" i="8"/>
  <c r="L24" i="8"/>
  <c r="L54" i="8"/>
  <c r="K67" i="8"/>
  <c r="AQ15" i="4"/>
  <c r="P15" i="4"/>
  <c r="AH15" i="4"/>
  <c r="Y15" i="4"/>
  <c r="X15" i="4"/>
  <c r="O15" i="4"/>
  <c r="AG15" i="4"/>
  <c r="AP15" i="4"/>
  <c r="F15" i="4"/>
  <c r="H15" i="4"/>
  <c r="D15" i="3"/>
  <c r="AE16" i="4" s="1"/>
  <c r="Q15" i="4"/>
  <c r="M16" i="4"/>
  <c r="L99" i="9" l="1"/>
  <c r="L96" i="9"/>
  <c r="T15" i="5"/>
  <c r="L40" i="9"/>
  <c r="N10" i="9"/>
  <c r="O27" i="9" s="1"/>
  <c r="L95" i="9"/>
  <c r="L116" i="9"/>
  <c r="L39" i="9"/>
  <c r="L43" i="9"/>
  <c r="L44" i="9"/>
  <c r="M110" i="9"/>
  <c r="M26" i="9"/>
  <c r="M82" i="9"/>
  <c r="M54" i="9"/>
  <c r="M138" i="9"/>
  <c r="W15" i="5"/>
  <c r="AD15" i="5"/>
  <c r="P15" i="5"/>
  <c r="B15" i="5"/>
  <c r="L110" i="8"/>
  <c r="L92" i="8"/>
  <c r="I15" i="5"/>
  <c r="M137" i="8"/>
  <c r="L39" i="8"/>
  <c r="L36" i="8"/>
  <c r="L15" i="8"/>
  <c r="L149" i="8"/>
  <c r="L96" i="8"/>
  <c r="AI15" i="4"/>
  <c r="W15" i="4"/>
  <c r="Z15" i="4" s="1"/>
  <c r="AO15" i="4"/>
  <c r="U16" i="4"/>
  <c r="AM16" i="4"/>
  <c r="AC16" i="4"/>
  <c r="L16" i="4"/>
  <c r="C16" i="4"/>
  <c r="B16" i="3"/>
  <c r="C16" i="3" s="1"/>
  <c r="B17" i="4"/>
  <c r="Q16" i="5"/>
  <c r="M95" i="9" s="1"/>
  <c r="AE16" i="5"/>
  <c r="AH16" i="5" s="1"/>
  <c r="N85" i="8"/>
  <c r="M68" i="9"/>
  <c r="M72" i="9"/>
  <c r="M64" i="9"/>
  <c r="M67" i="9"/>
  <c r="M16" i="5"/>
  <c r="M71" i="9"/>
  <c r="M65" i="9"/>
  <c r="O114" i="9"/>
  <c r="O142" i="9"/>
  <c r="O58" i="9"/>
  <c r="O86" i="9"/>
  <c r="M22" i="9"/>
  <c r="N24" i="9"/>
  <c r="L11" i="9"/>
  <c r="M28" i="9" s="1"/>
  <c r="M140" i="9"/>
  <c r="L121" i="9"/>
  <c r="L119" i="9"/>
  <c r="L126" i="9"/>
  <c r="L123" i="9"/>
  <c r="X16" i="5"/>
  <c r="L125" i="9"/>
  <c r="L122" i="9"/>
  <c r="L128" i="9"/>
  <c r="L120" i="9"/>
  <c r="AA15" i="5"/>
  <c r="L127" i="9"/>
  <c r="L124" i="9"/>
  <c r="L129" i="9"/>
  <c r="Y15" i="5"/>
  <c r="M113" i="9"/>
  <c r="M57" i="9"/>
  <c r="M70" i="9" s="1"/>
  <c r="M85" i="9"/>
  <c r="M6" i="9"/>
  <c r="N135" i="9" s="1"/>
  <c r="M29" i="9"/>
  <c r="C16" i="5"/>
  <c r="M137" i="9"/>
  <c r="M53" i="9"/>
  <c r="M66" i="9" s="1"/>
  <c r="M81" i="9"/>
  <c r="L45" i="9"/>
  <c r="M25" i="9"/>
  <c r="N31" i="9"/>
  <c r="N52" i="9"/>
  <c r="M109" i="9"/>
  <c r="N59" i="9"/>
  <c r="O111" i="9"/>
  <c r="M50" i="9"/>
  <c r="M63" i="9" s="1"/>
  <c r="M134" i="9"/>
  <c r="N108" i="9"/>
  <c r="L69" i="9"/>
  <c r="N143" i="9"/>
  <c r="O55" i="9"/>
  <c r="M106" i="9"/>
  <c r="N80" i="9"/>
  <c r="N115" i="9"/>
  <c r="L60" i="9"/>
  <c r="L144" i="9"/>
  <c r="L88" i="9"/>
  <c r="N112" i="8"/>
  <c r="N56" i="8"/>
  <c r="N28" i="8"/>
  <c r="M27" i="8"/>
  <c r="L120" i="8"/>
  <c r="L6" i="8"/>
  <c r="M135" i="8" s="1"/>
  <c r="L7" i="8"/>
  <c r="M52" i="8" s="1"/>
  <c r="N5" i="8"/>
  <c r="M81" i="8"/>
  <c r="M53" i="8"/>
  <c r="M8" i="8" s="1"/>
  <c r="M111" i="8"/>
  <c r="L124" i="8"/>
  <c r="N143" i="8"/>
  <c r="N140" i="8"/>
  <c r="N29" i="8"/>
  <c r="L123" i="8"/>
  <c r="M14" i="8"/>
  <c r="N31" i="8"/>
  <c r="L121" i="8"/>
  <c r="M55" i="8"/>
  <c r="M83" i="8"/>
  <c r="M82" i="8"/>
  <c r="M80" i="8"/>
  <c r="N84" i="8"/>
  <c r="L37" i="8"/>
  <c r="N113" i="8"/>
  <c r="L9" i="8"/>
  <c r="M110" i="8" s="1"/>
  <c r="M26" i="8"/>
  <c r="N57" i="8"/>
  <c r="M13" i="8"/>
  <c r="M138" i="8"/>
  <c r="G15" i="3"/>
  <c r="G16" i="4" s="1"/>
  <c r="F15" i="3"/>
  <c r="F16" i="4" s="1"/>
  <c r="AP16" i="4"/>
  <c r="AG16" i="4"/>
  <c r="O16" i="4"/>
  <c r="X16" i="4"/>
  <c r="AN16" i="4"/>
  <c r="D16" i="4"/>
  <c r="V16" i="4"/>
  <c r="M98" i="9" l="1"/>
  <c r="O139" i="9"/>
  <c r="O83" i="9"/>
  <c r="M56" i="9"/>
  <c r="M150" i="9"/>
  <c r="M99" i="9"/>
  <c r="M91" i="9"/>
  <c r="M96" i="9"/>
  <c r="M100" i="9"/>
  <c r="T16" i="5"/>
  <c r="M92" i="9"/>
  <c r="M93" i="9"/>
  <c r="M156" i="9"/>
  <c r="M9" i="9"/>
  <c r="M155" i="9"/>
  <c r="M148" i="9"/>
  <c r="M154" i="9"/>
  <c r="L15" i="9"/>
  <c r="M116" i="9" s="1"/>
  <c r="M129" i="9" s="1"/>
  <c r="M151" i="9"/>
  <c r="M149" i="9"/>
  <c r="M152" i="9"/>
  <c r="N109" i="8"/>
  <c r="N25" i="8"/>
  <c r="L45" i="8"/>
  <c r="L38" i="8"/>
  <c r="D15" i="5"/>
  <c r="L43" i="8"/>
  <c r="L40" i="8"/>
  <c r="L41" i="8"/>
  <c r="E15" i="5"/>
  <c r="L44" i="8"/>
  <c r="L42" i="8"/>
  <c r="H15" i="3"/>
  <c r="I16" i="5" s="1"/>
  <c r="L35" i="8"/>
  <c r="M116" i="8"/>
  <c r="M32" i="8"/>
  <c r="M88" i="8"/>
  <c r="M60" i="8"/>
  <c r="L68" i="8"/>
  <c r="P16" i="5"/>
  <c r="M93" i="8" s="1"/>
  <c r="L94" i="8"/>
  <c r="L95" i="8"/>
  <c r="L97" i="8"/>
  <c r="L101" i="8"/>
  <c r="L100" i="8"/>
  <c r="L98" i="8"/>
  <c r="L93" i="8"/>
  <c r="L99" i="8"/>
  <c r="S15" i="5"/>
  <c r="R15" i="5"/>
  <c r="L91" i="8"/>
  <c r="L152" i="8"/>
  <c r="L153" i="8"/>
  <c r="L157" i="8"/>
  <c r="L151" i="8"/>
  <c r="L147" i="8"/>
  <c r="L156" i="8"/>
  <c r="AG15" i="5"/>
  <c r="L154" i="8"/>
  <c r="L150" i="8"/>
  <c r="AF15" i="5"/>
  <c r="L148" i="8"/>
  <c r="L155" i="8"/>
  <c r="L65" i="8"/>
  <c r="L72" i="8"/>
  <c r="L70" i="8"/>
  <c r="L64" i="8"/>
  <c r="L63" i="8"/>
  <c r="L15" i="5"/>
  <c r="K15" i="5"/>
  <c r="L73" i="8"/>
  <c r="L66" i="8"/>
  <c r="L69" i="8"/>
  <c r="L71" i="8"/>
  <c r="M54" i="8"/>
  <c r="L129" i="8"/>
  <c r="L126" i="8"/>
  <c r="L119" i="8"/>
  <c r="L128" i="8"/>
  <c r="Z15" i="5"/>
  <c r="L127" i="8"/>
  <c r="L125" i="8"/>
  <c r="L122" i="8"/>
  <c r="L67" i="8"/>
  <c r="M144" i="8"/>
  <c r="AR15" i="4"/>
  <c r="E15" i="3"/>
  <c r="C17" i="4"/>
  <c r="K17" i="4"/>
  <c r="B17" i="3" s="1"/>
  <c r="AL17" i="4"/>
  <c r="AD16" i="4"/>
  <c r="AC17" i="4"/>
  <c r="T17" i="4"/>
  <c r="O10" i="9"/>
  <c r="P27" i="9" s="1"/>
  <c r="N51" i="9"/>
  <c r="N79" i="9"/>
  <c r="M136" i="8"/>
  <c r="M108" i="8"/>
  <c r="L157" i="9"/>
  <c r="M112" i="9"/>
  <c r="M125" i="9" s="1"/>
  <c r="M69" i="9"/>
  <c r="N14" i="9"/>
  <c r="O87" i="9" s="1"/>
  <c r="O31" i="9"/>
  <c r="M121" i="9"/>
  <c r="M128" i="9"/>
  <c r="M120" i="9"/>
  <c r="M123" i="9"/>
  <c r="M122" i="9"/>
  <c r="M126" i="9"/>
  <c r="M124" i="9"/>
  <c r="M119" i="9"/>
  <c r="M127" i="9"/>
  <c r="AA16" i="5"/>
  <c r="M94" i="9"/>
  <c r="M12" i="9"/>
  <c r="N141" i="9" s="1"/>
  <c r="M5" i="9"/>
  <c r="N78" i="9" s="1"/>
  <c r="N106" i="9"/>
  <c r="P139" i="9"/>
  <c r="O13" i="9"/>
  <c r="P30" i="9" s="1"/>
  <c r="L101" i="9"/>
  <c r="M8" i="9"/>
  <c r="N25" i="9" s="1"/>
  <c r="N7" i="9"/>
  <c r="O136" i="9" s="1"/>
  <c r="N107" i="9"/>
  <c r="N23" i="9"/>
  <c r="M147" i="9"/>
  <c r="M38" i="9"/>
  <c r="M37" i="9"/>
  <c r="M41" i="9"/>
  <c r="F16" i="5"/>
  <c r="M40" i="9"/>
  <c r="M42" i="9"/>
  <c r="M35" i="9"/>
  <c r="M43" i="9"/>
  <c r="I16" i="3"/>
  <c r="X17" i="5" s="1"/>
  <c r="M44" i="9"/>
  <c r="M36" i="9"/>
  <c r="M39" i="9"/>
  <c r="M60" i="9"/>
  <c r="L73" i="9"/>
  <c r="M153" i="9"/>
  <c r="M84" i="9"/>
  <c r="M107" i="8"/>
  <c r="M79" i="8"/>
  <c r="M23" i="8"/>
  <c r="N58" i="8"/>
  <c r="N86" i="8"/>
  <c r="N30" i="8"/>
  <c r="N114" i="8"/>
  <c r="N137" i="8"/>
  <c r="N53" i="8"/>
  <c r="M10" i="8"/>
  <c r="N139" i="8" s="1"/>
  <c r="N27" i="8"/>
  <c r="M9" i="8"/>
  <c r="N110" i="8" s="1"/>
  <c r="N26" i="8"/>
  <c r="N142" i="8"/>
  <c r="M51" i="8"/>
  <c r="N81" i="8"/>
  <c r="O50" i="8"/>
  <c r="O106" i="8"/>
  <c r="O134" i="8"/>
  <c r="O78" i="8"/>
  <c r="N115" i="8"/>
  <c r="N59" i="8"/>
  <c r="N87" i="8"/>
  <c r="O22" i="8"/>
  <c r="N11" i="8"/>
  <c r="O28" i="8" s="1"/>
  <c r="O140" i="8"/>
  <c r="N12" i="8"/>
  <c r="O113" i="8" s="1"/>
  <c r="O29" i="8"/>
  <c r="O56" i="8"/>
  <c r="M24" i="8"/>
  <c r="Y16" i="4"/>
  <c r="AH16" i="4"/>
  <c r="AQ16" i="4"/>
  <c r="P16" i="4"/>
  <c r="F16" i="3"/>
  <c r="F17" i="4" s="1"/>
  <c r="AG17" i="4"/>
  <c r="AP17" i="4"/>
  <c r="X17" i="4"/>
  <c r="O17" i="4"/>
  <c r="D16" i="3"/>
  <c r="D17" i="4" s="1"/>
  <c r="V17" i="4"/>
  <c r="P111" i="9" l="1"/>
  <c r="M88" i="9"/>
  <c r="M32" i="9"/>
  <c r="N113" i="9"/>
  <c r="P83" i="9"/>
  <c r="P55" i="9"/>
  <c r="M144" i="9"/>
  <c r="N26" i="9"/>
  <c r="N54" i="9"/>
  <c r="N138" i="9"/>
  <c r="N110" i="9"/>
  <c r="N123" i="9" s="1"/>
  <c r="N82" i="9"/>
  <c r="N53" i="9"/>
  <c r="N8" i="9" s="1"/>
  <c r="O25" i="9" s="1"/>
  <c r="M65" i="8"/>
  <c r="M71" i="8"/>
  <c r="M73" i="8"/>
  <c r="L16" i="5"/>
  <c r="M70" i="8"/>
  <c r="K16" i="5"/>
  <c r="M72" i="8"/>
  <c r="M69" i="8"/>
  <c r="M63" i="8"/>
  <c r="M68" i="8"/>
  <c r="M66" i="8"/>
  <c r="M36" i="8"/>
  <c r="M121" i="8"/>
  <c r="M98" i="8"/>
  <c r="M101" i="8"/>
  <c r="R16" i="5"/>
  <c r="M95" i="8"/>
  <c r="M94" i="8"/>
  <c r="M91" i="8"/>
  <c r="M100" i="8"/>
  <c r="M97" i="8"/>
  <c r="S16" i="5"/>
  <c r="M99" i="8"/>
  <c r="M96" i="8"/>
  <c r="M15" i="8"/>
  <c r="N88" i="8" s="1"/>
  <c r="W16" i="5"/>
  <c r="B16" i="5"/>
  <c r="M37" i="8" s="1"/>
  <c r="AD16" i="5"/>
  <c r="M67" i="8"/>
  <c r="W16" i="4"/>
  <c r="Z16" i="4" s="1"/>
  <c r="N16" i="4"/>
  <c r="E16" i="4"/>
  <c r="AF16" i="4"/>
  <c r="AO16" i="4"/>
  <c r="C17" i="3"/>
  <c r="B18" i="4"/>
  <c r="U17" i="4"/>
  <c r="T18" i="4"/>
  <c r="AD17" i="4"/>
  <c r="AC18" i="4"/>
  <c r="AM17" i="4"/>
  <c r="AL18" i="4"/>
  <c r="L17" i="4"/>
  <c r="K18" i="4"/>
  <c r="O80" i="9"/>
  <c r="O52" i="9"/>
  <c r="N137" i="9"/>
  <c r="O108" i="9"/>
  <c r="N109" i="9"/>
  <c r="N81" i="9"/>
  <c r="N29" i="9"/>
  <c r="N85" i="9"/>
  <c r="N82" i="8"/>
  <c r="O84" i="8"/>
  <c r="O112" i="8"/>
  <c r="N8" i="8"/>
  <c r="O81" i="8" s="1"/>
  <c r="N54" i="8"/>
  <c r="N55" i="8"/>
  <c r="N111" i="8"/>
  <c r="O57" i="8"/>
  <c r="N83" i="8"/>
  <c r="N138" i="8"/>
  <c r="N120" i="9"/>
  <c r="N119" i="9"/>
  <c r="N126" i="9"/>
  <c r="N127" i="9"/>
  <c r="N124" i="9"/>
  <c r="N121" i="9"/>
  <c r="N128" i="9"/>
  <c r="AA17" i="5"/>
  <c r="P142" i="9"/>
  <c r="N112" i="9"/>
  <c r="N125" i="9" s="1"/>
  <c r="M73" i="9"/>
  <c r="N50" i="9"/>
  <c r="O143" i="9"/>
  <c r="O24" i="9"/>
  <c r="M101" i="9"/>
  <c r="P86" i="9"/>
  <c r="N22" i="9"/>
  <c r="N12" i="9"/>
  <c r="O29" i="9" s="1"/>
  <c r="M157" i="9"/>
  <c r="M15" i="9"/>
  <c r="N116" i="9" s="1"/>
  <c r="N129" i="9" s="1"/>
  <c r="M97" i="9"/>
  <c r="M11" i="9"/>
  <c r="N84" i="9" s="1"/>
  <c r="M45" i="9"/>
  <c r="P114" i="9"/>
  <c r="O115" i="9"/>
  <c r="P10" i="9"/>
  <c r="Q27" i="9" s="1"/>
  <c r="P58" i="9"/>
  <c r="N6" i="9"/>
  <c r="J17" i="5"/>
  <c r="Q17" i="5"/>
  <c r="AE17" i="5"/>
  <c r="Q139" i="9"/>
  <c r="O59" i="9"/>
  <c r="N57" i="9"/>
  <c r="N134" i="9"/>
  <c r="C17" i="5"/>
  <c r="O109" i="8"/>
  <c r="O25" i="8"/>
  <c r="O11" i="8"/>
  <c r="P28" i="8" s="1"/>
  <c r="O58" i="8"/>
  <c r="N14" i="8"/>
  <c r="O87" i="8" s="1"/>
  <c r="M6" i="8"/>
  <c r="N135" i="8" s="1"/>
  <c r="O115" i="8"/>
  <c r="P140" i="8"/>
  <c r="N79" i="8"/>
  <c r="M92" i="8"/>
  <c r="O114" i="8"/>
  <c r="O86" i="8"/>
  <c r="M64" i="8"/>
  <c r="M7" i="8"/>
  <c r="O5" i="8"/>
  <c r="P50" i="8" s="1"/>
  <c r="O53" i="8"/>
  <c r="P134" i="8"/>
  <c r="O141" i="8"/>
  <c r="O85" i="8"/>
  <c r="N10" i="8"/>
  <c r="O139" i="8" s="1"/>
  <c r="N13" i="8"/>
  <c r="O142" i="8" s="1"/>
  <c r="O30" i="8"/>
  <c r="G16" i="3"/>
  <c r="G17" i="4" s="1"/>
  <c r="F17" i="3"/>
  <c r="F18" i="4"/>
  <c r="AP18" i="4"/>
  <c r="AG18" i="4"/>
  <c r="X18" i="4"/>
  <c r="O18" i="4"/>
  <c r="M17" i="4"/>
  <c r="AE17" i="4"/>
  <c r="AN17" i="4"/>
  <c r="Q111" i="9" l="1"/>
  <c r="O14" i="9"/>
  <c r="P31" i="9" s="1"/>
  <c r="N32" i="9"/>
  <c r="O109" i="9"/>
  <c r="N122" i="9"/>
  <c r="N9" i="9"/>
  <c r="M147" i="8"/>
  <c r="M153" i="8"/>
  <c r="AG16" i="5"/>
  <c r="M152" i="8"/>
  <c r="M155" i="8"/>
  <c r="M150" i="8"/>
  <c r="AF16" i="5"/>
  <c r="M156" i="8"/>
  <c r="M154" i="8"/>
  <c r="M157" i="8"/>
  <c r="M148" i="8"/>
  <c r="M149" i="8"/>
  <c r="M151" i="8"/>
  <c r="M128" i="8"/>
  <c r="M127" i="8"/>
  <c r="Z16" i="5"/>
  <c r="Y16" i="5"/>
  <c r="M125" i="8"/>
  <c r="M119" i="8"/>
  <c r="M126" i="8"/>
  <c r="M122" i="8"/>
  <c r="M129" i="8"/>
  <c r="M124" i="8"/>
  <c r="M123" i="8"/>
  <c r="N60" i="8"/>
  <c r="N9" i="8"/>
  <c r="N32" i="8"/>
  <c r="O137" i="8"/>
  <c r="N144" i="8"/>
  <c r="M45" i="8"/>
  <c r="M41" i="8"/>
  <c r="M38" i="8"/>
  <c r="M35" i="8"/>
  <c r="E16" i="5"/>
  <c r="M42" i="8"/>
  <c r="M40" i="8"/>
  <c r="M44" i="8"/>
  <c r="D16" i="5"/>
  <c r="H16" i="3"/>
  <c r="M39" i="8"/>
  <c r="B17" i="5"/>
  <c r="D17" i="5" s="1"/>
  <c r="M43" i="8"/>
  <c r="M120" i="8"/>
  <c r="N116" i="8"/>
  <c r="AI16" i="4"/>
  <c r="E16" i="3"/>
  <c r="W17" i="4" s="1"/>
  <c r="Z17" i="4" s="1"/>
  <c r="E17" i="4"/>
  <c r="H16" i="4"/>
  <c r="AO17" i="4"/>
  <c r="AR16" i="4"/>
  <c r="N17" i="4"/>
  <c r="Q16" i="4"/>
  <c r="AM18" i="4"/>
  <c r="AD18" i="4"/>
  <c r="C18" i="4"/>
  <c r="L18" i="4"/>
  <c r="B18" i="3"/>
  <c r="C18" i="3" s="1"/>
  <c r="T19" i="4"/>
  <c r="U18" i="4"/>
  <c r="O53" i="9"/>
  <c r="O81" i="9"/>
  <c r="O137" i="9"/>
  <c r="O141" i="9"/>
  <c r="O110" i="8"/>
  <c r="O26" i="8"/>
  <c r="O9" i="8" s="1"/>
  <c r="P110" i="8" s="1"/>
  <c r="O54" i="8"/>
  <c r="O82" i="8"/>
  <c r="O138" i="8"/>
  <c r="N51" i="8"/>
  <c r="O27" i="8"/>
  <c r="P84" i="8"/>
  <c r="P112" i="8"/>
  <c r="P56" i="8"/>
  <c r="N97" i="9"/>
  <c r="N91" i="9"/>
  <c r="N96" i="9"/>
  <c r="T17" i="5"/>
  <c r="N99" i="9"/>
  <c r="N95" i="9"/>
  <c r="N93" i="9"/>
  <c r="N92" i="9"/>
  <c r="N100" i="9"/>
  <c r="N98" i="9"/>
  <c r="N94" i="9"/>
  <c r="O135" i="9"/>
  <c r="O79" i="9"/>
  <c r="O51" i="9"/>
  <c r="N144" i="9"/>
  <c r="N157" i="9" s="1"/>
  <c r="Q83" i="9"/>
  <c r="O7" i="9"/>
  <c r="N156" i="9"/>
  <c r="AH17" i="5"/>
  <c r="N150" i="9"/>
  <c r="N147" i="9"/>
  <c r="N149" i="9"/>
  <c r="N155" i="9"/>
  <c r="N154" i="9"/>
  <c r="N148" i="9"/>
  <c r="N152" i="9"/>
  <c r="N151" i="9"/>
  <c r="P13" i="9"/>
  <c r="Q30" i="9" s="1"/>
  <c r="N5" i="9"/>
  <c r="O50" i="9" s="1"/>
  <c r="Q114" i="9"/>
  <c r="N140" i="9"/>
  <c r="N153" i="9" s="1"/>
  <c r="N28" i="9"/>
  <c r="N41" i="9" s="1"/>
  <c r="N56" i="9"/>
  <c r="N69" i="9" s="1"/>
  <c r="N71" i="9"/>
  <c r="N72" i="9"/>
  <c r="N64" i="9"/>
  <c r="N68" i="9"/>
  <c r="N67" i="9"/>
  <c r="M17" i="5"/>
  <c r="N63" i="9"/>
  <c r="N66" i="9"/>
  <c r="N70" i="9"/>
  <c r="N65" i="9"/>
  <c r="O23" i="9"/>
  <c r="P87" i="9"/>
  <c r="O113" i="9"/>
  <c r="N88" i="9"/>
  <c r="N101" i="9" s="1"/>
  <c r="N36" i="9"/>
  <c r="N35" i="9"/>
  <c r="N37" i="9"/>
  <c r="N38" i="9"/>
  <c r="F17" i="5"/>
  <c r="N42" i="9"/>
  <c r="N39" i="9"/>
  <c r="N44" i="9"/>
  <c r="I17" i="3"/>
  <c r="X18" i="5" s="1"/>
  <c r="N45" i="9"/>
  <c r="N43" i="9"/>
  <c r="N40" i="9"/>
  <c r="O57" i="9"/>
  <c r="N60" i="9"/>
  <c r="P115" i="9"/>
  <c r="O107" i="9"/>
  <c r="O85" i="9"/>
  <c r="P143" i="9"/>
  <c r="Q55" i="9"/>
  <c r="P59" i="9"/>
  <c r="O31" i="8"/>
  <c r="O143" i="8"/>
  <c r="O83" i="8"/>
  <c r="P22" i="8"/>
  <c r="P78" i="8"/>
  <c r="N23" i="8"/>
  <c r="N107" i="8"/>
  <c r="P106" i="8"/>
  <c r="O111" i="8"/>
  <c r="N80" i="8"/>
  <c r="N108" i="8"/>
  <c r="N136" i="8"/>
  <c r="N52" i="8"/>
  <c r="O8" i="8"/>
  <c r="P25" i="8" s="1"/>
  <c r="O55" i="8"/>
  <c r="O12" i="8"/>
  <c r="N24" i="8"/>
  <c r="O59" i="8"/>
  <c r="O13" i="8"/>
  <c r="P30" i="8" s="1"/>
  <c r="P17" i="4"/>
  <c r="Y17" i="4"/>
  <c r="AQ17" i="4"/>
  <c r="AH17" i="4"/>
  <c r="F18" i="3"/>
  <c r="O19" i="4" s="1"/>
  <c r="F19" i="4"/>
  <c r="AG19" i="4"/>
  <c r="Q17" i="4"/>
  <c r="AR17" i="4"/>
  <c r="D17" i="3"/>
  <c r="Q10" i="9" l="1"/>
  <c r="O8" i="9"/>
  <c r="P25" i="9" s="1"/>
  <c r="Q86" i="9"/>
  <c r="O26" i="9"/>
  <c r="O110" i="9"/>
  <c r="O138" i="9"/>
  <c r="AE18" i="5"/>
  <c r="O152" i="9" s="1"/>
  <c r="Q142" i="9"/>
  <c r="O54" i="9"/>
  <c r="Q58" i="9"/>
  <c r="N15" i="9"/>
  <c r="O60" i="9" s="1"/>
  <c r="O82" i="9"/>
  <c r="J18" i="5"/>
  <c r="O68" i="9" s="1"/>
  <c r="O10" i="8"/>
  <c r="P139" i="8" s="1"/>
  <c r="AD17" i="5"/>
  <c r="W17" i="5"/>
  <c r="P17" i="5"/>
  <c r="I17" i="5"/>
  <c r="N149" i="8"/>
  <c r="N93" i="8"/>
  <c r="N120" i="8"/>
  <c r="N121" i="8"/>
  <c r="N15" i="8"/>
  <c r="P54" i="8"/>
  <c r="N45" i="8"/>
  <c r="N41" i="8"/>
  <c r="N44" i="8"/>
  <c r="N42" i="8"/>
  <c r="N38" i="8"/>
  <c r="N35" i="8"/>
  <c r="N43" i="8"/>
  <c r="N40" i="8"/>
  <c r="N39" i="8"/>
  <c r="E17" i="5"/>
  <c r="P11" i="8"/>
  <c r="P53" i="8"/>
  <c r="G17" i="3"/>
  <c r="G18" i="4" s="1"/>
  <c r="H17" i="4"/>
  <c r="AF17" i="4"/>
  <c r="B19" i="4"/>
  <c r="U19" i="4"/>
  <c r="K19" i="4"/>
  <c r="AL19" i="4"/>
  <c r="AC19" i="4"/>
  <c r="R139" i="9"/>
  <c r="R27" i="9"/>
  <c r="P81" i="9"/>
  <c r="P137" i="9"/>
  <c r="P109" i="9"/>
  <c r="Q28" i="8"/>
  <c r="Q84" i="8"/>
  <c r="Q140" i="8"/>
  <c r="Q56" i="8"/>
  <c r="P81" i="8"/>
  <c r="P137" i="8"/>
  <c r="P86" i="8"/>
  <c r="P109" i="8"/>
  <c r="P8" i="8" s="1"/>
  <c r="Q18" i="5"/>
  <c r="N73" i="9"/>
  <c r="Q59" i="9"/>
  <c r="R55" i="9"/>
  <c r="O88" i="9"/>
  <c r="O78" i="9"/>
  <c r="O106" i="9"/>
  <c r="P80" i="9"/>
  <c r="P108" i="9"/>
  <c r="P136" i="9"/>
  <c r="P52" i="9"/>
  <c r="O148" i="9"/>
  <c r="O150" i="9"/>
  <c r="O155" i="9"/>
  <c r="AA18" i="5"/>
  <c r="O126" i="9"/>
  <c r="O128" i="9"/>
  <c r="O127" i="9"/>
  <c r="O121" i="9"/>
  <c r="O120" i="9"/>
  <c r="O122" i="9"/>
  <c r="O123" i="9"/>
  <c r="O124" i="9"/>
  <c r="N11" i="9"/>
  <c r="O140" i="9" s="1"/>
  <c r="O153" i="9" s="1"/>
  <c r="R111" i="9"/>
  <c r="O22" i="9"/>
  <c r="P24" i="9"/>
  <c r="O12" i="9"/>
  <c r="P85" i="9" s="1"/>
  <c r="C18" i="5"/>
  <c r="O134" i="9"/>
  <c r="Q87" i="9"/>
  <c r="Q13" i="9"/>
  <c r="R58" i="9" s="1"/>
  <c r="R83" i="9"/>
  <c r="O67" i="9"/>
  <c r="O66" i="9"/>
  <c r="O71" i="9"/>
  <c r="O6" i="9"/>
  <c r="P23" i="9" s="1"/>
  <c r="P14" i="9"/>
  <c r="Q31" i="9" s="1"/>
  <c r="N7" i="8"/>
  <c r="O24" i="8" s="1"/>
  <c r="N37" i="8"/>
  <c r="P57" i="8"/>
  <c r="P113" i="8"/>
  <c r="P29" i="8"/>
  <c r="P82" i="8"/>
  <c r="P26" i="8"/>
  <c r="P114" i="8"/>
  <c r="P83" i="8"/>
  <c r="P27" i="8"/>
  <c r="P5" i="8"/>
  <c r="Q78" i="8" s="1"/>
  <c r="Q22" i="8"/>
  <c r="P138" i="8"/>
  <c r="P85" i="8"/>
  <c r="Q112" i="8"/>
  <c r="P55" i="8"/>
  <c r="P58" i="8"/>
  <c r="P142" i="8"/>
  <c r="N6" i="8"/>
  <c r="O23" i="8" s="1"/>
  <c r="N36" i="8"/>
  <c r="O14" i="8"/>
  <c r="P59" i="8" s="1"/>
  <c r="P111" i="8"/>
  <c r="P141" i="8"/>
  <c r="AH18" i="4"/>
  <c r="Y18" i="4"/>
  <c r="AQ18" i="4"/>
  <c r="P18" i="4"/>
  <c r="AP19" i="4"/>
  <c r="X19" i="4"/>
  <c r="D18" i="4"/>
  <c r="V18" i="4"/>
  <c r="AN18" i="4"/>
  <c r="AE18" i="4"/>
  <c r="M18" i="4"/>
  <c r="O73" i="9" l="1"/>
  <c r="O151" i="9"/>
  <c r="P53" i="9"/>
  <c r="P8" i="9"/>
  <c r="Q25" i="9" s="1"/>
  <c r="O116" i="9"/>
  <c r="O129" i="9" s="1"/>
  <c r="O65" i="9"/>
  <c r="O64" i="9"/>
  <c r="O70" i="9"/>
  <c r="O72" i="9"/>
  <c r="O63" i="9"/>
  <c r="O149" i="9"/>
  <c r="M18" i="5"/>
  <c r="Q109" i="9"/>
  <c r="Q81" i="9"/>
  <c r="Q137" i="9"/>
  <c r="Q53" i="9"/>
  <c r="Q8" i="9" s="1"/>
  <c r="R25" i="9" s="1"/>
  <c r="R30" i="9"/>
  <c r="P135" i="9"/>
  <c r="O32" i="9"/>
  <c r="O45" i="9" s="1"/>
  <c r="O154" i="9"/>
  <c r="O156" i="9"/>
  <c r="O9" i="9"/>
  <c r="AH18" i="5"/>
  <c r="O144" i="9"/>
  <c r="O157" i="9" s="1"/>
  <c r="Q53" i="8"/>
  <c r="Q25" i="8"/>
  <c r="N154" i="8"/>
  <c r="N147" i="8"/>
  <c r="N153" i="8"/>
  <c r="N150" i="8"/>
  <c r="N157" i="8"/>
  <c r="AG17" i="5"/>
  <c r="N156" i="8"/>
  <c r="AF17" i="5"/>
  <c r="N148" i="8"/>
  <c r="AD18" i="5"/>
  <c r="N152" i="8"/>
  <c r="N155" i="8"/>
  <c r="N151" i="8"/>
  <c r="O88" i="8"/>
  <c r="O144" i="8"/>
  <c r="O32" i="8"/>
  <c r="O60" i="8"/>
  <c r="N96" i="8"/>
  <c r="N95" i="8"/>
  <c r="R17" i="5"/>
  <c r="N97" i="8"/>
  <c r="N92" i="8"/>
  <c r="N94" i="8"/>
  <c r="S17" i="5"/>
  <c r="N98" i="8"/>
  <c r="N101" i="8"/>
  <c r="N100" i="8"/>
  <c r="N99" i="8"/>
  <c r="N91" i="8"/>
  <c r="H17" i="3"/>
  <c r="B18" i="5" s="1"/>
  <c r="N70" i="8"/>
  <c r="N68" i="8"/>
  <c r="N72" i="8"/>
  <c r="N67" i="8"/>
  <c r="N64" i="8"/>
  <c r="N73" i="8"/>
  <c r="N69" i="8"/>
  <c r="K17" i="5"/>
  <c r="L17" i="5"/>
  <c r="N71" i="8"/>
  <c r="N63" i="8"/>
  <c r="N66" i="8"/>
  <c r="I18" i="5"/>
  <c r="Y17" i="5"/>
  <c r="N123" i="8"/>
  <c r="N124" i="8"/>
  <c r="N127" i="8"/>
  <c r="N122" i="8"/>
  <c r="N129" i="8"/>
  <c r="Z17" i="5"/>
  <c r="N119" i="8"/>
  <c r="N128" i="8"/>
  <c r="N125" i="8"/>
  <c r="N126" i="8"/>
  <c r="O52" i="8"/>
  <c r="N65" i="8"/>
  <c r="O116" i="8"/>
  <c r="AI17" i="4"/>
  <c r="E17" i="3"/>
  <c r="AM19" i="4"/>
  <c r="AD19" i="4"/>
  <c r="L19" i="4"/>
  <c r="C19" i="4"/>
  <c r="B19" i="3"/>
  <c r="K20" i="4" s="1"/>
  <c r="B20" i="4"/>
  <c r="P57" i="9"/>
  <c r="R114" i="9"/>
  <c r="R86" i="9"/>
  <c r="Q143" i="9"/>
  <c r="O108" i="8"/>
  <c r="O107" i="8"/>
  <c r="Q81" i="8"/>
  <c r="O80" i="8"/>
  <c r="O136" i="8"/>
  <c r="R142" i="9"/>
  <c r="P113" i="9"/>
  <c r="O112" i="9"/>
  <c r="O84" i="9"/>
  <c r="O28" i="9"/>
  <c r="O41" i="9" s="1"/>
  <c r="O147" i="9"/>
  <c r="P29" i="9"/>
  <c r="P141" i="9"/>
  <c r="O56" i="9"/>
  <c r="P107" i="9"/>
  <c r="P79" i="9"/>
  <c r="O101" i="9"/>
  <c r="O94" i="9"/>
  <c r="T18" i="5"/>
  <c r="O100" i="9"/>
  <c r="O96" i="9"/>
  <c r="O92" i="9"/>
  <c r="Q19" i="5"/>
  <c r="O99" i="9"/>
  <c r="O95" i="9"/>
  <c r="O91" i="9"/>
  <c r="O93" i="9"/>
  <c r="O98" i="9"/>
  <c r="O35" i="9"/>
  <c r="O38" i="9"/>
  <c r="O42" i="9"/>
  <c r="O37" i="9"/>
  <c r="F18" i="5"/>
  <c r="O36" i="9"/>
  <c r="O40" i="9"/>
  <c r="O44" i="9"/>
  <c r="I18" i="3"/>
  <c r="C19" i="5" s="1"/>
  <c r="O43" i="9"/>
  <c r="O39" i="9"/>
  <c r="O5" i="9"/>
  <c r="P50" i="9" s="1"/>
  <c r="P51" i="9"/>
  <c r="R10" i="9"/>
  <c r="S111" i="9" s="1"/>
  <c r="P7" i="9"/>
  <c r="Q24" i="9" s="1"/>
  <c r="Q115" i="9"/>
  <c r="O119" i="9"/>
  <c r="O36" i="8"/>
  <c r="O7" i="8"/>
  <c r="P108" i="8" s="1"/>
  <c r="O37" i="8"/>
  <c r="Q82" i="8"/>
  <c r="P52" i="8"/>
  <c r="P80" i="8"/>
  <c r="Q55" i="8"/>
  <c r="P143" i="8"/>
  <c r="P12" i="8"/>
  <c r="Q141" i="8" s="1"/>
  <c r="Q109" i="8"/>
  <c r="P10" i="8"/>
  <c r="Q139" i="8" s="1"/>
  <c r="Q27" i="8"/>
  <c r="Q111" i="8"/>
  <c r="P9" i="8"/>
  <c r="Q26" i="8"/>
  <c r="Q138" i="8"/>
  <c r="Q11" i="8"/>
  <c r="R112" i="8" s="1"/>
  <c r="Q83" i="8"/>
  <c r="Q137" i="8"/>
  <c r="P115" i="8"/>
  <c r="P87" i="8"/>
  <c r="P31" i="8"/>
  <c r="O135" i="8"/>
  <c r="O79" i="8"/>
  <c r="O51" i="8"/>
  <c r="Q134" i="8"/>
  <c r="Q50" i="8"/>
  <c r="Q5" i="8" s="1"/>
  <c r="Q106" i="8"/>
  <c r="P13" i="8"/>
  <c r="Q58" i="8" s="1"/>
  <c r="G18" i="3"/>
  <c r="G19" i="4" s="1"/>
  <c r="F19" i="3"/>
  <c r="D18" i="3"/>
  <c r="AE19" i="4" s="1"/>
  <c r="P6" i="9" l="1"/>
  <c r="S55" i="9"/>
  <c r="R137" i="9"/>
  <c r="R109" i="9"/>
  <c r="R13" i="9"/>
  <c r="S58" i="9" s="1"/>
  <c r="P78" i="9"/>
  <c r="P91" i="9" s="1"/>
  <c r="O15" i="9"/>
  <c r="P88" i="9" s="1"/>
  <c r="Q52" i="9"/>
  <c r="P110" i="9"/>
  <c r="P138" i="9"/>
  <c r="P54" i="9"/>
  <c r="P82" i="9"/>
  <c r="P26" i="9"/>
  <c r="P9" i="9" s="1"/>
  <c r="Q110" i="9" s="1"/>
  <c r="R81" i="9"/>
  <c r="R22" i="8"/>
  <c r="R78" i="8"/>
  <c r="O71" i="8"/>
  <c r="O69" i="8"/>
  <c r="O63" i="8"/>
  <c r="L18" i="5"/>
  <c r="O66" i="8"/>
  <c r="K18" i="5"/>
  <c r="O67" i="8"/>
  <c r="O68" i="8"/>
  <c r="O70" i="8"/>
  <c r="O73" i="8"/>
  <c r="O72" i="8"/>
  <c r="P60" i="8"/>
  <c r="P144" i="8"/>
  <c r="O43" i="8"/>
  <c r="O38" i="8"/>
  <c r="E18" i="5"/>
  <c r="O40" i="8"/>
  <c r="O42" i="8"/>
  <c r="O41" i="8"/>
  <c r="O39" i="8"/>
  <c r="O35" i="8"/>
  <c r="O44" i="8"/>
  <c r="O45" i="8"/>
  <c r="P18" i="5"/>
  <c r="H18" i="3" s="1"/>
  <c r="W18" i="5"/>
  <c r="O15" i="8"/>
  <c r="O157" i="8"/>
  <c r="O152" i="8"/>
  <c r="O151" i="8"/>
  <c r="AG18" i="5"/>
  <c r="O154" i="8"/>
  <c r="O147" i="8"/>
  <c r="AF18" i="5"/>
  <c r="O156" i="8"/>
  <c r="O153" i="8"/>
  <c r="O150" i="8"/>
  <c r="O155" i="8"/>
  <c r="O149" i="8"/>
  <c r="D18" i="5"/>
  <c r="O65" i="8"/>
  <c r="Q8" i="8"/>
  <c r="R109" i="8" s="1"/>
  <c r="W18" i="4"/>
  <c r="Z18" i="4" s="1"/>
  <c r="N18" i="4"/>
  <c r="E18" i="4"/>
  <c r="AO18" i="4"/>
  <c r="AF18" i="4"/>
  <c r="L20" i="4"/>
  <c r="AC20" i="4"/>
  <c r="C20" i="4"/>
  <c r="C19" i="3"/>
  <c r="T20" i="4"/>
  <c r="AL20" i="4"/>
  <c r="P134" i="9"/>
  <c r="P39" i="9"/>
  <c r="P60" i="9"/>
  <c r="R53" i="9"/>
  <c r="R8" i="9" s="1"/>
  <c r="S109" i="9" s="1"/>
  <c r="P136" i="8"/>
  <c r="Q135" i="9"/>
  <c r="Q23" i="9"/>
  <c r="S114" i="9"/>
  <c r="S86" i="9"/>
  <c r="P38" i="9"/>
  <c r="F19" i="5"/>
  <c r="P42" i="9"/>
  <c r="P37" i="9"/>
  <c r="P40" i="9"/>
  <c r="P43" i="9"/>
  <c r="P44" i="9"/>
  <c r="O69" i="9"/>
  <c r="S142" i="9"/>
  <c r="Q136" i="9"/>
  <c r="Q80" i="9"/>
  <c r="P106" i="9"/>
  <c r="P96" i="9"/>
  <c r="P101" i="9"/>
  <c r="P95" i="9"/>
  <c r="P92" i="9"/>
  <c r="T19" i="5"/>
  <c r="P93" i="9"/>
  <c r="P98" i="9"/>
  <c r="P100" i="9"/>
  <c r="P94" i="9"/>
  <c r="P99" i="9"/>
  <c r="Q108" i="9"/>
  <c r="P116" i="9"/>
  <c r="P144" i="9"/>
  <c r="P36" i="9"/>
  <c r="S27" i="9"/>
  <c r="S139" i="9"/>
  <c r="Q51" i="9"/>
  <c r="P22" i="9"/>
  <c r="P35" i="9" s="1"/>
  <c r="Q79" i="9"/>
  <c r="P12" i="9"/>
  <c r="O125" i="9"/>
  <c r="Q107" i="9"/>
  <c r="S83" i="9"/>
  <c r="Q14" i="9"/>
  <c r="R115" i="9" s="1"/>
  <c r="J19" i="5"/>
  <c r="AE19" i="5"/>
  <c r="X19" i="5"/>
  <c r="O97" i="9"/>
  <c r="O11" i="9"/>
  <c r="P140" i="9" s="1"/>
  <c r="Q142" i="8"/>
  <c r="Q85" i="8"/>
  <c r="Q114" i="8"/>
  <c r="P24" i="8"/>
  <c r="Q29" i="8"/>
  <c r="R50" i="8"/>
  <c r="Q54" i="8"/>
  <c r="Q110" i="8"/>
  <c r="Q30" i="8"/>
  <c r="Q86" i="8"/>
  <c r="Q113" i="8"/>
  <c r="R134" i="8"/>
  <c r="R140" i="8"/>
  <c r="R28" i="8"/>
  <c r="R84" i="8"/>
  <c r="R56" i="8"/>
  <c r="O64" i="8"/>
  <c r="O148" i="8"/>
  <c r="Q10" i="8"/>
  <c r="R55" i="8" s="1"/>
  <c r="Q57" i="8"/>
  <c r="R106" i="8"/>
  <c r="P14" i="8"/>
  <c r="Q59" i="8" s="1"/>
  <c r="O6" i="8"/>
  <c r="P135" i="8" s="1"/>
  <c r="O92" i="8"/>
  <c r="AH19" i="4"/>
  <c r="Y19" i="4"/>
  <c r="AQ19" i="4"/>
  <c r="P19" i="4"/>
  <c r="O20" i="4"/>
  <c r="F20" i="4"/>
  <c r="AG20" i="4"/>
  <c r="AP20" i="4"/>
  <c r="X20" i="4"/>
  <c r="V19" i="4"/>
  <c r="D19" i="4"/>
  <c r="AN19" i="4"/>
  <c r="M19" i="4"/>
  <c r="Q138" i="9" l="1"/>
  <c r="P32" i="9"/>
  <c r="P45" i="9" s="1"/>
  <c r="S30" i="9"/>
  <c r="S81" i="9"/>
  <c r="Q82" i="9"/>
  <c r="Q26" i="9"/>
  <c r="Q54" i="9"/>
  <c r="S53" i="9"/>
  <c r="B19" i="5"/>
  <c r="AD19" i="5"/>
  <c r="I19" i="5"/>
  <c r="AF19" i="5"/>
  <c r="P88" i="8"/>
  <c r="P32" i="8"/>
  <c r="R81" i="8"/>
  <c r="R139" i="8"/>
  <c r="Z18" i="5"/>
  <c r="Y18" i="5"/>
  <c r="O123" i="8"/>
  <c r="O119" i="8"/>
  <c r="O125" i="8"/>
  <c r="O127" i="8"/>
  <c r="O126" i="8"/>
  <c r="O129" i="8"/>
  <c r="O122" i="8"/>
  <c r="O124" i="8"/>
  <c r="O128" i="8"/>
  <c r="W19" i="5"/>
  <c r="O120" i="8"/>
  <c r="O121" i="8"/>
  <c r="R25" i="8"/>
  <c r="R8" i="8" s="1"/>
  <c r="R111" i="8"/>
  <c r="O91" i="8"/>
  <c r="S18" i="5"/>
  <c r="O99" i="8"/>
  <c r="O94" i="8"/>
  <c r="O98" i="8"/>
  <c r="O101" i="8"/>
  <c r="O100" i="8"/>
  <c r="O97" i="8"/>
  <c r="O95" i="8"/>
  <c r="O96" i="8"/>
  <c r="O93" i="8"/>
  <c r="P19" i="5"/>
  <c r="R18" i="5"/>
  <c r="R53" i="8"/>
  <c r="R137" i="8"/>
  <c r="R83" i="8"/>
  <c r="P116" i="8"/>
  <c r="AR18" i="4"/>
  <c r="E18" i="3"/>
  <c r="W19" i="4" s="1"/>
  <c r="H18" i="4"/>
  <c r="N19" i="4"/>
  <c r="Q18" i="4"/>
  <c r="AF19" i="4"/>
  <c r="AI18" i="4"/>
  <c r="AM20" i="4"/>
  <c r="AD20" i="4"/>
  <c r="U20" i="4"/>
  <c r="B20" i="3"/>
  <c r="T21" i="4" s="1"/>
  <c r="P112" i="9"/>
  <c r="P125" i="9" s="1"/>
  <c r="P84" i="9"/>
  <c r="P97" i="9" s="1"/>
  <c r="S137" i="9"/>
  <c r="Q9" i="8"/>
  <c r="R138" i="8" s="1"/>
  <c r="Q87" i="8"/>
  <c r="P79" i="8"/>
  <c r="Q115" i="8"/>
  <c r="Q85" i="9"/>
  <c r="Q57" i="9"/>
  <c r="P5" i="9"/>
  <c r="Q106" i="9" s="1"/>
  <c r="P151" i="9"/>
  <c r="P148" i="9"/>
  <c r="P155" i="9"/>
  <c r="P150" i="9"/>
  <c r="P157" i="9"/>
  <c r="P154" i="9"/>
  <c r="P156" i="9"/>
  <c r="AH19" i="5"/>
  <c r="P149" i="9"/>
  <c r="P152" i="9"/>
  <c r="P153" i="9"/>
  <c r="P147" i="9"/>
  <c r="S13" i="9"/>
  <c r="T142" i="9" s="1"/>
  <c r="P128" i="9"/>
  <c r="AA19" i="5"/>
  <c r="P126" i="9"/>
  <c r="P121" i="9"/>
  <c r="P122" i="9"/>
  <c r="P127" i="9"/>
  <c r="P123" i="9"/>
  <c r="P119" i="9"/>
  <c r="P129" i="9"/>
  <c r="P124" i="9"/>
  <c r="P120" i="9"/>
  <c r="Q9" i="9"/>
  <c r="R110" i="9" s="1"/>
  <c r="P56" i="9"/>
  <c r="P69" i="9" s="1"/>
  <c r="Q6" i="9"/>
  <c r="R135" i="9" s="1"/>
  <c r="Q113" i="9"/>
  <c r="P65" i="9"/>
  <c r="M19" i="5"/>
  <c r="P63" i="9"/>
  <c r="P67" i="9"/>
  <c r="P71" i="9"/>
  <c r="P70" i="9"/>
  <c r="P66" i="9"/>
  <c r="P72" i="9"/>
  <c r="P73" i="9"/>
  <c r="P68" i="9"/>
  <c r="P64" i="9"/>
  <c r="P28" i="9"/>
  <c r="S25" i="9"/>
  <c r="R59" i="9"/>
  <c r="R31" i="9"/>
  <c r="R143" i="9"/>
  <c r="R87" i="9"/>
  <c r="Q141" i="9"/>
  <c r="P15" i="9"/>
  <c r="Q116" i="9" s="1"/>
  <c r="I19" i="3"/>
  <c r="J20" i="5" s="1"/>
  <c r="Q7" i="9"/>
  <c r="R136" i="9" s="1"/>
  <c r="Q29" i="9"/>
  <c r="S10" i="9"/>
  <c r="T27" i="9" s="1"/>
  <c r="R82" i="8"/>
  <c r="P148" i="8"/>
  <c r="Q13" i="8"/>
  <c r="R58" i="8" s="1"/>
  <c r="R27" i="8"/>
  <c r="Q12" i="8"/>
  <c r="R141" i="8" s="1"/>
  <c r="Q143" i="8"/>
  <c r="Q31" i="8"/>
  <c r="P23" i="8"/>
  <c r="P107" i="8"/>
  <c r="P51" i="8"/>
  <c r="P7" i="8"/>
  <c r="Q24" i="8" s="1"/>
  <c r="P37" i="8"/>
  <c r="R110" i="8"/>
  <c r="R54" i="8"/>
  <c r="R11" i="8"/>
  <c r="S112" i="8" s="1"/>
  <c r="S28" i="8"/>
  <c r="R5" i="8"/>
  <c r="S50" i="8" s="1"/>
  <c r="G19" i="3"/>
  <c r="G20" i="4" s="1"/>
  <c r="AH20" i="4"/>
  <c r="F20" i="3"/>
  <c r="X21" i="4" s="1"/>
  <c r="Q19" i="4"/>
  <c r="D19" i="3"/>
  <c r="AE20" i="4" s="1"/>
  <c r="Z19" i="4"/>
  <c r="R138" i="9" l="1"/>
  <c r="Q32" i="9"/>
  <c r="R79" i="9"/>
  <c r="R23" i="9"/>
  <c r="S137" i="8"/>
  <c r="S53" i="8"/>
  <c r="P95" i="8"/>
  <c r="S19" i="5"/>
  <c r="P100" i="8"/>
  <c r="P98" i="8"/>
  <c r="P96" i="8"/>
  <c r="P101" i="8"/>
  <c r="R19" i="5"/>
  <c r="P93" i="8"/>
  <c r="P91" i="8"/>
  <c r="P94" i="8"/>
  <c r="P97" i="8"/>
  <c r="P99" i="8"/>
  <c r="R86" i="8"/>
  <c r="P15" i="8"/>
  <c r="S56" i="8"/>
  <c r="S11" i="8" s="1"/>
  <c r="P63" i="8"/>
  <c r="L19" i="5"/>
  <c r="P73" i="8"/>
  <c r="P68" i="8"/>
  <c r="P70" i="8"/>
  <c r="P67" i="8"/>
  <c r="P72" i="8"/>
  <c r="P66" i="8"/>
  <c r="P65" i="8"/>
  <c r="P69" i="8"/>
  <c r="P71" i="8"/>
  <c r="K19" i="5"/>
  <c r="S106" i="8"/>
  <c r="P92" i="8"/>
  <c r="R26" i="8"/>
  <c r="R9" i="8" s="1"/>
  <c r="P154" i="8"/>
  <c r="P149" i="8"/>
  <c r="P156" i="8"/>
  <c r="P153" i="8"/>
  <c r="P152" i="8"/>
  <c r="P151" i="8"/>
  <c r="P147" i="8"/>
  <c r="P157" i="8"/>
  <c r="AG19" i="5"/>
  <c r="P150" i="8"/>
  <c r="P155" i="8"/>
  <c r="Y19" i="5"/>
  <c r="P129" i="8"/>
  <c r="P126" i="8"/>
  <c r="P127" i="8"/>
  <c r="P123" i="8"/>
  <c r="P128" i="8"/>
  <c r="P119" i="8"/>
  <c r="P122" i="8"/>
  <c r="Z19" i="5"/>
  <c r="P125" i="8"/>
  <c r="P124" i="8"/>
  <c r="P121" i="8"/>
  <c r="E19" i="5"/>
  <c r="P40" i="8"/>
  <c r="P39" i="8"/>
  <c r="P42" i="8"/>
  <c r="P43" i="8"/>
  <c r="P41" i="8"/>
  <c r="P35" i="8"/>
  <c r="P38" i="8"/>
  <c r="P45" i="8"/>
  <c r="H19" i="3"/>
  <c r="AD20" i="5" s="1"/>
  <c r="P44" i="8"/>
  <c r="D19" i="5"/>
  <c r="AI19" i="4"/>
  <c r="E19" i="4"/>
  <c r="AO19" i="4"/>
  <c r="U21" i="4"/>
  <c r="C20" i="3"/>
  <c r="K21" i="4"/>
  <c r="B21" i="4"/>
  <c r="AC21" i="4"/>
  <c r="AL21" i="4"/>
  <c r="T139" i="9"/>
  <c r="R107" i="9"/>
  <c r="Q144" i="9"/>
  <c r="R51" i="9"/>
  <c r="R6" i="9" s="1"/>
  <c r="R54" i="9"/>
  <c r="S81" i="8"/>
  <c r="R114" i="8"/>
  <c r="R113" i="8"/>
  <c r="R142" i="8"/>
  <c r="S109" i="8"/>
  <c r="S140" i="8"/>
  <c r="S84" i="8"/>
  <c r="R57" i="8"/>
  <c r="Y20" i="4"/>
  <c r="Q71" i="9"/>
  <c r="Q66" i="9"/>
  <c r="M20" i="5"/>
  <c r="Q64" i="9"/>
  <c r="Q72" i="9"/>
  <c r="Q67" i="9"/>
  <c r="Q70" i="9"/>
  <c r="Q68" i="9"/>
  <c r="Q65" i="9"/>
  <c r="T58" i="9"/>
  <c r="R24" i="9"/>
  <c r="R52" i="9"/>
  <c r="Q12" i="9"/>
  <c r="R29" i="9" s="1"/>
  <c r="R113" i="9"/>
  <c r="Q50" i="9"/>
  <c r="Q63" i="9" s="1"/>
  <c r="Q78" i="9"/>
  <c r="Q134" i="9"/>
  <c r="T30" i="9"/>
  <c r="T55" i="9"/>
  <c r="T111" i="9"/>
  <c r="C20" i="5"/>
  <c r="Q20" i="5"/>
  <c r="R80" i="9"/>
  <c r="X20" i="5"/>
  <c r="Q22" i="9"/>
  <c r="T114" i="9"/>
  <c r="R26" i="9"/>
  <c r="R108" i="9"/>
  <c r="AE20" i="5"/>
  <c r="Q88" i="9"/>
  <c r="Q60" i="9"/>
  <c r="Q73" i="9" s="1"/>
  <c r="R82" i="9"/>
  <c r="S8" i="9"/>
  <c r="T25" i="9" s="1"/>
  <c r="T86" i="9"/>
  <c r="R14" i="9"/>
  <c r="S115" i="9" s="1"/>
  <c r="S59" i="9"/>
  <c r="P11" i="9"/>
  <c r="P41" i="9"/>
  <c r="T83" i="9"/>
  <c r="S134" i="8"/>
  <c r="P64" i="8"/>
  <c r="Q14" i="8"/>
  <c r="R31" i="8" s="1"/>
  <c r="S22" i="8"/>
  <c r="S78" i="8"/>
  <c r="R10" i="8"/>
  <c r="S27" i="8" s="1"/>
  <c r="Q52" i="8"/>
  <c r="Q136" i="8"/>
  <c r="Q80" i="8"/>
  <c r="Q108" i="8"/>
  <c r="P6" i="8"/>
  <c r="Q23" i="8" s="1"/>
  <c r="P36" i="8"/>
  <c r="S25" i="8"/>
  <c r="R30" i="8"/>
  <c r="P120" i="8"/>
  <c r="R29" i="8"/>
  <c r="R85" i="8"/>
  <c r="AQ20" i="4"/>
  <c r="P20" i="4"/>
  <c r="O21" i="4"/>
  <c r="AG21" i="4"/>
  <c r="AP21" i="4"/>
  <c r="F21" i="4"/>
  <c r="V20" i="4"/>
  <c r="M20" i="4"/>
  <c r="D20" i="4"/>
  <c r="AN20" i="4"/>
  <c r="S31" i="9" l="1"/>
  <c r="R85" i="9"/>
  <c r="R141" i="9"/>
  <c r="Q151" i="8"/>
  <c r="Q154" i="8"/>
  <c r="Q155" i="8"/>
  <c r="Q152" i="8"/>
  <c r="Q147" i="8"/>
  <c r="AG20" i="5"/>
  <c r="Q150" i="8"/>
  <c r="Q153" i="8"/>
  <c r="Q156" i="8"/>
  <c r="S138" i="8"/>
  <c r="S82" i="8"/>
  <c r="S110" i="8"/>
  <c r="S54" i="8"/>
  <c r="T28" i="8"/>
  <c r="T11" i="8" s="1"/>
  <c r="T112" i="8"/>
  <c r="U112" i="8" s="1"/>
  <c r="Q116" i="8"/>
  <c r="Q60" i="8"/>
  <c r="R60" i="8" s="1"/>
  <c r="Q88" i="8"/>
  <c r="R88" i="8" s="1"/>
  <c r="Q144" i="8"/>
  <c r="R144" i="8" s="1"/>
  <c r="Q32" i="8"/>
  <c r="Q15" i="8" s="1"/>
  <c r="R116" i="8" s="1"/>
  <c r="Q65" i="8"/>
  <c r="B20" i="5"/>
  <c r="Q36" i="8" s="1"/>
  <c r="P20" i="5"/>
  <c r="I20" i="5"/>
  <c r="W20" i="5"/>
  <c r="AR19" i="4"/>
  <c r="E19" i="3"/>
  <c r="E20" i="4"/>
  <c r="H19" i="4"/>
  <c r="AM21" i="4"/>
  <c r="AD21" i="4"/>
  <c r="C21" i="4"/>
  <c r="B21" i="3"/>
  <c r="B22" i="4"/>
  <c r="L21" i="4"/>
  <c r="K22" i="4"/>
  <c r="S23" i="9"/>
  <c r="S51" i="9"/>
  <c r="S79" i="9"/>
  <c r="S107" i="9"/>
  <c r="S135" i="9"/>
  <c r="R57" i="9"/>
  <c r="Q15" i="9"/>
  <c r="R116" i="9" s="1"/>
  <c r="T56" i="8"/>
  <c r="U56" i="8" s="1"/>
  <c r="T84" i="8"/>
  <c r="T140" i="8"/>
  <c r="U140" i="8" s="1"/>
  <c r="Q51" i="8"/>
  <c r="Q64" i="8" s="1"/>
  <c r="Q107" i="8"/>
  <c r="AH20" i="5"/>
  <c r="Q155" i="9"/>
  <c r="Q157" i="9"/>
  <c r="Q151" i="9"/>
  <c r="Q149" i="9"/>
  <c r="Q148" i="9"/>
  <c r="Q152" i="9"/>
  <c r="Q156" i="9"/>
  <c r="Q154" i="9"/>
  <c r="Q150" i="9"/>
  <c r="Q147" i="9"/>
  <c r="AF20" i="5"/>
  <c r="R7" i="9"/>
  <c r="S136" i="9" s="1"/>
  <c r="Q112" i="9"/>
  <c r="Q125" i="9" s="1"/>
  <c r="Q84" i="9"/>
  <c r="Q97" i="9" s="1"/>
  <c r="Q140" i="9"/>
  <c r="Q153" i="9" s="1"/>
  <c r="Q28" i="9"/>
  <c r="Q41" i="9" s="1"/>
  <c r="S52" i="9"/>
  <c r="R9" i="9"/>
  <c r="S82" i="9" s="1"/>
  <c r="Q123" i="9"/>
  <c r="Q127" i="9"/>
  <c r="Q124" i="9"/>
  <c r="Q120" i="9"/>
  <c r="AA20" i="5"/>
  <c r="Q121" i="9"/>
  <c r="Q128" i="9"/>
  <c r="Q119" i="9"/>
  <c r="Q126" i="9"/>
  <c r="Q122" i="9"/>
  <c r="Q129" i="9"/>
  <c r="Q91" i="9"/>
  <c r="Q101" i="9"/>
  <c r="Q100" i="9"/>
  <c r="Q95" i="9"/>
  <c r="Q94" i="9"/>
  <c r="Q96" i="9"/>
  <c r="Q98" i="9"/>
  <c r="Q92" i="9"/>
  <c r="Q93" i="9"/>
  <c r="Q99" i="9"/>
  <c r="T20" i="5"/>
  <c r="T13" i="9"/>
  <c r="U142" i="9" s="1"/>
  <c r="Q5" i="9"/>
  <c r="R106" i="9" s="1"/>
  <c r="F20" i="5"/>
  <c r="Q42" i="9"/>
  <c r="Q37" i="9"/>
  <c r="Q35" i="9"/>
  <c r="Q38" i="9"/>
  <c r="Q36" i="9"/>
  <c r="Q40" i="9"/>
  <c r="Q45" i="9"/>
  <c r="I20" i="3"/>
  <c r="J21" i="5" s="1"/>
  <c r="Q44" i="9"/>
  <c r="Q43" i="9"/>
  <c r="Q39" i="9"/>
  <c r="S143" i="9"/>
  <c r="T10" i="9"/>
  <c r="U55" i="9" s="1"/>
  <c r="T109" i="9"/>
  <c r="T137" i="9"/>
  <c r="T53" i="9"/>
  <c r="T81" i="9"/>
  <c r="Q56" i="9"/>
  <c r="Y20" i="5"/>
  <c r="S87" i="9"/>
  <c r="R12" i="8"/>
  <c r="S85" i="8" s="1"/>
  <c r="Q149" i="8"/>
  <c r="S8" i="8"/>
  <c r="T25" i="8" s="1"/>
  <c r="S5" i="8"/>
  <c r="T78" i="8" s="1"/>
  <c r="R143" i="8"/>
  <c r="Q135" i="8"/>
  <c r="Q79" i="8"/>
  <c r="S55" i="8"/>
  <c r="S83" i="8"/>
  <c r="S111" i="8"/>
  <c r="S139" i="8"/>
  <c r="Q7" i="8"/>
  <c r="R24" i="8" s="1"/>
  <c r="R59" i="8"/>
  <c r="R115" i="8"/>
  <c r="R87" i="8"/>
  <c r="R13" i="8"/>
  <c r="S30" i="8" s="1"/>
  <c r="Q121" i="8"/>
  <c r="S26" i="8"/>
  <c r="Q120" i="8"/>
  <c r="G20" i="3"/>
  <c r="F21" i="3"/>
  <c r="X22" i="4" s="1"/>
  <c r="D20" i="3"/>
  <c r="AE21" i="4" s="1"/>
  <c r="H20" i="4"/>
  <c r="D21" i="4"/>
  <c r="M21" i="4"/>
  <c r="U58" i="9" l="1"/>
  <c r="U114" i="9"/>
  <c r="S108" i="9"/>
  <c r="R144" i="9"/>
  <c r="S6" i="9"/>
  <c r="T51" i="9" s="1"/>
  <c r="S26" i="9"/>
  <c r="T135" i="9"/>
  <c r="S80" i="9"/>
  <c r="R12" i="9"/>
  <c r="S85" i="9" s="1"/>
  <c r="R60" i="9"/>
  <c r="R73" i="9" s="1"/>
  <c r="R134" i="9"/>
  <c r="U28" i="8"/>
  <c r="U84" i="8"/>
  <c r="Q97" i="8"/>
  <c r="Q101" i="8"/>
  <c r="Q96" i="8"/>
  <c r="Q94" i="8"/>
  <c r="Q99" i="8"/>
  <c r="S20" i="5"/>
  <c r="Q95" i="8"/>
  <c r="Q100" i="8"/>
  <c r="Q98" i="8"/>
  <c r="Q91" i="8"/>
  <c r="R20" i="5"/>
  <c r="D20" i="5"/>
  <c r="Q93" i="8"/>
  <c r="Q39" i="8"/>
  <c r="Q43" i="8"/>
  <c r="Q42" i="8"/>
  <c r="Q35" i="8"/>
  <c r="Q41" i="8"/>
  <c r="Q38" i="8"/>
  <c r="Q40" i="8"/>
  <c r="E20" i="5"/>
  <c r="Q44" i="8"/>
  <c r="Q45" i="8"/>
  <c r="H20" i="3"/>
  <c r="Q37" i="8"/>
  <c r="B21" i="5"/>
  <c r="R40" i="8" s="1"/>
  <c r="Q124" i="8"/>
  <c r="Q126" i="8"/>
  <c r="Q129" i="8"/>
  <c r="Q122" i="8"/>
  <c r="Q125" i="8"/>
  <c r="Q128" i="8"/>
  <c r="Q123" i="8"/>
  <c r="Q127" i="8"/>
  <c r="Z20" i="5"/>
  <c r="Q119" i="8"/>
  <c r="R32" i="8"/>
  <c r="R45" i="8" s="1"/>
  <c r="Q157" i="8"/>
  <c r="Q70" i="8"/>
  <c r="Q73" i="8"/>
  <c r="K20" i="5"/>
  <c r="Q69" i="8"/>
  <c r="L20" i="5"/>
  <c r="Q68" i="8"/>
  <c r="Q72" i="8"/>
  <c r="Q66" i="8"/>
  <c r="Q71" i="8"/>
  <c r="Q63" i="8"/>
  <c r="Q67" i="8"/>
  <c r="W20" i="4"/>
  <c r="Z20" i="4" s="1"/>
  <c r="AF20" i="4"/>
  <c r="N20" i="4"/>
  <c r="AO20" i="4"/>
  <c r="C22" i="4"/>
  <c r="L22" i="4"/>
  <c r="C21" i="3"/>
  <c r="T22" i="4"/>
  <c r="AC22" i="4"/>
  <c r="AL22" i="4"/>
  <c r="U83" i="9"/>
  <c r="U111" i="9"/>
  <c r="S24" i="9"/>
  <c r="R32" i="9"/>
  <c r="R88" i="9"/>
  <c r="S29" i="8"/>
  <c r="R136" i="8"/>
  <c r="C21" i="5"/>
  <c r="Q11" i="9"/>
  <c r="R28" i="9" s="1"/>
  <c r="T23" i="9"/>
  <c r="S14" i="9"/>
  <c r="T87" i="9" s="1"/>
  <c r="R50" i="9"/>
  <c r="R140" i="9"/>
  <c r="Q21" i="5"/>
  <c r="S138" i="9"/>
  <c r="S54" i="9"/>
  <c r="S110" i="9"/>
  <c r="U53" i="9"/>
  <c r="S29" i="9"/>
  <c r="R78" i="9"/>
  <c r="R67" i="9"/>
  <c r="R72" i="9"/>
  <c r="R68" i="9"/>
  <c r="R71" i="9"/>
  <c r="R65" i="9"/>
  <c r="R70" i="9"/>
  <c r="R66" i="9"/>
  <c r="M21" i="5"/>
  <c r="R64" i="9"/>
  <c r="AE21" i="5"/>
  <c r="U27" i="9"/>
  <c r="U139" i="9"/>
  <c r="X21" i="5"/>
  <c r="U86" i="9"/>
  <c r="T8" i="9"/>
  <c r="U25" i="9" s="1"/>
  <c r="R56" i="9"/>
  <c r="Q69" i="9"/>
  <c r="U81" i="9"/>
  <c r="R22" i="9"/>
  <c r="U30" i="9"/>
  <c r="U11" i="8"/>
  <c r="V28" i="8" s="1"/>
  <c r="V84" i="8"/>
  <c r="R108" i="8"/>
  <c r="R39" i="8"/>
  <c r="R38" i="8"/>
  <c r="R44" i="8"/>
  <c r="R42" i="8"/>
  <c r="R37" i="8"/>
  <c r="R35" i="8"/>
  <c r="Q92" i="8"/>
  <c r="R15" i="8"/>
  <c r="S32" i="8"/>
  <c r="S9" i="8"/>
  <c r="R14" i="8"/>
  <c r="S31" i="8" s="1"/>
  <c r="T50" i="8"/>
  <c r="T106" i="8"/>
  <c r="R80" i="8"/>
  <c r="R52" i="8"/>
  <c r="R7" i="8" s="1"/>
  <c r="S24" i="8" s="1"/>
  <c r="S113" i="8"/>
  <c r="S141" i="8"/>
  <c r="S57" i="8"/>
  <c r="S12" i="8" s="1"/>
  <c r="Q148" i="8"/>
  <c r="S58" i="8"/>
  <c r="S114" i="8"/>
  <c r="S86" i="8"/>
  <c r="S142" i="8"/>
  <c r="T134" i="8"/>
  <c r="Q6" i="8"/>
  <c r="S10" i="8"/>
  <c r="T27" i="8" s="1"/>
  <c r="T22" i="8"/>
  <c r="T137" i="8"/>
  <c r="T81" i="8"/>
  <c r="T109" i="8"/>
  <c r="T53" i="8"/>
  <c r="T8" i="8" s="1"/>
  <c r="U25" i="8" s="1"/>
  <c r="AH21" i="4"/>
  <c r="G21" i="4"/>
  <c r="Y21" i="4"/>
  <c r="AQ21" i="4"/>
  <c r="P21" i="4"/>
  <c r="O22" i="4"/>
  <c r="AP22" i="4"/>
  <c r="F22" i="4"/>
  <c r="AG22" i="4"/>
  <c r="AN21" i="4"/>
  <c r="V21" i="4"/>
  <c r="S7" i="9" l="1"/>
  <c r="T136" i="9" s="1"/>
  <c r="R15" i="9"/>
  <c r="S116" i="9" s="1"/>
  <c r="T79" i="9"/>
  <c r="T107" i="9"/>
  <c r="T6" i="9" s="1"/>
  <c r="U23" i="9" s="1"/>
  <c r="S113" i="9"/>
  <c r="S141" i="9"/>
  <c r="S57" i="9"/>
  <c r="R43" i="8"/>
  <c r="R41" i="8"/>
  <c r="P21" i="5"/>
  <c r="AD21" i="5"/>
  <c r="W21" i="5"/>
  <c r="I21" i="5"/>
  <c r="E21" i="5"/>
  <c r="Y21" i="5"/>
  <c r="D21" i="5"/>
  <c r="AI20" i="4"/>
  <c r="AR20" i="4"/>
  <c r="Q20" i="4"/>
  <c r="E20" i="3"/>
  <c r="AO21" i="4" s="1"/>
  <c r="B22" i="3"/>
  <c r="T23" i="4"/>
  <c r="U22" i="4"/>
  <c r="AC23" i="4"/>
  <c r="AD22" i="4"/>
  <c r="AL23" i="4"/>
  <c r="AM22" i="4"/>
  <c r="S9" i="9"/>
  <c r="T138" i="9" s="1"/>
  <c r="R112" i="9"/>
  <c r="S60" i="9"/>
  <c r="T80" i="9"/>
  <c r="T52" i="9"/>
  <c r="S144" i="9"/>
  <c r="U109" i="9"/>
  <c r="T108" i="9"/>
  <c r="V112" i="8"/>
  <c r="T111" i="8"/>
  <c r="V56" i="8"/>
  <c r="S13" i="8"/>
  <c r="T30" i="8" s="1"/>
  <c r="V140" i="8"/>
  <c r="R5" i="9"/>
  <c r="S50" i="9" s="1"/>
  <c r="R37" i="9"/>
  <c r="R42" i="9"/>
  <c r="R36" i="9"/>
  <c r="F21" i="5"/>
  <c r="R41" i="9"/>
  <c r="R38" i="9"/>
  <c r="R40" i="9"/>
  <c r="R35" i="9"/>
  <c r="R43" i="9"/>
  <c r="R45" i="9"/>
  <c r="R44" i="9"/>
  <c r="I21" i="3"/>
  <c r="J22" i="5" s="1"/>
  <c r="R39" i="9"/>
  <c r="R69" i="9"/>
  <c r="R127" i="9"/>
  <c r="R125" i="9"/>
  <c r="R129" i="9"/>
  <c r="R120" i="9"/>
  <c r="AA21" i="5"/>
  <c r="R124" i="9"/>
  <c r="X22" i="5"/>
  <c r="R128" i="9"/>
  <c r="R122" i="9"/>
  <c r="R119" i="9"/>
  <c r="R123" i="9"/>
  <c r="R126" i="9"/>
  <c r="R121" i="9"/>
  <c r="U10" i="9"/>
  <c r="V139" i="9" s="1"/>
  <c r="S12" i="9"/>
  <c r="T24" i="9"/>
  <c r="T31" i="9"/>
  <c r="T115" i="9"/>
  <c r="T59" i="9"/>
  <c r="S32" i="9"/>
  <c r="R84" i="9"/>
  <c r="R99" i="9"/>
  <c r="R101" i="9"/>
  <c r="T21" i="5"/>
  <c r="R92" i="9"/>
  <c r="R95" i="9"/>
  <c r="R97" i="9"/>
  <c r="R91" i="9"/>
  <c r="R96" i="9"/>
  <c r="R93" i="9"/>
  <c r="Q22" i="5"/>
  <c r="R100" i="9"/>
  <c r="R98" i="9"/>
  <c r="R94" i="9"/>
  <c r="R21" i="5"/>
  <c r="U13" i="9"/>
  <c r="V86" i="9" s="1"/>
  <c r="S88" i="9"/>
  <c r="R63" i="9"/>
  <c r="R156" i="9"/>
  <c r="R155" i="9"/>
  <c r="R154" i="9"/>
  <c r="R150" i="9"/>
  <c r="R148" i="9"/>
  <c r="R157" i="9"/>
  <c r="AH21" i="5"/>
  <c r="R149" i="9"/>
  <c r="R152" i="9"/>
  <c r="AE22" i="5"/>
  <c r="R147" i="9"/>
  <c r="R151" i="9"/>
  <c r="R153" i="9"/>
  <c r="U137" i="9"/>
  <c r="AF21" i="5"/>
  <c r="T143" i="9"/>
  <c r="T29" i="8"/>
  <c r="T85" i="8"/>
  <c r="V11" i="8"/>
  <c r="W56" i="8" s="1"/>
  <c r="S143" i="8"/>
  <c r="S108" i="8"/>
  <c r="W84" i="8"/>
  <c r="S116" i="8"/>
  <c r="S144" i="8"/>
  <c r="R51" i="8"/>
  <c r="R23" i="8"/>
  <c r="R107" i="8"/>
  <c r="R135" i="8"/>
  <c r="T55" i="8"/>
  <c r="S136" i="8"/>
  <c r="S59" i="8"/>
  <c r="T113" i="8"/>
  <c r="T139" i="8"/>
  <c r="T57" i="8"/>
  <c r="S52" i="8"/>
  <c r="R65" i="8"/>
  <c r="T138" i="8"/>
  <c r="T110" i="8"/>
  <c r="T54" i="8"/>
  <c r="T82" i="8"/>
  <c r="U137" i="8"/>
  <c r="S115" i="8"/>
  <c r="T142" i="8"/>
  <c r="T114" i="8"/>
  <c r="T141" i="8"/>
  <c r="S80" i="8"/>
  <c r="R93" i="8"/>
  <c r="T26" i="8"/>
  <c r="R79" i="8"/>
  <c r="T5" i="8"/>
  <c r="U78" i="8" s="1"/>
  <c r="S60" i="8"/>
  <c r="S87" i="8"/>
  <c r="U53" i="8"/>
  <c r="U109" i="8"/>
  <c r="U81" i="8"/>
  <c r="S88" i="8"/>
  <c r="T83" i="8"/>
  <c r="G21" i="3"/>
  <c r="P22" i="4" s="1"/>
  <c r="F22" i="3"/>
  <c r="X23" i="4" s="1"/>
  <c r="D21" i="3"/>
  <c r="V30" i="9" l="1"/>
  <c r="T82" i="9"/>
  <c r="U8" i="9"/>
  <c r="T54" i="9"/>
  <c r="T110" i="9"/>
  <c r="T26" i="9"/>
  <c r="T9" i="9" s="1"/>
  <c r="U26" i="9" s="1"/>
  <c r="T86" i="8"/>
  <c r="R151" i="8"/>
  <c r="R152" i="8"/>
  <c r="R147" i="8"/>
  <c r="R154" i="8"/>
  <c r="R157" i="8"/>
  <c r="R150" i="8"/>
  <c r="R149" i="8"/>
  <c r="R155" i="8"/>
  <c r="R156" i="8"/>
  <c r="AG21" i="5"/>
  <c r="R153" i="8"/>
  <c r="R69" i="8"/>
  <c r="R63" i="8"/>
  <c r="R70" i="8"/>
  <c r="R71" i="8"/>
  <c r="L21" i="5"/>
  <c r="R67" i="8"/>
  <c r="R68" i="8"/>
  <c r="R66" i="8"/>
  <c r="R73" i="8"/>
  <c r="H21" i="3"/>
  <c r="AD22" i="5" s="1"/>
  <c r="K21" i="5"/>
  <c r="R72" i="8"/>
  <c r="R98" i="8"/>
  <c r="R94" i="8"/>
  <c r="R101" i="8"/>
  <c r="R91" i="8"/>
  <c r="S21" i="5"/>
  <c r="R97" i="8"/>
  <c r="R95" i="8"/>
  <c r="R96" i="8"/>
  <c r="R99" i="8"/>
  <c r="R100" i="8"/>
  <c r="T58" i="8"/>
  <c r="U58" i="8" s="1"/>
  <c r="R122" i="8"/>
  <c r="R129" i="8"/>
  <c r="R119" i="8"/>
  <c r="R121" i="8"/>
  <c r="Z21" i="5"/>
  <c r="R127" i="8"/>
  <c r="R123" i="8"/>
  <c r="R124" i="8"/>
  <c r="R125" i="8"/>
  <c r="R126" i="8"/>
  <c r="R128" i="8"/>
  <c r="AR21" i="4"/>
  <c r="W21" i="4"/>
  <c r="E21" i="4"/>
  <c r="N21" i="4"/>
  <c r="AF21" i="4"/>
  <c r="O23" i="4"/>
  <c r="AM23" i="4"/>
  <c r="U23" i="4"/>
  <c r="AD23" i="4"/>
  <c r="C22" i="3"/>
  <c r="K23" i="4"/>
  <c r="B23" i="4"/>
  <c r="V109" i="9"/>
  <c r="V81" i="9"/>
  <c r="C22" i="5"/>
  <c r="F22" i="5" s="1"/>
  <c r="U106" i="8"/>
  <c r="T13" i="8"/>
  <c r="U30" i="8" s="1"/>
  <c r="S7" i="8"/>
  <c r="T24" i="8" s="1"/>
  <c r="U50" i="8"/>
  <c r="W112" i="8"/>
  <c r="S78" i="9"/>
  <c r="S91" i="9" s="1"/>
  <c r="S22" i="9"/>
  <c r="T7" i="9"/>
  <c r="U24" i="9" s="1"/>
  <c r="S15" i="9"/>
  <c r="T14" i="9"/>
  <c r="U87" i="9" s="1"/>
  <c r="U31" i="9"/>
  <c r="T141" i="9"/>
  <c r="T57" i="9"/>
  <c r="T85" i="9"/>
  <c r="T113" i="9"/>
  <c r="U51" i="9"/>
  <c r="U135" i="9"/>
  <c r="U107" i="9"/>
  <c r="U79" i="9"/>
  <c r="V25" i="9"/>
  <c r="V53" i="9"/>
  <c r="AH22" i="5"/>
  <c r="S150" i="9"/>
  <c r="S152" i="9"/>
  <c r="S156" i="9"/>
  <c r="S154" i="9"/>
  <c r="S148" i="9"/>
  <c r="S149" i="9"/>
  <c r="S157" i="9"/>
  <c r="S151" i="9"/>
  <c r="S155" i="9"/>
  <c r="T29" i="9"/>
  <c r="V142" i="9"/>
  <c r="V58" i="9"/>
  <c r="V114" i="9"/>
  <c r="V55" i="9"/>
  <c r="V111" i="9"/>
  <c r="V83" i="9"/>
  <c r="S71" i="9"/>
  <c r="S66" i="9"/>
  <c r="S68" i="9"/>
  <c r="S63" i="9"/>
  <c r="S67" i="9"/>
  <c r="M22" i="5"/>
  <c r="S72" i="9"/>
  <c r="S70" i="9"/>
  <c r="S65" i="9"/>
  <c r="S64" i="9"/>
  <c r="S73" i="9"/>
  <c r="S38" i="9"/>
  <c r="S37" i="9"/>
  <c r="S123" i="9"/>
  <c r="S122" i="9"/>
  <c r="S128" i="9"/>
  <c r="S120" i="9"/>
  <c r="S124" i="9"/>
  <c r="S126" i="9"/>
  <c r="S127" i="9"/>
  <c r="S121" i="9"/>
  <c r="S129" i="9"/>
  <c r="AA22" i="5"/>
  <c r="S106" i="9"/>
  <c r="S119" i="9" s="1"/>
  <c r="S134" i="9"/>
  <c r="S147" i="9" s="1"/>
  <c r="V137" i="9"/>
  <c r="S95" i="9"/>
  <c r="S100" i="9"/>
  <c r="S93" i="9"/>
  <c r="S101" i="9"/>
  <c r="S94" i="9"/>
  <c r="S96" i="9"/>
  <c r="S92" i="9"/>
  <c r="S98" i="9"/>
  <c r="S99" i="9"/>
  <c r="T22" i="5"/>
  <c r="V27" i="9"/>
  <c r="R11" i="9"/>
  <c r="S84" i="9" s="1"/>
  <c r="R120" i="8"/>
  <c r="U113" i="8"/>
  <c r="T108" i="8"/>
  <c r="T12" i="8"/>
  <c r="U57" i="8" s="1"/>
  <c r="U29" i="8"/>
  <c r="U85" i="8"/>
  <c r="R6" i="8"/>
  <c r="S135" i="8" s="1"/>
  <c r="R36" i="8"/>
  <c r="V81" i="8"/>
  <c r="U22" i="8"/>
  <c r="W140" i="8"/>
  <c r="W28" i="8"/>
  <c r="W11" i="8" s="1"/>
  <c r="R92" i="8"/>
  <c r="T9" i="8"/>
  <c r="U54" i="8" s="1"/>
  <c r="T10" i="8"/>
  <c r="U83" i="8" s="1"/>
  <c r="R64" i="8"/>
  <c r="S15" i="8"/>
  <c r="T32" i="8" s="1"/>
  <c r="S14" i="8"/>
  <c r="T31" i="8" s="1"/>
  <c r="U141" i="8"/>
  <c r="T136" i="8"/>
  <c r="V137" i="8"/>
  <c r="U134" i="8"/>
  <c r="R148" i="8"/>
  <c r="U8" i="8"/>
  <c r="V25" i="8" s="1"/>
  <c r="AH22" i="4"/>
  <c r="Y22" i="4"/>
  <c r="G22" i="4"/>
  <c r="AQ22" i="4"/>
  <c r="AG23" i="4"/>
  <c r="F23" i="4"/>
  <c r="AP23" i="4"/>
  <c r="M22" i="4"/>
  <c r="AE22" i="4"/>
  <c r="D22" i="4"/>
  <c r="V22" i="4"/>
  <c r="AN22" i="4"/>
  <c r="S42" i="9" l="1"/>
  <c r="I22" i="3"/>
  <c r="C23" i="5" s="1"/>
  <c r="T38" i="9" s="1"/>
  <c r="V13" i="9"/>
  <c r="W30" i="9" s="1"/>
  <c r="S45" i="9"/>
  <c r="S40" i="9"/>
  <c r="S36" i="9"/>
  <c r="S44" i="9"/>
  <c r="S43" i="9"/>
  <c r="S39" i="9"/>
  <c r="S35" i="9"/>
  <c r="S152" i="8"/>
  <c r="S147" i="8"/>
  <c r="AG22" i="5"/>
  <c r="S153" i="8"/>
  <c r="S154" i="8"/>
  <c r="S150" i="8"/>
  <c r="S149" i="8"/>
  <c r="S155" i="8"/>
  <c r="S151" i="8"/>
  <c r="S157" i="8"/>
  <c r="AF22" i="5"/>
  <c r="S156" i="8"/>
  <c r="W22" i="5"/>
  <c r="B22" i="5"/>
  <c r="P22" i="5"/>
  <c r="I22" i="5"/>
  <c r="T80" i="8"/>
  <c r="V109" i="8"/>
  <c r="U86" i="8"/>
  <c r="U13" i="8" s="1"/>
  <c r="V30" i="8" s="1"/>
  <c r="T52" i="8"/>
  <c r="T7" i="8" s="1"/>
  <c r="U24" i="8" s="1"/>
  <c r="U142" i="8"/>
  <c r="V142" i="8" s="1"/>
  <c r="U114" i="8"/>
  <c r="Z21" i="4"/>
  <c r="Q21" i="4"/>
  <c r="AI21" i="4"/>
  <c r="H21" i="4"/>
  <c r="E21" i="3"/>
  <c r="AO22" i="4" s="1"/>
  <c r="C23" i="4"/>
  <c r="B23" i="3"/>
  <c r="K24" i="4"/>
  <c r="L23" i="4"/>
  <c r="J23" i="5"/>
  <c r="T68" i="9" s="1"/>
  <c r="U54" i="9"/>
  <c r="U110" i="9"/>
  <c r="U82" i="8"/>
  <c r="U139" i="8"/>
  <c r="U138" i="8"/>
  <c r="S97" i="9"/>
  <c r="F23" i="5"/>
  <c r="T40" i="9"/>
  <c r="T44" i="9"/>
  <c r="T43" i="9"/>
  <c r="T36" i="9"/>
  <c r="T39" i="9"/>
  <c r="V10" i="9"/>
  <c r="W139" i="9" s="1"/>
  <c r="W27" i="9"/>
  <c r="U143" i="9"/>
  <c r="W86" i="9"/>
  <c r="T12" i="9"/>
  <c r="U141" i="9" s="1"/>
  <c r="T116" i="9"/>
  <c r="T144" i="9"/>
  <c r="T60" i="9"/>
  <c r="V8" i="9"/>
  <c r="W53" i="9" s="1"/>
  <c r="W58" i="9"/>
  <c r="T32" i="9"/>
  <c r="T45" i="9" s="1"/>
  <c r="AE23" i="5"/>
  <c r="W142" i="9"/>
  <c r="S28" i="9"/>
  <c r="S112" i="9"/>
  <c r="S140" i="9"/>
  <c r="S56" i="9"/>
  <c r="Q23" i="5"/>
  <c r="U115" i="9"/>
  <c r="U59" i="9"/>
  <c r="W114" i="9"/>
  <c r="X23" i="5"/>
  <c r="U82" i="9"/>
  <c r="U6" i="9"/>
  <c r="V23" i="9" s="1"/>
  <c r="U138" i="9"/>
  <c r="U52" i="9"/>
  <c r="U136" i="9"/>
  <c r="U108" i="9"/>
  <c r="U80" i="9"/>
  <c r="S5" i="9"/>
  <c r="T50" i="9" s="1"/>
  <c r="T78" i="9"/>
  <c r="T88" i="9"/>
  <c r="S148" i="8"/>
  <c r="S107" i="8"/>
  <c r="S51" i="8"/>
  <c r="T88" i="8"/>
  <c r="S23" i="8"/>
  <c r="T144" i="8"/>
  <c r="U26" i="8"/>
  <c r="V53" i="8"/>
  <c r="T60" i="8"/>
  <c r="S79" i="8"/>
  <c r="T87" i="8"/>
  <c r="U12" i="8"/>
  <c r="V57" i="8" s="1"/>
  <c r="T143" i="8"/>
  <c r="T116" i="8"/>
  <c r="T59" i="8"/>
  <c r="U27" i="8"/>
  <c r="U111" i="8"/>
  <c r="U110" i="8"/>
  <c r="T115" i="8"/>
  <c r="U55" i="8"/>
  <c r="U5" i="8"/>
  <c r="V134" i="8" s="1"/>
  <c r="V22" i="8"/>
  <c r="G22" i="3"/>
  <c r="P23" i="4" s="1"/>
  <c r="F23" i="3"/>
  <c r="F24" i="4" s="1"/>
  <c r="AG24" i="4"/>
  <c r="D22" i="3"/>
  <c r="V23" i="4" s="1"/>
  <c r="AE23" i="4"/>
  <c r="M23" i="4"/>
  <c r="T65" i="9" l="1"/>
  <c r="T64" i="9"/>
  <c r="T42" i="9"/>
  <c r="V79" i="9"/>
  <c r="U9" i="9"/>
  <c r="V110" i="9" s="1"/>
  <c r="U7" i="9"/>
  <c r="V24" i="9" s="1"/>
  <c r="T37" i="9"/>
  <c r="U85" i="9"/>
  <c r="U57" i="9"/>
  <c r="M23" i="5"/>
  <c r="U113" i="9"/>
  <c r="T70" i="9"/>
  <c r="T67" i="9"/>
  <c r="T71" i="9"/>
  <c r="T72" i="9"/>
  <c r="T66" i="9"/>
  <c r="S124" i="8"/>
  <c r="Z22" i="5"/>
  <c r="S127" i="8"/>
  <c r="S126" i="8"/>
  <c r="S123" i="8"/>
  <c r="S119" i="8"/>
  <c r="S125" i="8"/>
  <c r="S122" i="8"/>
  <c r="S121" i="8"/>
  <c r="S129" i="8"/>
  <c r="S128" i="8"/>
  <c r="Y22" i="5"/>
  <c r="W23" i="5"/>
  <c r="R22" i="5"/>
  <c r="S91" i="8"/>
  <c r="S98" i="8"/>
  <c r="P23" i="5"/>
  <c r="T101" i="8" s="1"/>
  <c r="S22" i="5"/>
  <c r="S95" i="8"/>
  <c r="S99" i="8"/>
  <c r="S94" i="8"/>
  <c r="S101" i="8"/>
  <c r="S96" i="8"/>
  <c r="S97" i="8"/>
  <c r="S100" i="8"/>
  <c r="S93" i="8"/>
  <c r="H22" i="3"/>
  <c r="S67" i="8"/>
  <c r="S65" i="8"/>
  <c r="I23" i="5"/>
  <c r="S66" i="8"/>
  <c r="S69" i="8"/>
  <c r="S63" i="8"/>
  <c r="S70" i="8"/>
  <c r="S68" i="8"/>
  <c r="S73" i="8"/>
  <c r="S71" i="8"/>
  <c r="L22" i="5"/>
  <c r="S72" i="8"/>
  <c r="K22" i="5"/>
  <c r="E22" i="5"/>
  <c r="S45" i="8"/>
  <c r="S37" i="8"/>
  <c r="S42" i="8"/>
  <c r="S41" i="8"/>
  <c r="S38" i="8"/>
  <c r="S35" i="8"/>
  <c r="S40" i="8"/>
  <c r="S44" i="8"/>
  <c r="S39" i="8"/>
  <c r="S43" i="8"/>
  <c r="D22" i="5"/>
  <c r="V8" i="8"/>
  <c r="W81" i="8" s="1"/>
  <c r="V85" i="8"/>
  <c r="AH23" i="4"/>
  <c r="AR22" i="4"/>
  <c r="N22" i="4"/>
  <c r="E22" i="4"/>
  <c r="AF22" i="4"/>
  <c r="W22" i="4"/>
  <c r="Z22" i="4" s="1"/>
  <c r="L24" i="4"/>
  <c r="C23" i="3"/>
  <c r="T24" i="4"/>
  <c r="AC24" i="4"/>
  <c r="AL24" i="4"/>
  <c r="B24" i="4"/>
  <c r="W55" i="9"/>
  <c r="V135" i="9"/>
  <c r="W111" i="9"/>
  <c r="W13" i="9"/>
  <c r="V107" i="9"/>
  <c r="W83" i="9"/>
  <c r="V51" i="9"/>
  <c r="V141" i="8"/>
  <c r="V58" i="8"/>
  <c r="T14" i="8"/>
  <c r="U31" i="8" s="1"/>
  <c r="U52" i="8"/>
  <c r="V114" i="8"/>
  <c r="W109" i="9"/>
  <c r="W81" i="9"/>
  <c r="T100" i="9"/>
  <c r="T96" i="9"/>
  <c r="T92" i="9"/>
  <c r="T98" i="9"/>
  <c r="T101" i="9"/>
  <c r="T99" i="9"/>
  <c r="T93" i="9"/>
  <c r="T94" i="9"/>
  <c r="T91" i="9"/>
  <c r="T95" i="9"/>
  <c r="T23" i="5"/>
  <c r="V26" i="9"/>
  <c r="W25" i="9"/>
  <c r="T149" i="9"/>
  <c r="T157" i="9"/>
  <c r="T156" i="9"/>
  <c r="T148" i="9"/>
  <c r="T150" i="9"/>
  <c r="T151" i="9"/>
  <c r="T155" i="9"/>
  <c r="T154" i="9"/>
  <c r="AH23" i="5"/>
  <c r="T152" i="9"/>
  <c r="V143" i="9"/>
  <c r="W137" i="9"/>
  <c r="S69" i="9"/>
  <c r="R23" i="5"/>
  <c r="S125" i="9"/>
  <c r="S11" i="9"/>
  <c r="T84" i="9" s="1"/>
  <c r="T97" i="9" s="1"/>
  <c r="T28" i="9"/>
  <c r="S41" i="9"/>
  <c r="V80" i="9"/>
  <c r="T15" i="9"/>
  <c r="U88" i="9" s="1"/>
  <c r="U32" i="9"/>
  <c r="T140" i="9"/>
  <c r="T153" i="9" s="1"/>
  <c r="S153" i="9"/>
  <c r="T22" i="9"/>
  <c r="I23" i="3"/>
  <c r="V136" i="9"/>
  <c r="V6" i="9"/>
  <c r="W51" i="9" s="1"/>
  <c r="V108" i="9"/>
  <c r="U29" i="9"/>
  <c r="V138" i="9"/>
  <c r="V82" i="9"/>
  <c r="T73" i="9"/>
  <c r="T134" i="9"/>
  <c r="T106" i="9"/>
  <c r="T119" i="9" s="1"/>
  <c r="T63" i="9"/>
  <c r="T129" i="9"/>
  <c r="AA23" i="5"/>
  <c r="T128" i="9"/>
  <c r="T120" i="9"/>
  <c r="T127" i="9"/>
  <c r="T121" i="9"/>
  <c r="T122" i="9"/>
  <c r="T124" i="9"/>
  <c r="T123" i="9"/>
  <c r="T126" i="9"/>
  <c r="U14" i="9"/>
  <c r="V59" i="9" s="1"/>
  <c r="U108" i="8"/>
  <c r="U10" i="8"/>
  <c r="V55" i="8" s="1"/>
  <c r="V113" i="8"/>
  <c r="V111" i="8"/>
  <c r="V106" i="8"/>
  <c r="V78" i="8"/>
  <c r="V50" i="8"/>
  <c r="V5" i="8" s="1"/>
  <c r="T79" i="8"/>
  <c r="S92" i="8"/>
  <c r="V29" i="8"/>
  <c r="W109" i="8"/>
  <c r="U115" i="8"/>
  <c r="W137" i="8"/>
  <c r="U87" i="8"/>
  <c r="W25" i="8"/>
  <c r="S6" i="8"/>
  <c r="T135" i="8" s="1"/>
  <c r="S36" i="8"/>
  <c r="U136" i="8"/>
  <c r="T51" i="8"/>
  <c r="S64" i="8"/>
  <c r="V86" i="8"/>
  <c r="T15" i="8"/>
  <c r="U32" i="8" s="1"/>
  <c r="T107" i="8"/>
  <c r="S120" i="8"/>
  <c r="W53" i="8"/>
  <c r="U144" i="8"/>
  <c r="U59" i="8"/>
  <c r="U80" i="8"/>
  <c r="U116" i="8"/>
  <c r="U9" i="8"/>
  <c r="V110" i="8" s="1"/>
  <c r="T72" i="8"/>
  <c r="AQ23" i="4"/>
  <c r="G23" i="4"/>
  <c r="Y23" i="4"/>
  <c r="O24" i="4"/>
  <c r="X24" i="4"/>
  <c r="AP24" i="4"/>
  <c r="D23" i="4"/>
  <c r="AN23" i="4"/>
  <c r="V54" i="9" l="1"/>
  <c r="U144" i="9"/>
  <c r="W10" i="9"/>
  <c r="V52" i="9"/>
  <c r="V7" i="9" s="1"/>
  <c r="W24" i="9" s="1"/>
  <c r="V115" i="9"/>
  <c r="T56" i="9"/>
  <c r="T69" i="9" s="1"/>
  <c r="T124" i="8"/>
  <c r="T126" i="8"/>
  <c r="T123" i="8"/>
  <c r="T122" i="8"/>
  <c r="T127" i="8"/>
  <c r="T121" i="8"/>
  <c r="T125" i="8"/>
  <c r="T129" i="8"/>
  <c r="Z23" i="5"/>
  <c r="T119" i="8"/>
  <c r="Y23" i="5"/>
  <c r="T97" i="8"/>
  <c r="S23" i="5"/>
  <c r="T91" i="8"/>
  <c r="T93" i="8"/>
  <c r="T99" i="8"/>
  <c r="T95" i="8"/>
  <c r="T98" i="8"/>
  <c r="T96" i="8"/>
  <c r="T94" i="8"/>
  <c r="T100" i="8"/>
  <c r="B23" i="5"/>
  <c r="AD23" i="5"/>
  <c r="T69" i="8"/>
  <c r="T68" i="8"/>
  <c r="T71" i="8"/>
  <c r="T65" i="8"/>
  <c r="T66" i="8"/>
  <c r="T67" i="8"/>
  <c r="T70" i="8"/>
  <c r="K23" i="5"/>
  <c r="T63" i="8"/>
  <c r="L23" i="5"/>
  <c r="T128" i="8"/>
  <c r="T73" i="8"/>
  <c r="H22" i="4"/>
  <c r="E22" i="3"/>
  <c r="Q22" i="4"/>
  <c r="AF23" i="4"/>
  <c r="AI22" i="4"/>
  <c r="AD24" i="4"/>
  <c r="C24" i="4"/>
  <c r="AM24" i="4"/>
  <c r="B24" i="3"/>
  <c r="U24" i="4"/>
  <c r="U116" i="9"/>
  <c r="U60" i="9"/>
  <c r="U15" i="9" s="1"/>
  <c r="V88" i="9" s="1"/>
  <c r="T112" i="9"/>
  <c r="T11" i="9" s="1"/>
  <c r="U28" i="9" s="1"/>
  <c r="W8" i="9"/>
  <c r="U143" i="8"/>
  <c r="U14" i="8" s="1"/>
  <c r="W108" i="9"/>
  <c r="W23" i="9"/>
  <c r="W107" i="9"/>
  <c r="T5" i="9"/>
  <c r="T35" i="9"/>
  <c r="U12" i="9"/>
  <c r="J24" i="5"/>
  <c r="C24" i="5"/>
  <c r="X24" i="5"/>
  <c r="Q24" i="5"/>
  <c r="U134" i="9"/>
  <c r="W135" i="9"/>
  <c r="T147" i="9"/>
  <c r="T41" i="9"/>
  <c r="V9" i="9"/>
  <c r="W110" i="9" s="1"/>
  <c r="W136" i="9"/>
  <c r="W79" i="9"/>
  <c r="AE24" i="5"/>
  <c r="W80" i="9"/>
  <c r="V87" i="9"/>
  <c r="V31" i="9"/>
  <c r="W134" i="8"/>
  <c r="W22" i="8"/>
  <c r="T120" i="8"/>
  <c r="W78" i="8"/>
  <c r="U7" i="8"/>
  <c r="V136" i="8" s="1"/>
  <c r="V108" i="8"/>
  <c r="W106" i="8"/>
  <c r="V27" i="8"/>
  <c r="V26" i="8"/>
  <c r="W50" i="8"/>
  <c r="W8" i="8"/>
  <c r="U88" i="8"/>
  <c r="T92" i="8"/>
  <c r="V54" i="8"/>
  <c r="V82" i="8"/>
  <c r="V138" i="8"/>
  <c r="T23" i="8"/>
  <c r="V139" i="8"/>
  <c r="V83" i="8"/>
  <c r="T64" i="8"/>
  <c r="T148" i="8"/>
  <c r="U60" i="8"/>
  <c r="V13" i="8"/>
  <c r="W86" i="8" s="1"/>
  <c r="V12" i="8"/>
  <c r="W113" i="8" s="1"/>
  <c r="G23" i="3"/>
  <c r="F24" i="3"/>
  <c r="D23" i="3"/>
  <c r="W52" i="9" l="1"/>
  <c r="T125" i="9"/>
  <c r="T40" i="8"/>
  <c r="T42" i="8"/>
  <c r="T41" i="8"/>
  <c r="E23" i="5"/>
  <c r="T43" i="8"/>
  <c r="T39" i="8"/>
  <c r="T38" i="8"/>
  <c r="T37" i="8"/>
  <c r="T35" i="8"/>
  <c r="D23" i="5"/>
  <c r="H23" i="3"/>
  <c r="T44" i="8"/>
  <c r="T45" i="8"/>
  <c r="T154" i="8"/>
  <c r="T153" i="8"/>
  <c r="T150" i="8"/>
  <c r="T157" i="8"/>
  <c r="AG23" i="5"/>
  <c r="T147" i="8"/>
  <c r="T151" i="8"/>
  <c r="T155" i="8"/>
  <c r="T149" i="8"/>
  <c r="T152" i="8"/>
  <c r="T156" i="8"/>
  <c r="AF23" i="5"/>
  <c r="W23" i="4"/>
  <c r="Z23" i="4" s="1"/>
  <c r="AO23" i="4"/>
  <c r="AI23" i="4"/>
  <c r="N23" i="4"/>
  <c r="E23" i="4"/>
  <c r="C24" i="3"/>
  <c r="K25" i="4"/>
  <c r="B25" i="4"/>
  <c r="T25" i="4"/>
  <c r="AL25" i="4"/>
  <c r="AC25" i="4"/>
  <c r="U140" i="9"/>
  <c r="U153" i="9" s="1"/>
  <c r="W82" i="9"/>
  <c r="U56" i="9"/>
  <c r="U69" i="9" s="1"/>
  <c r="W54" i="9"/>
  <c r="U84" i="9"/>
  <c r="U97" i="9" s="1"/>
  <c r="W26" i="9"/>
  <c r="V31" i="8"/>
  <c r="V143" i="8"/>
  <c r="V115" i="8"/>
  <c r="V59" i="8"/>
  <c r="V87" i="8"/>
  <c r="U15" i="8"/>
  <c r="V32" i="8" s="1"/>
  <c r="U120" i="9"/>
  <c r="U126" i="9"/>
  <c r="U123" i="9"/>
  <c r="U122" i="9"/>
  <c r="U121" i="9"/>
  <c r="U128" i="9"/>
  <c r="U127" i="9"/>
  <c r="U129" i="9"/>
  <c r="AA24" i="5"/>
  <c r="U124" i="9"/>
  <c r="V57" i="9"/>
  <c r="V113" i="9"/>
  <c r="V141" i="9"/>
  <c r="V85" i="9"/>
  <c r="W7" i="9"/>
  <c r="V116" i="9"/>
  <c r="V32" i="9"/>
  <c r="W87" i="9"/>
  <c r="U149" i="9"/>
  <c r="U148" i="9"/>
  <c r="U151" i="9"/>
  <c r="U155" i="9"/>
  <c r="U154" i="9"/>
  <c r="U150" i="9"/>
  <c r="AH24" i="5"/>
  <c r="U147" i="9"/>
  <c r="U152" i="9"/>
  <c r="U157" i="9"/>
  <c r="U156" i="9"/>
  <c r="U78" i="9"/>
  <c r="U50" i="9"/>
  <c r="V144" i="9"/>
  <c r="U112" i="9"/>
  <c r="V14" i="9"/>
  <c r="W31" i="9" s="1"/>
  <c r="U38" i="9"/>
  <c r="U37" i="9"/>
  <c r="U42" i="9"/>
  <c r="U41" i="9"/>
  <c r="F24" i="5"/>
  <c r="U39" i="9"/>
  <c r="U44" i="9"/>
  <c r="I24" i="3"/>
  <c r="AE25" i="5" s="1"/>
  <c r="U43" i="9"/>
  <c r="U45" i="9"/>
  <c r="U40" i="9"/>
  <c r="U36" i="9"/>
  <c r="V29" i="9"/>
  <c r="U92" i="9"/>
  <c r="U101" i="9"/>
  <c r="U99" i="9"/>
  <c r="U98" i="9"/>
  <c r="U95" i="9"/>
  <c r="U93" i="9"/>
  <c r="T24" i="5"/>
  <c r="U100" i="9"/>
  <c r="U94" i="9"/>
  <c r="U96" i="9"/>
  <c r="U71" i="9"/>
  <c r="U66" i="9"/>
  <c r="U68" i="9"/>
  <c r="U67" i="9"/>
  <c r="M24" i="5"/>
  <c r="U64" i="9"/>
  <c r="U73" i="9"/>
  <c r="U72" i="9"/>
  <c r="U70" i="9"/>
  <c r="U65" i="9"/>
  <c r="V60" i="9"/>
  <c r="U106" i="9"/>
  <c r="U119" i="9" s="1"/>
  <c r="U22" i="9"/>
  <c r="U35" i="9" s="1"/>
  <c r="W6" i="9"/>
  <c r="W138" i="9"/>
  <c r="V9" i="8"/>
  <c r="W110" i="8" s="1"/>
  <c r="W26" i="8"/>
  <c r="V88" i="8"/>
  <c r="T6" i="8"/>
  <c r="T36" i="8"/>
  <c r="W5" i="8"/>
  <c r="W57" i="8"/>
  <c r="W85" i="8"/>
  <c r="W141" i="8"/>
  <c r="V24" i="8"/>
  <c r="V52" i="8"/>
  <c r="V10" i="8"/>
  <c r="W29" i="8"/>
  <c r="W12" i="8" s="1"/>
  <c r="W30" i="8"/>
  <c r="W142" i="8"/>
  <c r="W114" i="8"/>
  <c r="W58" i="8"/>
  <c r="V80" i="8"/>
  <c r="V60" i="8"/>
  <c r="AH24" i="4"/>
  <c r="P24" i="4"/>
  <c r="G24" i="4"/>
  <c r="AQ24" i="4"/>
  <c r="Y24" i="4"/>
  <c r="F25" i="4"/>
  <c r="AG25" i="4"/>
  <c r="O25" i="4"/>
  <c r="AP25" i="4"/>
  <c r="X25" i="4"/>
  <c r="V24" i="4"/>
  <c r="AE24" i="4"/>
  <c r="M24" i="4"/>
  <c r="D24" i="4"/>
  <c r="AN24" i="4"/>
  <c r="J25" i="5" l="1"/>
  <c r="X25" i="5"/>
  <c r="Q25" i="5"/>
  <c r="T25" i="5" s="1"/>
  <c r="W9" i="9"/>
  <c r="B24" i="5"/>
  <c r="I24" i="5"/>
  <c r="W24" i="5"/>
  <c r="P24" i="5"/>
  <c r="W54" i="8"/>
  <c r="V144" i="8"/>
  <c r="AD24" i="5"/>
  <c r="E23" i="3"/>
  <c r="E24" i="4"/>
  <c r="H23" i="4"/>
  <c r="AO24" i="4"/>
  <c r="AR23" i="4"/>
  <c r="N24" i="4"/>
  <c r="Q23" i="4"/>
  <c r="C25" i="4"/>
  <c r="B25" i="3"/>
  <c r="C25" i="3" s="1"/>
  <c r="B26" i="4"/>
  <c r="AM25" i="4"/>
  <c r="AL26" i="4"/>
  <c r="AM26" i="4" s="1"/>
  <c r="B16" i="10" s="1"/>
  <c r="L25" i="4"/>
  <c r="K26" i="4"/>
  <c r="L26" i="4" s="1"/>
  <c r="AC26" i="4"/>
  <c r="AD26" i="4" s="1"/>
  <c r="B5" i="10" s="1"/>
  <c r="AD25" i="4"/>
  <c r="U25" i="4"/>
  <c r="T26" i="4"/>
  <c r="U26" i="4" s="1"/>
  <c r="W82" i="8"/>
  <c r="V14" i="8"/>
  <c r="V116" i="8"/>
  <c r="V148" i="9"/>
  <c r="AH25" i="5"/>
  <c r="V149" i="9"/>
  <c r="V155" i="9"/>
  <c r="V157" i="9"/>
  <c r="V154" i="9"/>
  <c r="V150" i="9"/>
  <c r="V151" i="9"/>
  <c r="V152" i="9"/>
  <c r="V156" i="9"/>
  <c r="W14" i="9"/>
  <c r="V112" i="9"/>
  <c r="U63" i="9"/>
  <c r="U125" i="9"/>
  <c r="W116" i="9"/>
  <c r="W60" i="9"/>
  <c r="V12" i="9"/>
  <c r="W85" i="9" s="1"/>
  <c r="V99" i="9"/>
  <c r="V98" i="9"/>
  <c r="V94" i="9"/>
  <c r="V96" i="9"/>
  <c r="V93" i="9"/>
  <c r="V95" i="9"/>
  <c r="V101" i="9"/>
  <c r="U91" i="9"/>
  <c r="C25" i="5"/>
  <c r="U5" i="9"/>
  <c r="V134" i="9" s="1"/>
  <c r="V147" i="9" s="1"/>
  <c r="V124" i="9"/>
  <c r="V123" i="9"/>
  <c r="V129" i="9"/>
  <c r="V126" i="9"/>
  <c r="V127" i="9"/>
  <c r="AA25" i="5"/>
  <c r="V120" i="9"/>
  <c r="V122" i="9"/>
  <c r="V121" i="9"/>
  <c r="V128" i="9"/>
  <c r="V72" i="9"/>
  <c r="V70" i="9"/>
  <c r="M25" i="5"/>
  <c r="V73" i="9"/>
  <c r="V65" i="9"/>
  <c r="V71" i="9"/>
  <c r="V67" i="9"/>
  <c r="V64" i="9"/>
  <c r="V66" i="9"/>
  <c r="V68" i="9"/>
  <c r="W59" i="9"/>
  <c r="W115" i="9"/>
  <c r="W143" i="9"/>
  <c r="V15" i="9"/>
  <c r="W88" i="9" s="1"/>
  <c r="U11" i="9"/>
  <c r="W55" i="8"/>
  <c r="W111" i="8"/>
  <c r="U107" i="8"/>
  <c r="U51" i="8"/>
  <c r="U79" i="8"/>
  <c r="U135" i="8"/>
  <c r="U23" i="8"/>
  <c r="W27" i="8"/>
  <c r="V7" i="8"/>
  <c r="W139" i="8"/>
  <c r="W138" i="8"/>
  <c r="W9" i="8" s="1"/>
  <c r="W52" i="8"/>
  <c r="W83" i="8"/>
  <c r="V15" i="8"/>
  <c r="W32" i="8" s="1"/>
  <c r="W13" i="8"/>
  <c r="G24" i="3"/>
  <c r="Y25" i="4" s="1"/>
  <c r="F25" i="3"/>
  <c r="X26" i="4" s="1"/>
  <c r="D24" i="3"/>
  <c r="AN25" i="4" s="1"/>
  <c r="H24" i="4"/>
  <c r="D25" i="4"/>
  <c r="AE25" i="4"/>
  <c r="AR24" i="4"/>
  <c r="Q24" i="4"/>
  <c r="V100" i="9" l="1"/>
  <c r="V92" i="9"/>
  <c r="U147" i="8"/>
  <c r="U151" i="8"/>
  <c r="U153" i="8"/>
  <c r="U154" i="8"/>
  <c r="U152" i="8"/>
  <c r="U155" i="8"/>
  <c r="AG24" i="5"/>
  <c r="U150" i="8"/>
  <c r="U156" i="8"/>
  <c r="U149" i="8"/>
  <c r="U157" i="8"/>
  <c r="AF24" i="5"/>
  <c r="U95" i="8"/>
  <c r="U94" i="8"/>
  <c r="U99" i="8"/>
  <c r="U97" i="8"/>
  <c r="U96" i="8"/>
  <c r="S24" i="5"/>
  <c r="U98" i="8"/>
  <c r="U91" i="8"/>
  <c r="U93" i="8"/>
  <c r="U100" i="8"/>
  <c r="U101" i="8"/>
  <c r="R24" i="5"/>
  <c r="U122" i="8"/>
  <c r="U121" i="8"/>
  <c r="U123" i="8"/>
  <c r="U128" i="8"/>
  <c r="U124" i="8"/>
  <c r="U127" i="8"/>
  <c r="U126" i="8"/>
  <c r="U129" i="8"/>
  <c r="Z24" i="5"/>
  <c r="U119" i="8"/>
  <c r="U125" i="8"/>
  <c r="Y24" i="5"/>
  <c r="U63" i="8"/>
  <c r="U70" i="8"/>
  <c r="U71" i="8"/>
  <c r="U72" i="8"/>
  <c r="U69" i="8"/>
  <c r="U67" i="8"/>
  <c r="L24" i="5"/>
  <c r="U65" i="8"/>
  <c r="U66" i="8"/>
  <c r="U68" i="8"/>
  <c r="K24" i="5"/>
  <c r="U73" i="8"/>
  <c r="U38" i="8"/>
  <c r="U39" i="8"/>
  <c r="U44" i="8"/>
  <c r="U37" i="8"/>
  <c r="U41" i="8"/>
  <c r="U40" i="8"/>
  <c r="U35" i="8"/>
  <c r="U43" i="8"/>
  <c r="E24" i="5"/>
  <c r="U42" i="8"/>
  <c r="H24" i="3"/>
  <c r="W25" i="5" s="1"/>
  <c r="U45" i="8"/>
  <c r="D24" i="5"/>
  <c r="B25" i="5"/>
  <c r="W24" i="4"/>
  <c r="Z24" i="4" s="1"/>
  <c r="AF24" i="4"/>
  <c r="B26" i="3"/>
  <c r="C26" i="3" s="1"/>
  <c r="C26" i="4"/>
  <c r="E5" i="10"/>
  <c r="D5" i="10"/>
  <c r="E16" i="10"/>
  <c r="D16" i="10"/>
  <c r="W144" i="9"/>
  <c r="W31" i="8"/>
  <c r="W143" i="8"/>
  <c r="W87" i="8"/>
  <c r="W59" i="8"/>
  <c r="W115" i="8"/>
  <c r="F26" i="4"/>
  <c r="M25" i="4"/>
  <c r="V25" i="4"/>
  <c r="W141" i="9"/>
  <c r="V22" i="9"/>
  <c r="V28" i="9"/>
  <c r="V84" i="9"/>
  <c r="V56" i="9"/>
  <c r="V140" i="9"/>
  <c r="W29" i="9"/>
  <c r="V41" i="9"/>
  <c r="V37" i="9"/>
  <c r="V35" i="9"/>
  <c r="F25" i="5"/>
  <c r="V38" i="9"/>
  <c r="V42" i="9"/>
  <c r="V39" i="9"/>
  <c r="V45" i="9"/>
  <c r="I25" i="3"/>
  <c r="C26" i="5" s="1"/>
  <c r="V44" i="9"/>
  <c r="V43" i="9"/>
  <c r="V40" i="9"/>
  <c r="V36" i="9"/>
  <c r="V78" i="9"/>
  <c r="V106" i="9"/>
  <c r="W113" i="9"/>
  <c r="W57" i="9"/>
  <c r="V50" i="9"/>
  <c r="V125" i="9"/>
  <c r="W32" i="9"/>
  <c r="W88" i="8"/>
  <c r="W116" i="8"/>
  <c r="U148" i="8"/>
  <c r="W60" i="8"/>
  <c r="U6" i="8"/>
  <c r="V23" i="8" s="1"/>
  <c r="U36" i="8"/>
  <c r="W108" i="8"/>
  <c r="W136" i="8"/>
  <c r="W24" i="8"/>
  <c r="W7" i="8" s="1"/>
  <c r="W144" i="8"/>
  <c r="V79" i="8"/>
  <c r="U92" i="8"/>
  <c r="U120" i="8"/>
  <c r="W10" i="8"/>
  <c r="U64" i="8"/>
  <c r="W80" i="8"/>
  <c r="G25" i="4"/>
  <c r="P25" i="4"/>
  <c r="AH25" i="4"/>
  <c r="AQ25" i="4"/>
  <c r="AG26" i="4"/>
  <c r="B8" i="10" s="1"/>
  <c r="AP26" i="4"/>
  <c r="B19" i="10" s="1"/>
  <c r="O26" i="4"/>
  <c r="W15" i="9" l="1"/>
  <c r="V124" i="8"/>
  <c r="V128" i="8"/>
  <c r="V123" i="8"/>
  <c r="V121" i="8"/>
  <c r="V125" i="8"/>
  <c r="V122" i="8"/>
  <c r="Z25" i="5"/>
  <c r="V119" i="8"/>
  <c r="V127" i="8"/>
  <c r="V126" i="8"/>
  <c r="Y25" i="5"/>
  <c r="I25" i="5"/>
  <c r="H25" i="3" s="1"/>
  <c r="V129" i="8"/>
  <c r="AD25" i="5"/>
  <c r="P25" i="5"/>
  <c r="V43" i="8"/>
  <c r="E25" i="5"/>
  <c r="V41" i="8"/>
  <c r="V45" i="8"/>
  <c r="V44" i="8"/>
  <c r="V37" i="8"/>
  <c r="V38" i="8"/>
  <c r="V42" i="8"/>
  <c r="V35" i="8"/>
  <c r="V40" i="8"/>
  <c r="V39" i="8"/>
  <c r="V107" i="8"/>
  <c r="D25" i="5"/>
  <c r="E24" i="3"/>
  <c r="AF25" i="4"/>
  <c r="AI24" i="4"/>
  <c r="D25" i="3"/>
  <c r="M26" i="4" s="1"/>
  <c r="F26" i="3"/>
  <c r="W14" i="8"/>
  <c r="W15" i="8"/>
  <c r="V51" i="8"/>
  <c r="W37" i="9"/>
  <c r="W42" i="9"/>
  <c r="F26" i="5"/>
  <c r="W38" i="9"/>
  <c r="W36" i="9"/>
  <c r="W39" i="9"/>
  <c r="W40" i="9"/>
  <c r="W43" i="9"/>
  <c r="W44" i="9"/>
  <c r="W45" i="9"/>
  <c r="W78" i="9"/>
  <c r="V91" i="9"/>
  <c r="V11" i="9"/>
  <c r="W112" i="9" s="1"/>
  <c r="AE26" i="5"/>
  <c r="Q26" i="5"/>
  <c r="J26" i="5"/>
  <c r="X26" i="5"/>
  <c r="W140" i="9"/>
  <c r="V153" i="9"/>
  <c r="V97" i="9"/>
  <c r="W12" i="9"/>
  <c r="V5" i="9"/>
  <c r="W134" i="9" s="1"/>
  <c r="V119" i="9"/>
  <c r="V69" i="9"/>
  <c r="W50" i="9"/>
  <c r="V63" i="9"/>
  <c r="V36" i="8"/>
  <c r="V135" i="8"/>
  <c r="V120" i="8"/>
  <c r="G25" i="3"/>
  <c r="Y26" i="4" s="1"/>
  <c r="E19" i="10"/>
  <c r="D19" i="10"/>
  <c r="D8" i="10"/>
  <c r="E8" i="10"/>
  <c r="D26" i="4"/>
  <c r="AE26" i="4"/>
  <c r="V26" i="4"/>
  <c r="AN26" i="4"/>
  <c r="W106" i="9" l="1"/>
  <c r="P26" i="5"/>
  <c r="B26" i="5"/>
  <c r="W26" i="5"/>
  <c r="AD26" i="5"/>
  <c r="V150" i="8"/>
  <c r="V152" i="8"/>
  <c r="V151" i="8"/>
  <c r="V156" i="8"/>
  <c r="V154" i="8"/>
  <c r="AF25" i="5"/>
  <c r="V153" i="8"/>
  <c r="V157" i="8"/>
  <c r="V149" i="8"/>
  <c r="V147" i="8"/>
  <c r="V155" i="8"/>
  <c r="AG25" i="5"/>
  <c r="V67" i="8"/>
  <c r="V66" i="8"/>
  <c r="L25" i="5"/>
  <c r="V68" i="8"/>
  <c r="V63" i="8"/>
  <c r="V65" i="8"/>
  <c r="V70" i="8"/>
  <c r="V72" i="8"/>
  <c r="V71" i="8"/>
  <c r="V69" i="8"/>
  <c r="K25" i="5"/>
  <c r="V73" i="8"/>
  <c r="I26" i="5"/>
  <c r="V91" i="8"/>
  <c r="V98" i="8"/>
  <c r="V95" i="8"/>
  <c r="V99" i="8"/>
  <c r="V96" i="8"/>
  <c r="S25" i="5"/>
  <c r="V97" i="8"/>
  <c r="V101" i="8"/>
  <c r="R25" i="5"/>
  <c r="V93" i="8"/>
  <c r="V100" i="8"/>
  <c r="V94" i="8"/>
  <c r="V64" i="8"/>
  <c r="V92" i="8"/>
  <c r="AI25" i="4"/>
  <c r="W25" i="4"/>
  <c r="Z25" i="4" s="1"/>
  <c r="N25" i="4"/>
  <c r="E25" i="4"/>
  <c r="AO25" i="4"/>
  <c r="W73" i="9"/>
  <c r="W68" i="9"/>
  <c r="W65" i="9"/>
  <c r="W71" i="9"/>
  <c r="W66" i="9"/>
  <c r="W67" i="9"/>
  <c r="W64" i="9"/>
  <c r="W70" i="9"/>
  <c r="M26" i="5"/>
  <c r="W72" i="9"/>
  <c r="W63" i="9"/>
  <c r="W56" i="9"/>
  <c r="W69" i="9" s="1"/>
  <c r="B11" i="10"/>
  <c r="W124" i="9"/>
  <c r="W129" i="9"/>
  <c r="W127" i="9"/>
  <c r="W125" i="9"/>
  <c r="W119" i="9"/>
  <c r="W121" i="9"/>
  <c r="W122" i="9"/>
  <c r="W128" i="9"/>
  <c r="W120" i="9"/>
  <c r="W123" i="9"/>
  <c r="W126" i="9"/>
  <c r="AA26" i="5"/>
  <c r="W28" i="9"/>
  <c r="Y26" i="5"/>
  <c r="I26" i="3"/>
  <c r="W152" i="9"/>
  <c r="W149" i="9"/>
  <c r="W150" i="9"/>
  <c r="W147" i="9"/>
  <c r="W151" i="9"/>
  <c r="W154" i="9"/>
  <c r="W153" i="9"/>
  <c r="W148" i="9"/>
  <c r="W155" i="9"/>
  <c r="W157" i="9"/>
  <c r="AH26" i="5"/>
  <c r="W156" i="9"/>
  <c r="B22" i="10"/>
  <c r="AF26" i="5"/>
  <c r="W22" i="9"/>
  <c r="W35" i="9" s="1"/>
  <c r="K26" i="5"/>
  <c r="W98" i="9"/>
  <c r="W91" i="9"/>
  <c r="W101" i="9"/>
  <c r="W99" i="9"/>
  <c r="W93" i="9"/>
  <c r="W100" i="9"/>
  <c r="T26" i="5"/>
  <c r="W94" i="9"/>
  <c r="W95" i="9"/>
  <c r="W92" i="9"/>
  <c r="W96" i="9"/>
  <c r="R26" i="5"/>
  <c r="W84" i="9"/>
  <c r="W97" i="9" s="1"/>
  <c r="V148" i="8"/>
  <c r="V6" i="8"/>
  <c r="AH26" i="4"/>
  <c r="B9" i="10" s="1"/>
  <c r="G26" i="4"/>
  <c r="AQ26" i="4"/>
  <c r="B20" i="10" s="1"/>
  <c r="P26" i="4"/>
  <c r="B17" i="10"/>
  <c r="B6" i="10"/>
  <c r="D26" i="3"/>
  <c r="W150" i="8" l="1"/>
  <c r="W156" i="8"/>
  <c r="W155" i="8"/>
  <c r="W151" i="8"/>
  <c r="W154" i="8"/>
  <c r="W147" i="8"/>
  <c r="W152" i="8"/>
  <c r="B21" i="10"/>
  <c r="AG26" i="5"/>
  <c r="W153" i="8"/>
  <c r="W149" i="8"/>
  <c r="W157" i="8"/>
  <c r="W42" i="8"/>
  <c r="W38" i="8"/>
  <c r="W40" i="8"/>
  <c r="W43" i="8"/>
  <c r="W39" i="8"/>
  <c r="E26" i="5"/>
  <c r="W44" i="8"/>
  <c r="W35" i="8"/>
  <c r="W41" i="8"/>
  <c r="W45" i="8"/>
  <c r="H26" i="3"/>
  <c r="D26" i="5"/>
  <c r="W37" i="8"/>
  <c r="W71" i="8"/>
  <c r="W67" i="8"/>
  <c r="W73" i="8"/>
  <c r="W65" i="8"/>
  <c r="W72" i="8"/>
  <c r="W69" i="8"/>
  <c r="W66" i="8"/>
  <c r="W63" i="8"/>
  <c r="L26" i="5"/>
  <c r="W68" i="8"/>
  <c r="W70" i="8"/>
  <c r="W123" i="8"/>
  <c r="W129" i="8"/>
  <c r="W122" i="8"/>
  <c r="W124" i="8"/>
  <c r="W119" i="8"/>
  <c r="B10" i="10"/>
  <c r="W125" i="8"/>
  <c r="W127" i="8"/>
  <c r="Z26" i="5"/>
  <c r="W128" i="8"/>
  <c r="W126" i="8"/>
  <c r="W121" i="8"/>
  <c r="S26" i="5"/>
  <c r="W94" i="8"/>
  <c r="W100" i="8"/>
  <c r="W97" i="8"/>
  <c r="W91" i="8"/>
  <c r="W98" i="8"/>
  <c r="W95" i="8"/>
  <c r="W96" i="8"/>
  <c r="W99" i="8"/>
  <c r="W93" i="8"/>
  <c r="W101" i="8"/>
  <c r="AR25" i="4"/>
  <c r="Q25" i="4"/>
  <c r="E25" i="3"/>
  <c r="E26" i="4"/>
  <c r="H25" i="4"/>
  <c r="E22" i="10"/>
  <c r="D22" i="10"/>
  <c r="W5" i="9"/>
  <c r="D11" i="10"/>
  <c r="E11" i="10"/>
  <c r="W11" i="9"/>
  <c r="W41" i="9"/>
  <c r="W79" i="8"/>
  <c r="W92" i="8" s="1"/>
  <c r="W107" i="8"/>
  <c r="W120" i="8" s="1"/>
  <c r="W23" i="8"/>
  <c r="W51" i="8"/>
  <c r="W64" i="8" s="1"/>
  <c r="W135" i="8"/>
  <c r="W148" i="8" s="1"/>
  <c r="G26" i="3"/>
  <c r="E20" i="10"/>
  <c r="D20" i="10"/>
  <c r="D9" i="10"/>
  <c r="E9" i="10"/>
  <c r="D17" i="10"/>
  <c r="E17" i="10"/>
  <c r="D6" i="10"/>
  <c r="E6" i="10"/>
  <c r="D10" i="10" l="1"/>
  <c r="E10" i="10"/>
  <c r="E21" i="10"/>
  <c r="D21" i="10"/>
  <c r="H26" i="4"/>
  <c r="W26" i="4"/>
  <c r="Z26" i="4" s="1"/>
  <c r="AF26" i="4"/>
  <c r="N26" i="4"/>
  <c r="Q26" i="4" s="1"/>
  <c r="AO26" i="4"/>
  <c r="W6" i="8"/>
  <c r="W36" i="8"/>
  <c r="B18" i="10" l="1"/>
  <c r="AR26" i="4"/>
  <c r="B7" i="10"/>
  <c r="AI26" i="4"/>
  <c r="E26" i="3"/>
  <c r="E7" i="10" l="1"/>
  <c r="D7" i="10"/>
  <c r="E18" i="10"/>
  <c r="D18" i="10"/>
</calcChain>
</file>

<file path=xl/sharedStrings.xml><?xml version="1.0" encoding="utf-8"?>
<sst xmlns="http://schemas.openxmlformats.org/spreadsheetml/2006/main" count="413" uniqueCount="178">
  <si>
    <t>Anaerobic Digester Sludge Recirculation – Mixing/Dilution-Only Theoretical Tracking (Draft)</t>
  </si>
  <si>
    <t>Purpose</t>
  </si>
  <si>
    <t>Track the 21-day sludge recirculation theoretically by mixing/dilution only (no microbial growth, no substrate consumption, no decay).</t>
  </si>
  <si>
    <t>Workbook scope</t>
  </si>
  <si>
    <t>1) Chemistry: pH, Alk, TVFA, COD, VS  2) qPCR-like abundance: BAC, ARC  3) NGS composition: bacteria and archaea top taxa + Others.</t>
  </si>
  <si>
    <t>Key assumption</t>
  </si>
  <si>
    <t>Each reactor is treated as a daily mixed CSTR-style mass balance: C(t+1)=C(t)+dt/V*ΣQ(C_in-C).</t>
  </si>
  <si>
    <t>pH handling</t>
  </si>
  <si>
    <t>pH is estimated from conservative H+ mixing only. Interpret pH results cautiously; Alk/TVFA/VFA/Alk are the stronger theoretical outputs.</t>
  </si>
  <si>
    <t>How to use</t>
  </si>
  <si>
    <t>Fill yellow cells in Inputs / NGS input sheets with measured day-0 values and feed compositions. The rest of the workbook updates automatically.</t>
  </si>
  <si>
    <t>Suggested paper framing</t>
  </si>
  <si>
    <t>Use this workbook as a null model: 'How much recovery is explainable by sludge redistribution and dilution alone?'</t>
  </si>
  <si>
    <t>Color / Cell Logic</t>
  </si>
  <si>
    <t>Yellow fill + blue text</t>
  </si>
  <si>
    <t>User input / measured value to be overwritten</t>
  </si>
  <si>
    <t>Gray fill</t>
  </si>
  <si>
    <t>Static constant / label</t>
  </si>
  <si>
    <t>Black text</t>
  </si>
  <si>
    <t>Derived formula</t>
  </si>
  <si>
    <t>Orange fill</t>
  </si>
  <si>
    <t>Review / caution note</t>
  </si>
  <si>
    <t>Recommended workflow</t>
  </si>
  <si>
    <t>1. Confirm R1–R5 working volumes and exact FWW flows in Inputs.</t>
  </si>
  <si>
    <t>2. Paste day-0 reactor chemistry (d179 or chosen baseline) and BAC/ARC.</t>
  </si>
  <si>
    <t>3. Paste stream chemistry for SS reservoir and FWW.</t>
  </si>
  <si>
    <t>4. Paste NGS relative abundances (top taxa + Others auto-computes).</t>
  </si>
  <si>
    <t>5. Review Reservoir, Chemistry_Daily, BAC_ARC_Daily, and NGS sheets.</t>
  </si>
  <si>
    <t>6. Compare R4/R5 model outputs vs observed recovery in Observed_Compare.</t>
  </si>
  <si>
    <t>Inputs and Operating Assumptions</t>
  </si>
  <si>
    <t>Global controls</t>
  </si>
  <si>
    <t>Operation days</t>
  </si>
  <si>
    <t>Time step dt (d)</t>
  </si>
  <si>
    <t>Active RS pool flow (m3/d)</t>
  </si>
  <si>
    <t>pH theory note</t>
  </si>
  <si>
    <t>Conservative H+ mixing only (buffer chemistry not solved).</t>
  </si>
  <si>
    <t>Main null-model note</t>
  </si>
  <si>
    <t>No growth / no decay / no substrate conversion. Only hydraulic mixing and dilution.</t>
  </si>
  <si>
    <t>Reactor hydraulics (prefilled from your figure; confirm exact values)</t>
  </si>
  <si>
    <t>Reactor</t>
  </si>
  <si>
    <t>Working volume (m3)</t>
  </si>
  <si>
    <t>SS flow (m3/d)</t>
  </si>
  <si>
    <t>RS flow (m3/d)</t>
  </si>
  <si>
    <t>FWW flow (m3/d)</t>
  </si>
  <si>
    <t>Total in/out (m3/d)</t>
  </si>
  <si>
    <t>21d cumulative RS (m3)</t>
  </si>
  <si>
    <t>Augmentation (% of V)</t>
  </si>
  <si>
    <t>Include in RS pool (1/0)</t>
  </si>
  <si>
    <t>Note</t>
  </si>
  <si>
    <t>R1</t>
  </si>
  <si>
    <t>FWW prefilled from figure as 22 / 30 m3/d placeholder. Confirm exact split from operation log.</t>
  </si>
  <si>
    <t>R2</t>
  </si>
  <si>
    <t>R3</t>
  </si>
  <si>
    <t>FWW prefilled from figure as 40 m3/d.</t>
  </si>
  <si>
    <t>R4</t>
  </si>
  <si>
    <t>No FWW shown in figure.</t>
  </si>
  <si>
    <t>R5</t>
  </si>
  <si>
    <t>Feed / source stream properties (enter measured or assumed values)</t>
  </si>
  <si>
    <t>Variable</t>
  </si>
  <si>
    <t>Unit</t>
  </si>
  <si>
    <t>SS reservoir</t>
  </si>
  <si>
    <t>FWW</t>
  </si>
  <si>
    <t>pH</t>
  </si>
  <si>
    <t>-</t>
  </si>
  <si>
    <t>Used only for conservative H+ mixing estimate.</t>
  </si>
  <si>
    <t>Alkalinity</t>
  </si>
  <si>
    <t>g/L as CaCO3</t>
  </si>
  <si>
    <t>Conservative mixing only; no carbonate equilibrium recalculation.</t>
  </si>
  <si>
    <t>TVFA</t>
  </si>
  <si>
    <t>g/L</t>
  </si>
  <si>
    <t>Enter as acetate-equivalent or your standard TVFA basis.</t>
  </si>
  <si>
    <t>COD</t>
  </si>
  <si>
    <t>Optional but useful for comparison with observed COD recovery.</t>
  </si>
  <si>
    <t>VS</t>
  </si>
  <si>
    <t>Optional but useful for comparison with observed VS recovery.</t>
  </si>
  <si>
    <t>BAC</t>
  </si>
  <si>
    <t>copies/mL</t>
  </si>
  <si>
    <t>qPCR-like bacterial abundance concentration.</t>
  </si>
  <si>
    <t>ARC</t>
  </si>
  <si>
    <t>qPCR-like archaeal abundance concentration.</t>
  </si>
  <si>
    <t>Initial reactor state at day 0 (fill with measured pre-recirculation values)</t>
  </si>
  <si>
    <t>Recommended: use d179 (or chosen day-0) reactor-specific measured values.</t>
  </si>
  <si>
    <t>Observed post-recovery values from your image (prefilled; editable)</t>
  </si>
  <si>
    <t>COD removal</t>
  </si>
  <si>
    <t>VS removal</t>
  </si>
  <si>
    <t>Carbohydrate removal</t>
  </si>
  <si>
    <t>Protein removal</t>
  </si>
  <si>
    <t>Lipid removal</t>
  </si>
  <si>
    <t>Optional observed BAC / ARC after recirculation</t>
  </si>
  <si>
    <t>Fill if qPCR results are available.</t>
  </si>
  <si>
    <t>Return Sludge Reservoir Composition (flow-weighted from reactor effluents)</t>
  </si>
  <si>
    <t>Daily RS pool composition</t>
  </si>
  <si>
    <t>Day</t>
  </si>
  <si>
    <t>H+</t>
  </si>
  <si>
    <t>Chemistry Daily Tracking (mixing / dilution only)</t>
  </si>
  <si>
    <t>TVFA/Alk</t>
  </si>
  <si>
    <t>BAC / ARC Daily Tracking (mixing / dilution only)</t>
  </si>
  <si>
    <t>ARC/BAC</t>
  </si>
  <si>
    <t>Total BAC copies</t>
  </si>
  <si>
    <t>Total ARC copies</t>
  </si>
  <si>
    <t>Bacterial community – Top taxa input</t>
  </si>
  <si>
    <t>Enter relative abundance as fraction (0 to 1). Top 10 taxa are editable. 'Others' auto-computes as 1 - SUM(top 10).</t>
  </si>
  <si>
    <t>Taxon</t>
  </si>
  <si>
    <t>SS rel.</t>
  </si>
  <si>
    <t>FWW rel.</t>
  </si>
  <si>
    <t>R1 d0 rel.</t>
  </si>
  <si>
    <t>R2 d0 rel.</t>
  </si>
  <si>
    <t>R3 d0 rel.</t>
  </si>
  <si>
    <t>R4 d0 rel.</t>
  </si>
  <si>
    <t>R5 d0 rel.</t>
  </si>
  <si>
    <t>Bac_taxon_1</t>
  </si>
  <si>
    <t>Bac_taxon_2</t>
  </si>
  <si>
    <t>Bac_taxon_3</t>
  </si>
  <si>
    <t>Bac_taxon_4</t>
  </si>
  <si>
    <t>Bac_taxon_5</t>
  </si>
  <si>
    <t>Bac_taxon_6</t>
  </si>
  <si>
    <t>Bac_taxon_7</t>
  </si>
  <si>
    <t>Bac_taxon_8</t>
  </si>
  <si>
    <t>Bac_taxon_9</t>
  </si>
  <si>
    <t>Bac_taxon_10</t>
  </si>
  <si>
    <t>Others</t>
  </si>
  <si>
    <t>Sum check</t>
  </si>
  <si>
    <t>Tip</t>
  </si>
  <si>
    <t>Paste top taxa only; keep Others formula intact.</t>
  </si>
  <si>
    <t>Archaeal community – Top taxa input</t>
  </si>
  <si>
    <t>Arc_taxon_1</t>
  </si>
  <si>
    <t>Arc_taxon_2</t>
  </si>
  <si>
    <t>Arc_taxon_3</t>
  </si>
  <si>
    <t>Arc_taxon_4</t>
  </si>
  <si>
    <t>Arc_taxon_5</t>
  </si>
  <si>
    <t>Arc_taxon_6</t>
  </si>
  <si>
    <t>Arc_taxon_7</t>
  </si>
  <si>
    <t>Arc_taxon_8</t>
  </si>
  <si>
    <t>Arc_taxon_9</t>
  </si>
  <si>
    <t>Arc_taxon_10</t>
  </si>
  <si>
    <t>Bacterial community Daily Tracking (absolute + relative abundance)</t>
  </si>
  <si>
    <t>Top block = RS pool absolute copies/mL. Each reactor block below shows absolute copies/mL and relative abundance.</t>
  </si>
  <si>
    <t>RS pool absolute copies/mL</t>
  </si>
  <si>
    <t>Taxon / Day</t>
  </si>
  <si>
    <t>Day 0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</si>
  <si>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</si>
  <si>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</si>
  <si>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</si>
  <si>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</si>
  <si>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</si>
  <si>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</si>
  <si>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</si>
  <si>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</si>
  <si>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</si>
  <si>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</si>
  <si>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</si>
  <si>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</si>
  <si>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</si>
  <si>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</si>
  <si>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</si>
  <si>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</si>
  <si>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</si>
  <si>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</si>
  <si>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</si>
  <si>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</si>
  <si>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</si>
  <si>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Absolute copies/mL</t>
  </si>
  <si>
    <t>Relative abundance</t>
  </si>
  <si>
    <t>Archaeal community Daily Tracking (absolute + relative abundance)</t>
  </si>
  <si>
    <t>Observed vs Predicted at Day 21</t>
  </si>
  <si>
    <t>R4 comparison</t>
  </si>
  <si>
    <t>Predicted day21</t>
  </si>
  <si>
    <t>Observed after</t>
  </si>
  <si>
    <t>Gap (Obs-Pred)</t>
  </si>
  <si>
    <t>Observed/Pred</t>
  </si>
  <si>
    <t>Units</t>
  </si>
  <si>
    <t>Comment</t>
  </si>
  <si>
    <t>Conservative H+ mixing estimate</t>
  </si>
  <si>
    <t/>
  </si>
  <si>
    <t>Observed optional</t>
  </si>
  <si>
    <t>R5 comparison</t>
  </si>
  <si>
    <t>Interpretation note</t>
  </si>
  <si>
    <t>If observed recovery exceeds predicted recovery from this workbook, the gap can be discussed as biological regrowth / adaptation / community selection beyond pure redistribution.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</si>
</sst>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#,##0.0"/>
    <numFmt numFmtId="178" formatCode="0.0%"/>
    <numFmt numFmtId="179" formatCode="0.000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i/>
      <sz val="11"/>
      <color rgb="FF9C6500"/>
      <name val="Calibri"/>
      <family val="2"/>
    </font>
    <font>
      <b/>
      <sz val="11"/>
      <color rgb="FF000000"/>
      <name val="Calibri"/>
      <family val="2"/>
    </font>
    <font>
      <sz val="11"/>
      <color rgb="FF666666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3F3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0" fontId="9" fillId="0" borderId="0"/>
  </cellStyleXfs>
  <cellXfs count="32">
    <xf numFmtId="0" fontId="0" fillId="0" borderId="0" xfId="0"/>
    <xf numFmtId="0" fontId="2" fillId="3" borderId="1" xfId="1" applyFont="1" applyFill="1" applyBorder="1" applyAlignment="1">
      <alignment vertical="center"/>
    </xf>
    <xf numFmtId="0" fontId="0" fillId="0" borderId="1" xfId="1" applyFont="1" applyBorder="1" applyAlignment="1">
      <alignment vertical="top" wrapText="1"/>
    </xf>
    <xf numFmtId="0" fontId="0" fillId="0" borderId="1" xfId="1" applyFont="1" applyBorder="1" applyAlignment="1">
      <alignment vertical="center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center"/>
    </xf>
    <xf numFmtId="1" fontId="4" fillId="4" borderId="1" xfId="1" applyNumberFormat="1" applyFont="1" applyFill="1" applyBorder="1" applyAlignment="1">
      <alignment vertical="center"/>
    </xf>
    <xf numFmtId="176" fontId="4" fillId="4" borderId="1" xfId="1" applyNumberFormat="1" applyFont="1" applyFill="1" applyBorder="1" applyAlignment="1">
      <alignment vertical="center"/>
    </xf>
    <xf numFmtId="176" fontId="5" fillId="0" borderId="1" xfId="1" applyNumberFormat="1" applyFont="1" applyBorder="1" applyAlignment="1">
      <alignment vertical="center"/>
    </xf>
    <xf numFmtId="0" fontId="6" fillId="5" borderId="1" xfId="1" applyFont="1" applyFill="1" applyBorder="1" applyAlignment="1">
      <alignment vertical="top" wrapText="1"/>
    </xf>
    <xf numFmtId="0" fontId="7" fillId="3" borderId="2" xfId="1" applyFont="1" applyFill="1" applyBorder="1" applyAlignment="1">
      <alignment horizontal="center" vertical="center" wrapText="1"/>
    </xf>
    <xf numFmtId="0" fontId="8" fillId="6" borderId="1" xfId="1" applyFont="1" applyFill="1" applyBorder="1" applyAlignment="1">
      <alignment vertical="center"/>
    </xf>
    <xf numFmtId="177" fontId="4" fillId="4" borderId="1" xfId="1" applyNumberFormat="1" applyFont="1" applyFill="1" applyBorder="1" applyAlignment="1">
      <alignment vertical="center"/>
    </xf>
    <xf numFmtId="177" fontId="5" fillId="0" borderId="1" xfId="1" applyNumberFormat="1" applyFont="1" applyBorder="1" applyAlignment="1">
      <alignment vertical="center"/>
    </xf>
    <xf numFmtId="178" fontId="5" fillId="0" borderId="1" xfId="1" applyNumberFormat="1" applyFont="1" applyBorder="1" applyAlignment="1">
      <alignment vertical="center"/>
    </xf>
    <xf numFmtId="2" fontId="4" fillId="4" borderId="1" xfId="1" applyNumberFormat="1" applyFont="1" applyFill="1" applyBorder="1"/>
    <xf numFmtId="176" fontId="4" fillId="4" borderId="1" xfId="1" applyNumberFormat="1" applyFont="1" applyFill="1" applyBorder="1"/>
    <xf numFmtId="11" fontId="4" fillId="4" borderId="1" xfId="1" applyNumberFormat="1" applyFont="1" applyFill="1" applyBorder="1"/>
    <xf numFmtId="2" fontId="4" fillId="4" borderId="1" xfId="1" applyNumberFormat="1" applyFont="1" applyFill="1" applyBorder="1" applyAlignment="1">
      <alignment vertical="center"/>
    </xf>
    <xf numFmtId="178" fontId="4" fillId="4" borderId="1" xfId="1" applyNumberFormat="1" applyFont="1" applyFill="1" applyBorder="1" applyAlignment="1">
      <alignment vertical="center"/>
    </xf>
    <xf numFmtId="1" fontId="8" fillId="6" borderId="1" xfId="1" applyNumberFormat="1" applyFont="1" applyFill="1" applyBorder="1" applyAlignment="1">
      <alignment vertical="center"/>
    </xf>
    <xf numFmtId="11" fontId="5" fillId="0" borderId="1" xfId="1" applyNumberFormat="1" applyFont="1" applyBorder="1" applyAlignment="1">
      <alignment vertical="center"/>
    </xf>
    <xf numFmtId="2" fontId="5" fillId="0" borderId="1" xfId="1" applyNumberFormat="1" applyFont="1" applyBorder="1" applyAlignment="1">
      <alignment vertical="center"/>
    </xf>
    <xf numFmtId="179" fontId="5" fillId="0" borderId="1" xfId="1" applyNumberFormat="1" applyFont="1" applyBorder="1" applyAlignment="1">
      <alignment vertical="center"/>
    </xf>
    <xf numFmtId="0" fontId="4" fillId="4" borderId="1" xfId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6" fillId="5" borderId="1" xfId="1" applyFont="1" applyFill="1" applyBorder="1" applyAlignment="1">
      <alignment vertical="top"/>
    </xf>
    <xf numFmtId="0" fontId="0" fillId="0" borderId="0" xfId="1" applyFont="1" applyAlignment="1"/>
    <xf numFmtId="0" fontId="0" fillId="0" borderId="0" xfId="0" applyAlignment="1"/>
    <xf numFmtId="0" fontId="3" fillId="2" borderId="0" xfId="1" applyFont="1" applyFill="1" applyAlignment="1">
      <alignment horizontal="left" vertical="center"/>
    </xf>
    <xf numFmtId="0" fontId="0" fillId="0" borderId="0" xfId="0"/>
    <xf numFmtId="0" fontId="1" fillId="2" borderId="0" xfId="1" applyFont="1" applyFill="1" applyAlignment="1">
      <alignment horizontal="left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workbookViewId="0">
      <selection activeCell="B12" sqref="B12:B14"/>
    </sheetView>
  </sheetViews>
  <sheetFormatPr defaultRowHeight="15" x14ac:dyDescent="0.25"/>
  <cols>
    <col min="1" max="1" width="18" customWidth="1"/>
    <col min="2" max="5" width="22" customWidth="1"/>
    <col min="6" max="7" width="20" customWidth="1"/>
    <col min="8" max="8" width="26" customWidth="1"/>
  </cols>
  <sheetData>
    <row r="1" spans="1:8" ht="18" customHeight="1" x14ac:dyDescent="0.25">
      <c r="A1" s="31" t="s">
        <v>0</v>
      </c>
      <c r="B1" s="30"/>
      <c r="C1" s="30"/>
      <c r="D1" s="30"/>
      <c r="E1" s="30"/>
      <c r="F1" s="30"/>
      <c r="G1" s="30"/>
      <c r="H1" s="30"/>
    </row>
    <row r="2" spans="1:8" ht="18" customHeight="1" x14ac:dyDescent="0.25"/>
    <row r="3" spans="1:8" ht="18" customHeight="1" x14ac:dyDescent="0.25">
      <c r="A3" s="1" t="s">
        <v>1</v>
      </c>
      <c r="B3" s="2" t="s">
        <v>2</v>
      </c>
    </row>
    <row r="4" spans="1:8" ht="18" customHeight="1" x14ac:dyDescent="0.25">
      <c r="A4" s="1" t="s">
        <v>3</v>
      </c>
      <c r="B4" s="2" t="s">
        <v>4</v>
      </c>
    </row>
    <row r="5" spans="1:8" ht="18" customHeight="1" x14ac:dyDescent="0.25">
      <c r="A5" s="1" t="s">
        <v>5</v>
      </c>
      <c r="B5" s="2" t="s">
        <v>6</v>
      </c>
    </row>
    <row r="6" spans="1:8" ht="18" customHeight="1" x14ac:dyDescent="0.25">
      <c r="A6" s="1" t="s">
        <v>7</v>
      </c>
      <c r="B6" s="2" t="s">
        <v>8</v>
      </c>
    </row>
    <row r="7" spans="1:8" ht="18" customHeight="1" x14ac:dyDescent="0.25">
      <c r="A7" s="1" t="s">
        <v>9</v>
      </c>
      <c r="B7" s="2" t="s">
        <v>10</v>
      </c>
    </row>
    <row r="8" spans="1:8" ht="18" customHeight="1" x14ac:dyDescent="0.25">
      <c r="A8" s="1" t="s">
        <v>11</v>
      </c>
      <c r="B8" s="2" t="s">
        <v>12</v>
      </c>
    </row>
    <row r="9" spans="1:8" ht="18" customHeight="1" x14ac:dyDescent="0.25"/>
    <row r="10" spans="1:8" ht="18" customHeight="1" x14ac:dyDescent="0.25">
      <c r="A10" s="29" t="s">
        <v>13</v>
      </c>
      <c r="B10" s="30"/>
      <c r="C10" s="30"/>
      <c r="D10" s="30"/>
      <c r="E10" s="30"/>
      <c r="F10" s="30"/>
      <c r="G10" s="30"/>
      <c r="H10" s="30"/>
    </row>
    <row r="11" spans="1:8" ht="18" customHeight="1" x14ac:dyDescent="0.25">
      <c r="A11" s="3" t="s">
        <v>14</v>
      </c>
      <c r="B11" s="3" t="s">
        <v>15</v>
      </c>
    </row>
    <row r="12" spans="1:8" ht="18" customHeight="1" x14ac:dyDescent="0.25">
      <c r="A12" s="3" t="s">
        <v>16</v>
      </c>
      <c r="B12" s="3" t="s">
        <v>17</v>
      </c>
    </row>
    <row r="13" spans="1:8" ht="18" customHeight="1" x14ac:dyDescent="0.25">
      <c r="A13" s="3" t="s">
        <v>18</v>
      </c>
      <c r="B13" s="3" t="s">
        <v>19</v>
      </c>
    </row>
    <row r="14" spans="1:8" ht="18" customHeight="1" x14ac:dyDescent="0.25">
      <c r="A14" s="3" t="s">
        <v>20</v>
      </c>
      <c r="B14" s="3" t="s">
        <v>21</v>
      </c>
    </row>
    <row r="15" spans="1:8" ht="18" customHeight="1" x14ac:dyDescent="0.25"/>
    <row r="16" spans="1:8" ht="18" customHeight="1" x14ac:dyDescent="0.25">
      <c r="A16" s="29" t="s">
        <v>22</v>
      </c>
      <c r="B16" s="30"/>
      <c r="C16" s="30"/>
      <c r="D16" s="30"/>
      <c r="E16" s="30"/>
      <c r="F16" s="30"/>
      <c r="G16" s="30"/>
      <c r="H16" s="30"/>
    </row>
    <row r="17" spans="1:1" ht="18" customHeight="1" x14ac:dyDescent="0.25">
      <c r="A17" s="27" t="s">
        <v>23</v>
      </c>
    </row>
    <row r="18" spans="1:1" ht="18" customHeight="1" x14ac:dyDescent="0.25">
      <c r="A18" s="27" t="s">
        <v>24</v>
      </c>
    </row>
    <row r="19" spans="1:1" ht="18" customHeight="1" x14ac:dyDescent="0.25">
      <c r="A19" s="27" t="s">
        <v>25</v>
      </c>
    </row>
    <row r="20" spans="1:1" ht="18" customHeight="1" x14ac:dyDescent="0.25">
      <c r="A20" s="27" t="s">
        <v>26</v>
      </c>
    </row>
    <row r="21" spans="1:1" ht="18" customHeight="1" x14ac:dyDescent="0.25">
      <c r="A21" s="27" t="s">
        <v>27</v>
      </c>
    </row>
    <row r="22" spans="1:1" ht="18" customHeight="1" x14ac:dyDescent="0.25">
      <c r="A22" s="27" t="s">
        <v>28</v>
      </c>
    </row>
  </sheetData>
  <mergeCells count="3">
    <mergeCell ref="A16:H16"/>
    <mergeCell ref="A10:H10"/>
    <mergeCell ref="A1:H1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showGridLines="0" zoomScale="85" zoomScaleNormal="85" workbookViewId="0">
      <selection activeCell="I20" sqref="I20"/>
    </sheetView>
  </sheetViews>
  <sheetFormatPr defaultRowHeight="15" x14ac:dyDescent="0.25"/>
  <cols>
    <col min="1" max="1" width="24.7109375" customWidth="1"/>
    <col min="2" max="5" width="14" customWidth="1"/>
    <col min="6" max="8" width="16" customWidth="1"/>
    <col min="9" max="9" width="12" customWidth="1"/>
    <col min="10" max="10" width="30" customWidth="1"/>
    <col min="11" max="11" width="18" customWidth="1"/>
  </cols>
  <sheetData>
    <row r="1" spans="1:11" ht="18" customHeight="1" x14ac:dyDescent="0.25">
      <c r="A1" s="31" t="s">
        <v>29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8" customHeight="1" x14ac:dyDescent="0.25"/>
    <row r="3" spans="1:11" ht="18" customHeight="1" x14ac:dyDescent="0.25">
      <c r="A3" s="29" t="s">
        <v>30</v>
      </c>
      <c r="B3" s="30"/>
      <c r="C3" s="30"/>
      <c r="D3" s="30"/>
      <c r="E3" s="30"/>
    </row>
    <row r="4" spans="1:11" ht="20.100000000000001" customHeight="1" x14ac:dyDescent="0.25">
      <c r="A4" s="5" t="s">
        <v>31</v>
      </c>
      <c r="B4" s="6">
        <v>21</v>
      </c>
    </row>
    <row r="5" spans="1:11" ht="20.100000000000001" customHeight="1" x14ac:dyDescent="0.25">
      <c r="A5" s="5" t="s">
        <v>32</v>
      </c>
      <c r="B5" s="7">
        <v>1</v>
      </c>
    </row>
    <row r="6" spans="1:11" ht="20.100000000000001" customHeight="1" x14ac:dyDescent="0.25">
      <c r="A6" s="5" t="s">
        <v>33</v>
      </c>
      <c r="B6" s="8">
        <f>D12*I12+D13*I13+D14*I14+D15*I15+D16*I16</f>
        <v>431.9</v>
      </c>
    </row>
    <row r="7" spans="1:11" ht="20.100000000000001" customHeight="1" x14ac:dyDescent="0.25">
      <c r="A7" s="5" t="s">
        <v>34</v>
      </c>
      <c r="B7" s="26" t="s">
        <v>35</v>
      </c>
    </row>
    <row r="8" spans="1:11" ht="20.100000000000001" customHeight="1" x14ac:dyDescent="0.25">
      <c r="A8" s="5" t="s">
        <v>36</v>
      </c>
      <c r="B8" s="26" t="s">
        <v>37</v>
      </c>
    </row>
    <row r="9" spans="1:11" ht="20.100000000000001" customHeight="1" x14ac:dyDescent="0.25"/>
    <row r="10" spans="1:11" ht="20.100000000000001" customHeight="1" x14ac:dyDescent="0.25">
      <c r="A10" s="29" t="s">
        <v>38</v>
      </c>
      <c r="B10" s="30"/>
      <c r="C10" s="30"/>
      <c r="D10" s="30"/>
      <c r="E10" s="30"/>
      <c r="F10" s="30"/>
      <c r="G10" s="30"/>
      <c r="H10" s="30"/>
      <c r="I10" s="30"/>
      <c r="J10" s="30"/>
    </row>
    <row r="11" spans="1:11" ht="45" customHeight="1" x14ac:dyDescent="0.25">
      <c r="A11" s="10" t="s">
        <v>39</v>
      </c>
      <c r="B11" s="10" t="s">
        <v>40</v>
      </c>
      <c r="C11" s="10" t="s">
        <v>41</v>
      </c>
      <c r="D11" s="10" t="s">
        <v>42</v>
      </c>
      <c r="E11" s="10" t="s">
        <v>43</v>
      </c>
      <c r="F11" s="10" t="s">
        <v>44</v>
      </c>
      <c r="G11" s="10" t="s">
        <v>45</v>
      </c>
      <c r="H11" s="10" t="s">
        <v>46</v>
      </c>
      <c r="I11" s="10" t="s">
        <v>47</v>
      </c>
      <c r="J11" s="10" t="s">
        <v>48</v>
      </c>
    </row>
    <row r="12" spans="1:11" ht="20.100000000000001" customHeight="1" x14ac:dyDescent="0.25">
      <c r="A12" s="11" t="s">
        <v>49</v>
      </c>
      <c r="B12" s="12">
        <v>3500</v>
      </c>
      <c r="C12" s="12">
        <v>58.5</v>
      </c>
      <c r="D12" s="12">
        <v>91.5</v>
      </c>
      <c r="E12" s="12">
        <v>30</v>
      </c>
      <c r="F12" s="13">
        <f>SUM(C12:E12)</f>
        <v>180</v>
      </c>
      <c r="G12" s="13">
        <f>D12*$B$4</f>
        <v>1921.5</v>
      </c>
      <c r="H12" s="14">
        <f>IF(B12&lt;&gt;0,G12/B12,"")</f>
        <v>0.54900000000000004</v>
      </c>
      <c r="I12" s="6">
        <v>1</v>
      </c>
      <c r="J12" s="26" t="s">
        <v>50</v>
      </c>
    </row>
    <row r="13" spans="1:11" ht="20.100000000000001" customHeight="1" x14ac:dyDescent="0.25">
      <c r="A13" s="11" t="s">
        <v>51</v>
      </c>
      <c r="B13" s="12">
        <v>3500</v>
      </c>
      <c r="C13" s="12">
        <v>58.5</v>
      </c>
      <c r="D13" s="12">
        <v>91.5</v>
      </c>
      <c r="E13" s="12">
        <v>30</v>
      </c>
      <c r="F13" s="13">
        <f>SUM(C13:E13)</f>
        <v>180</v>
      </c>
      <c r="G13" s="13">
        <f>D13*$B$4</f>
        <v>1921.5</v>
      </c>
      <c r="H13" s="14">
        <f>IF(B13&lt;&gt;0,G13/B13,"")</f>
        <v>0.54900000000000004</v>
      </c>
      <c r="I13" s="6">
        <v>1</v>
      </c>
      <c r="J13" s="26" t="s">
        <v>50</v>
      </c>
    </row>
    <row r="14" spans="1:11" ht="20.100000000000001" customHeight="1" x14ac:dyDescent="0.25">
      <c r="A14" s="11" t="s">
        <v>52</v>
      </c>
      <c r="B14" s="12">
        <v>3390</v>
      </c>
      <c r="C14" s="12">
        <v>42.1</v>
      </c>
      <c r="D14" s="12">
        <v>65.900000000000006</v>
      </c>
      <c r="E14" s="12">
        <v>40</v>
      </c>
      <c r="F14" s="13">
        <f>SUM(C14:E14)</f>
        <v>148</v>
      </c>
      <c r="G14" s="13">
        <f>D14*$B$4</f>
        <v>1383.9</v>
      </c>
      <c r="H14" s="14">
        <f>IF(B14&lt;&gt;0,G14/B14,"")</f>
        <v>0.40823008849557524</v>
      </c>
      <c r="I14" s="6">
        <v>1</v>
      </c>
      <c r="J14" s="26" t="s">
        <v>53</v>
      </c>
    </row>
    <row r="15" spans="1:11" ht="20.100000000000001" customHeight="1" x14ac:dyDescent="0.25">
      <c r="A15" s="11" t="s">
        <v>54</v>
      </c>
      <c r="B15" s="12">
        <v>3500</v>
      </c>
      <c r="C15" s="12">
        <v>58.5</v>
      </c>
      <c r="D15" s="12">
        <v>91.5</v>
      </c>
      <c r="E15" s="12">
        <v>0</v>
      </c>
      <c r="F15" s="13">
        <f>SUM(C15:E15)</f>
        <v>150</v>
      </c>
      <c r="G15" s="13">
        <f>D15*$B$4</f>
        <v>1921.5</v>
      </c>
      <c r="H15" s="14">
        <f>IF(B15&lt;&gt;0,G15/B15,"")</f>
        <v>0.54900000000000004</v>
      </c>
      <c r="I15" s="6">
        <v>1</v>
      </c>
      <c r="J15" s="26" t="s">
        <v>55</v>
      </c>
    </row>
    <row r="16" spans="1:11" ht="20.100000000000001" customHeight="1" x14ac:dyDescent="0.25">
      <c r="A16" s="11" t="s">
        <v>56</v>
      </c>
      <c r="B16" s="12">
        <v>3500</v>
      </c>
      <c r="C16" s="12">
        <v>58.5</v>
      </c>
      <c r="D16" s="12">
        <v>91.5</v>
      </c>
      <c r="E16" s="12">
        <v>0</v>
      </c>
      <c r="F16" s="13">
        <f>SUM(C16:E16)</f>
        <v>150</v>
      </c>
      <c r="G16" s="13">
        <f>D16*$B$4</f>
        <v>1921.5</v>
      </c>
      <c r="H16" s="14">
        <f>IF(B16&lt;&gt;0,G16/B16,"")</f>
        <v>0.54900000000000004</v>
      </c>
      <c r="I16" s="6">
        <v>1</v>
      </c>
      <c r="J16" s="26" t="s">
        <v>55</v>
      </c>
    </row>
    <row r="17" spans="1:5" ht="20.100000000000001" customHeight="1" x14ac:dyDescent="0.25"/>
    <row r="18" spans="1:5" ht="20.100000000000001" customHeight="1" x14ac:dyDescent="0.25"/>
    <row r="19" spans="1:5" ht="20.100000000000001" customHeight="1" x14ac:dyDescent="0.25"/>
    <row r="20" spans="1:5" ht="20.100000000000001" customHeight="1" x14ac:dyDescent="0.25"/>
    <row r="21" spans="1:5" ht="20.100000000000001" customHeight="1" x14ac:dyDescent="0.25">
      <c r="A21" s="29" t="s">
        <v>57</v>
      </c>
      <c r="B21" s="30"/>
      <c r="C21" s="30"/>
      <c r="D21" s="30"/>
      <c r="E21" s="30"/>
    </row>
    <row r="22" spans="1:5" ht="20.100000000000001" customHeight="1" x14ac:dyDescent="0.25">
      <c r="A22" s="10" t="s">
        <v>58</v>
      </c>
      <c r="B22" s="10" t="s">
        <v>59</v>
      </c>
      <c r="C22" s="10" t="s">
        <v>60</v>
      </c>
      <c r="D22" s="10" t="s">
        <v>61</v>
      </c>
      <c r="E22" s="10" t="s">
        <v>48</v>
      </c>
    </row>
    <row r="23" spans="1:5" ht="20.100000000000001" customHeight="1" x14ac:dyDescent="0.25">
      <c r="A23" s="11" t="s">
        <v>62</v>
      </c>
      <c r="B23" s="11" t="s">
        <v>63</v>
      </c>
      <c r="C23" s="15">
        <v>6.5</v>
      </c>
      <c r="D23" s="15">
        <v>3.9</v>
      </c>
      <c r="E23" s="26" t="s">
        <v>64</v>
      </c>
    </row>
    <row r="24" spans="1:5" ht="20.100000000000001" customHeight="1" x14ac:dyDescent="0.25">
      <c r="A24" s="11" t="s">
        <v>65</v>
      </c>
      <c r="B24" s="11" t="s">
        <v>66</v>
      </c>
      <c r="C24" s="16">
        <v>1.1000000000000001</v>
      </c>
      <c r="D24" s="16">
        <v>0</v>
      </c>
      <c r="E24" s="26" t="s">
        <v>67</v>
      </c>
    </row>
    <row r="25" spans="1:5" ht="20.100000000000001" customHeight="1" x14ac:dyDescent="0.25">
      <c r="A25" s="11" t="s">
        <v>68</v>
      </c>
      <c r="B25" s="11" t="s">
        <v>69</v>
      </c>
      <c r="C25" s="16">
        <v>0.7</v>
      </c>
      <c r="D25" s="16">
        <v>13.1</v>
      </c>
      <c r="E25" s="26" t="s">
        <v>70</v>
      </c>
    </row>
    <row r="26" spans="1:5" ht="20.100000000000001" customHeight="1" x14ac:dyDescent="0.25">
      <c r="A26" s="11" t="s">
        <v>71</v>
      </c>
      <c r="B26" s="11" t="s">
        <v>69</v>
      </c>
      <c r="C26" s="16">
        <v>58.7</v>
      </c>
      <c r="D26" s="16">
        <v>96.7</v>
      </c>
      <c r="E26" s="26" t="s">
        <v>72</v>
      </c>
    </row>
    <row r="27" spans="1:5" ht="20.100000000000001" customHeight="1" x14ac:dyDescent="0.25">
      <c r="A27" s="11" t="s">
        <v>73</v>
      </c>
      <c r="B27" s="11" t="s">
        <v>69</v>
      </c>
      <c r="C27" s="16">
        <v>27.1</v>
      </c>
      <c r="D27" s="16">
        <v>60.4</v>
      </c>
      <c r="E27" s="26" t="s">
        <v>74</v>
      </c>
    </row>
    <row r="28" spans="1:5" ht="20.100000000000001" customHeight="1" x14ac:dyDescent="0.25">
      <c r="A28" s="11" t="s">
        <v>75</v>
      </c>
      <c r="B28" s="11" t="s">
        <v>76</v>
      </c>
      <c r="C28" s="17">
        <v>35424.938288566773</v>
      </c>
      <c r="D28" s="17">
        <v>0</v>
      </c>
      <c r="E28" s="26" t="s">
        <v>77</v>
      </c>
    </row>
    <row r="29" spans="1:5" ht="20.100000000000001" customHeight="1" x14ac:dyDescent="0.25">
      <c r="A29" s="11" t="s">
        <v>78</v>
      </c>
      <c r="B29" s="11" t="s">
        <v>76</v>
      </c>
      <c r="C29" s="17">
        <v>4471689.8463197099</v>
      </c>
      <c r="D29" s="17">
        <v>0</v>
      </c>
      <c r="E29" s="26" t="s">
        <v>79</v>
      </c>
    </row>
    <row r="30" spans="1:5" ht="20.100000000000001" customHeight="1" x14ac:dyDescent="0.25"/>
    <row r="31" spans="1:5" ht="20.100000000000001" customHeight="1" x14ac:dyDescent="0.25"/>
    <row r="32" spans="1:5" ht="20.100000000000001" customHeight="1" x14ac:dyDescent="0.25"/>
    <row r="33" spans="1:11" ht="20.100000000000001" customHeight="1" x14ac:dyDescent="0.25">
      <c r="A33" s="29" t="s">
        <v>80</v>
      </c>
      <c r="B33" s="30"/>
      <c r="C33" s="30"/>
      <c r="D33" s="30"/>
      <c r="E33" s="30"/>
      <c r="F33" s="30"/>
      <c r="G33" s="30"/>
      <c r="H33" s="30"/>
      <c r="I33" s="30"/>
    </row>
    <row r="34" spans="1:11" ht="20.100000000000001" customHeight="1" x14ac:dyDescent="0.25">
      <c r="A34" s="10" t="s">
        <v>39</v>
      </c>
      <c r="B34" s="10" t="s">
        <v>62</v>
      </c>
      <c r="C34" s="10" t="s">
        <v>65</v>
      </c>
      <c r="D34" s="10" t="s">
        <v>68</v>
      </c>
      <c r="E34" s="10" t="s">
        <v>71</v>
      </c>
      <c r="F34" s="10" t="s">
        <v>73</v>
      </c>
      <c r="G34" s="10" t="s">
        <v>75</v>
      </c>
      <c r="H34" s="10" t="s">
        <v>78</v>
      </c>
      <c r="I34" s="10" t="s">
        <v>48</v>
      </c>
    </row>
    <row r="35" spans="1:11" ht="20.100000000000001" customHeight="1" x14ac:dyDescent="0.25">
      <c r="A35" s="11" t="s">
        <v>49</v>
      </c>
      <c r="B35" s="15">
        <v>7.2</v>
      </c>
      <c r="C35" s="16">
        <v>3.5</v>
      </c>
      <c r="D35" s="16">
        <v>0.09</v>
      </c>
      <c r="E35" s="16">
        <v>25.6</v>
      </c>
      <c r="F35" s="16">
        <v>18.100000000000001</v>
      </c>
      <c r="G35" s="17">
        <v>974582.6792047983</v>
      </c>
      <c r="H35" s="17">
        <v>17543033.873371836</v>
      </c>
      <c r="I35" s="26" t="s">
        <v>81</v>
      </c>
    </row>
    <row r="36" spans="1:11" ht="20.100000000000001" customHeight="1" x14ac:dyDescent="0.25">
      <c r="A36" s="11" t="s">
        <v>51</v>
      </c>
      <c r="B36" s="15">
        <v>7.2</v>
      </c>
      <c r="C36" s="16">
        <v>3.5</v>
      </c>
      <c r="D36" s="16">
        <v>9.0999999999999998E-2</v>
      </c>
      <c r="E36" s="16">
        <v>24.6</v>
      </c>
      <c r="F36" s="16">
        <v>17.899999999999999</v>
      </c>
      <c r="G36" s="17">
        <v>1954522.2981748674</v>
      </c>
      <c r="H36" s="17">
        <v>16068873.068391385</v>
      </c>
      <c r="I36" s="26" t="s">
        <v>81</v>
      </c>
    </row>
    <row r="37" spans="1:11" ht="20.100000000000001" customHeight="1" x14ac:dyDescent="0.25">
      <c r="A37" s="11" t="s">
        <v>52</v>
      </c>
      <c r="B37" s="15">
        <v>7.2</v>
      </c>
      <c r="C37" s="16">
        <v>3.8</v>
      </c>
      <c r="D37" s="16">
        <v>9.1899999999999996E-2</v>
      </c>
      <c r="E37" s="16">
        <v>24</v>
      </c>
      <c r="F37" s="16">
        <v>17.5</v>
      </c>
      <c r="G37" s="17">
        <v>1404076.3592878305</v>
      </c>
      <c r="H37" s="17">
        <v>13068242.528229246</v>
      </c>
      <c r="I37" s="26" t="s">
        <v>81</v>
      </c>
    </row>
    <row r="38" spans="1:11" ht="20.100000000000001" customHeight="1" x14ac:dyDescent="0.25">
      <c r="A38" s="11" t="s">
        <v>54</v>
      </c>
      <c r="B38" s="15">
        <v>6.5</v>
      </c>
      <c r="C38" s="16">
        <v>0.71299999999999997</v>
      </c>
      <c r="D38" s="16">
        <v>0.51300000000000001</v>
      </c>
      <c r="E38" s="16">
        <v>40.5</v>
      </c>
      <c r="F38" s="16">
        <v>30.5</v>
      </c>
      <c r="G38" s="17">
        <v>967106.57720874401</v>
      </c>
      <c r="H38" s="17">
        <v>7753954.5278627677</v>
      </c>
      <c r="I38" s="26" t="s">
        <v>81</v>
      </c>
    </row>
    <row r="39" spans="1:11" ht="20.100000000000001" customHeight="1" x14ac:dyDescent="0.25">
      <c r="A39" s="11" t="s">
        <v>56</v>
      </c>
      <c r="B39" s="15">
        <v>6.5</v>
      </c>
      <c r="C39" s="16">
        <v>0.626</v>
      </c>
      <c r="D39" s="16">
        <v>0.433</v>
      </c>
      <c r="E39" s="16">
        <v>40.299999999999997</v>
      </c>
      <c r="F39" s="16">
        <v>30</v>
      </c>
      <c r="G39" s="17">
        <v>1462050.7937607011</v>
      </c>
      <c r="H39" s="17">
        <v>7043007.9040707704</v>
      </c>
      <c r="I39" s="26" t="s">
        <v>81</v>
      </c>
    </row>
    <row r="40" spans="1:11" ht="20.100000000000001" customHeight="1" x14ac:dyDescent="0.25"/>
    <row r="41" spans="1:11" ht="20.100000000000001" customHeight="1" x14ac:dyDescent="0.25"/>
    <row r="42" spans="1:11" ht="20.100000000000001" customHeight="1" x14ac:dyDescent="0.25">
      <c r="A42" s="29" t="s">
        <v>82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</row>
    <row r="43" spans="1:11" ht="45" customHeight="1" x14ac:dyDescent="0.25">
      <c r="A43" s="10" t="s">
        <v>39</v>
      </c>
      <c r="B43" s="10" t="s">
        <v>62</v>
      </c>
      <c r="C43" s="10" t="s">
        <v>65</v>
      </c>
      <c r="D43" s="10" t="s">
        <v>68</v>
      </c>
      <c r="E43" s="10" t="s">
        <v>71</v>
      </c>
      <c r="F43" s="10" t="s">
        <v>73</v>
      </c>
      <c r="G43" s="10" t="s">
        <v>83</v>
      </c>
      <c r="H43" s="10" t="s">
        <v>84</v>
      </c>
      <c r="I43" s="10" t="s">
        <v>85</v>
      </c>
      <c r="J43" s="10" t="s">
        <v>86</v>
      </c>
      <c r="K43" s="10" t="s">
        <v>87</v>
      </c>
    </row>
    <row r="44" spans="1:11" ht="20.100000000000001" customHeight="1" x14ac:dyDescent="0.25">
      <c r="A44" s="11" t="s">
        <v>54</v>
      </c>
      <c r="B44" s="18">
        <v>7.3</v>
      </c>
      <c r="C44" s="7">
        <v>3.7</v>
      </c>
      <c r="D44" s="7">
        <v>0.1</v>
      </c>
      <c r="E44" s="7">
        <v>24.3</v>
      </c>
      <c r="F44" s="7">
        <v>15.3</v>
      </c>
      <c r="G44" s="19">
        <v>0.48099999999999998</v>
      </c>
      <c r="H44" s="19">
        <v>0.41699999999999998</v>
      </c>
      <c r="I44" s="19">
        <v>0.48099999999999998</v>
      </c>
      <c r="J44" s="19">
        <v>0.26600000000000001</v>
      </c>
      <c r="K44" s="19">
        <v>0.70099999999999996</v>
      </c>
    </row>
    <row r="45" spans="1:11" ht="20.100000000000001" customHeight="1" x14ac:dyDescent="0.25">
      <c r="A45" s="11" t="s">
        <v>56</v>
      </c>
      <c r="B45" s="18">
        <v>7.3</v>
      </c>
      <c r="C45" s="7">
        <v>3.7</v>
      </c>
      <c r="D45" s="7">
        <v>0.1</v>
      </c>
      <c r="E45" s="7">
        <v>24.7</v>
      </c>
      <c r="F45" s="7">
        <v>15.5</v>
      </c>
      <c r="G45" s="19">
        <v>0.46899999999999997</v>
      </c>
      <c r="H45" s="19">
        <v>0.40899999999999997</v>
      </c>
      <c r="I45" s="19">
        <v>0.48899999999999999</v>
      </c>
      <c r="J45" s="19">
        <v>0.23699999999999999</v>
      </c>
      <c r="K45" s="19">
        <v>0.69199999999999995</v>
      </c>
    </row>
    <row r="46" spans="1:11" ht="20.100000000000001" customHeight="1" x14ac:dyDescent="0.25"/>
    <row r="47" spans="1:11" ht="20.100000000000001" customHeight="1" x14ac:dyDescent="0.25"/>
    <row r="48" spans="1:11" ht="20.100000000000001" customHeight="1" x14ac:dyDescent="0.25">
      <c r="A48" s="29" t="s">
        <v>88</v>
      </c>
      <c r="B48" s="30"/>
      <c r="C48" s="30"/>
      <c r="D48" s="30"/>
    </row>
    <row r="49" spans="1:4" ht="20.100000000000001" customHeight="1" x14ac:dyDescent="0.25">
      <c r="A49" s="10" t="s">
        <v>39</v>
      </c>
      <c r="B49" s="10" t="s">
        <v>75</v>
      </c>
      <c r="C49" s="10" t="s">
        <v>78</v>
      </c>
      <c r="D49" s="10" t="s">
        <v>48</v>
      </c>
    </row>
    <row r="50" spans="1:4" ht="20.100000000000001" customHeight="1" x14ac:dyDescent="0.25">
      <c r="A50" s="11" t="s">
        <v>54</v>
      </c>
      <c r="B50" s="17">
        <v>8386991.9284507418</v>
      </c>
      <c r="C50" s="17">
        <v>11536862.781012271</v>
      </c>
      <c r="D50" s="26" t="s">
        <v>89</v>
      </c>
    </row>
    <row r="51" spans="1:4" ht="20.100000000000001" customHeight="1" x14ac:dyDescent="0.25">
      <c r="A51" s="11" t="s">
        <v>56</v>
      </c>
      <c r="B51" s="17">
        <v>4889659.8281878363</v>
      </c>
      <c r="C51" s="17">
        <v>10313850.74406489</v>
      </c>
      <c r="D51" s="26" t="s">
        <v>89</v>
      </c>
    </row>
  </sheetData>
  <mergeCells count="7">
    <mergeCell ref="A1:K1"/>
    <mergeCell ref="A3:E3"/>
    <mergeCell ref="A21:E21"/>
    <mergeCell ref="A33:I33"/>
    <mergeCell ref="A48:D48"/>
    <mergeCell ref="A42:K42"/>
    <mergeCell ref="A10:J10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showGridLines="0" workbookViewId="0">
      <selection sqref="A1:I26"/>
    </sheetView>
  </sheetViews>
  <sheetFormatPr defaultRowHeight="15" x14ac:dyDescent="0.25"/>
  <cols>
    <col min="1" max="1" width="10" customWidth="1"/>
    <col min="2" max="2" width="14" customWidth="1"/>
    <col min="3" max="3" width="10" customWidth="1"/>
    <col min="4" max="4" width="14" customWidth="1"/>
    <col min="5" max="7" width="12" customWidth="1"/>
    <col min="8" max="9" width="14" customWidth="1"/>
  </cols>
  <sheetData>
    <row r="1" spans="1:9" ht="18" customHeight="1" x14ac:dyDescent="0.25">
      <c r="A1" s="31" t="s">
        <v>90</v>
      </c>
      <c r="B1" s="30"/>
      <c r="C1" s="30"/>
      <c r="D1" s="30"/>
      <c r="E1" s="30"/>
      <c r="F1" s="30"/>
      <c r="G1" s="30"/>
      <c r="H1" s="30"/>
      <c r="I1" s="30"/>
    </row>
    <row r="2" spans="1:9" ht="18" customHeight="1" x14ac:dyDescent="0.25"/>
    <row r="3" spans="1:9" ht="18" customHeight="1" x14ac:dyDescent="0.25">
      <c r="A3" s="29" t="s">
        <v>91</v>
      </c>
      <c r="B3" s="30"/>
      <c r="C3" s="30"/>
      <c r="D3" s="30"/>
      <c r="E3" s="30"/>
      <c r="F3" s="30"/>
      <c r="G3" s="30"/>
      <c r="H3" s="30"/>
      <c r="I3" s="30"/>
    </row>
    <row r="4" spans="1:9" ht="18" customHeight="1" x14ac:dyDescent="0.25">
      <c r="A4" s="10" t="s">
        <v>92</v>
      </c>
      <c r="B4" s="10" t="s">
        <v>93</v>
      </c>
      <c r="C4" s="10" t="s">
        <v>62</v>
      </c>
      <c r="D4" s="10" t="s">
        <v>65</v>
      </c>
      <c r="E4" s="10" t="s">
        <v>68</v>
      </c>
      <c r="F4" s="10" t="s">
        <v>71</v>
      </c>
      <c r="G4" s="10" t="s">
        <v>73</v>
      </c>
      <c r="H4" s="10" t="s">
        <v>75</v>
      </c>
      <c r="I4" s="10" t="s">
        <v>78</v>
      </c>
    </row>
    <row r="5" spans="1:9" ht="18" customHeight="1" x14ac:dyDescent="0.25">
      <c r="A5" s="20">
        <v>0</v>
      </c>
      <c r="B5" s="21">
        <f>(Inputs!$D$12*Inputs!$I$12*Chemistry_Daily!B5+Inputs!$D$13*Inputs!$I$13*Chemistry_Daily!K5+Inputs!$D$14*Inputs!$I$14*Chemistry_Daily!T5+Inputs!$D$15*Inputs!$I$15*Chemistry_Daily!AC5+Inputs!$D$16*Inputs!$I$16*Chemistry_Daily!AL5)/(Inputs!$D$12*Inputs!$I$12+Inputs!$D$13*Inputs!$I$13+Inputs!$D$14*Inputs!$I$14+Inputs!$D$15*Inputs!$I$15+Inputs!$D$16*Inputs!$I$16)</f>
        <v>1.7035010299882661E-7</v>
      </c>
      <c r="C5" s="22">
        <f t="shared" ref="C5:C26" si="0">IF(B5&gt;0,-LOG10(B5),"")</f>
        <v>6.7686575995084404</v>
      </c>
      <c r="D5" s="8">
        <f>(Inputs!$D$12*Inputs!$I$12*Chemistry_Daily!D5+Inputs!$D$13*Inputs!$I$13*Chemistry_Daily!M5+Inputs!$D$14*Inputs!$I$14*Chemistry_Daily!V5+Inputs!$D$15*Inputs!$I$15*Chemistry_Daily!AE5+Inputs!$D$16*Inputs!$I$16*Chemistry_Daily!AN5)/(Inputs!$D$12*Inputs!$I$12+Inputs!$D$13*Inputs!$I$13+Inputs!$D$14*Inputs!$I$14+Inputs!$D$15*Inputs!$I$15+Inputs!$D$16*Inputs!$I$16)</f>
        <v>2.3464656170409821</v>
      </c>
      <c r="E5" s="8">
        <f>(Inputs!$D$12*Inputs!$I$12*Chemistry_Daily!E5+Inputs!$D$13*Inputs!$I$13*Chemistry_Daily!N5+Inputs!$D$14*Inputs!$I$14*Chemistry_Daily!W5+Inputs!$D$15*Inputs!$I$15*Chemistry_Daily!AF5+Inputs!$D$16*Inputs!$I$16*Chemistry_Daily!AO5)/(Inputs!$D$12*Inputs!$I$12+Inputs!$D$13*Inputs!$I$13+Inputs!$D$14*Inputs!$I$14+Inputs!$D$15*Inputs!$I$15+Inputs!$D$16*Inputs!$I$16)</f>
        <v>0.2527823801805974</v>
      </c>
      <c r="F5" s="8">
        <f>(Inputs!$D$12*Inputs!$I$12*Chemistry_Daily!F5+Inputs!$D$13*Inputs!$I$13*Chemistry_Daily!O5+Inputs!$D$14*Inputs!$I$14*Chemistry_Daily!X5+Inputs!$D$15*Inputs!$I$15*Chemistry_Daily!AG5+Inputs!$D$16*Inputs!$I$16*Chemistry_Daily!AP5)/(Inputs!$D$12*Inputs!$I$12+Inputs!$D$13*Inputs!$I$13+Inputs!$D$14*Inputs!$I$14+Inputs!$D$15*Inputs!$I$15+Inputs!$D$16*Inputs!$I$16)</f>
        <v>31.414910858995146</v>
      </c>
      <c r="G5" s="8">
        <f>(Inputs!$D$12*Inputs!$I$12*Chemistry_Daily!G5+Inputs!$D$13*Inputs!$I$13*Chemistry_Daily!P5+Inputs!$D$14*Inputs!$I$14*Chemistry_Daily!Y5+Inputs!$D$15*Inputs!$I$15*Chemistry_Daily!AH5+Inputs!$D$16*Inputs!$I$16*Chemistry_Daily!AQ5)/(Inputs!$D$12*Inputs!$I$12+Inputs!$D$13*Inputs!$I$13+Inputs!$D$14*Inputs!$I$14+Inputs!$D$15*Inputs!$I$15+Inputs!$D$16*Inputs!$I$16)</f>
        <v>23.114146793239176</v>
      </c>
      <c r="H5" s="21">
        <f>(Inputs!$D$12*Inputs!$I$12*BAC_ARC_Daily!B5+Inputs!$D$13*Inputs!$I$13*BAC_ARC_Daily!I5+Inputs!$D$14*Inputs!$I$14*BAC_ARC_Daily!P5+Inputs!$D$15*Inputs!$I$15*BAC_ARC_Daily!W5+Inputs!$D$16*Inputs!$I$16*BAC_ARC_Daily!AD5)/(Inputs!$D$12*Inputs!$I$12+Inputs!$D$13*Inputs!$I$13+Inputs!$D$14*Inputs!$I$14+Inputs!$D$15*Inputs!$I$15+Inputs!$D$16*Inputs!$I$16)</f>
        <v>1349408.7449664546</v>
      </c>
      <c r="I5" s="21">
        <f>(Inputs!$D$12*Inputs!$I$12*BAC_ARC_Daily!C5+Inputs!$D$13*Inputs!$I$13*BAC_ARC_Daily!J5+Inputs!$D$14*Inputs!$I$14*BAC_ARC_Daily!Q5+Inputs!$D$15*Inputs!$I$15*BAC_ARC_Daily!X5+Inputs!$D$16*Inputs!$I$16*BAC_ARC_Daily!AE5)/(Inputs!$D$12*Inputs!$I$12+Inputs!$D$13*Inputs!$I$13+Inputs!$D$14*Inputs!$I$14+Inputs!$D$15*Inputs!$I$15+Inputs!$D$16*Inputs!$I$16)</f>
        <v>12249615.027329383</v>
      </c>
    </row>
    <row r="6" spans="1:9" ht="18" customHeight="1" x14ac:dyDescent="0.25">
      <c r="A6" s="20">
        <v>1</v>
      </c>
      <c r="B6" s="21">
        <f>(Inputs!$D$12*Inputs!$I$12*Chemistry_Daily!B6+Inputs!$D$13*Inputs!$I$13*Chemistry_Daily!K6+Inputs!$D$14*Inputs!$I$14*Chemistry_Daily!T6+Inputs!$D$15*Inputs!$I$15*Chemistry_Daily!AC6+Inputs!$D$16*Inputs!$I$16*Chemistry_Daily!AL6)/(Inputs!$D$12*Inputs!$I$12+Inputs!$D$13*Inputs!$I$13+Inputs!$D$14*Inputs!$I$14+Inputs!$D$15*Inputs!$I$15+Inputs!$D$16*Inputs!$I$16)</f>
        <v>8.560391920106343E-7</v>
      </c>
      <c r="C6" s="22">
        <f t="shared" si="0"/>
        <v>6.0675063515794889</v>
      </c>
      <c r="D6" s="8">
        <f>(Inputs!$D$12*Inputs!$I$12*Chemistry_Daily!D6+Inputs!$D$13*Inputs!$I$13*Chemistry_Daily!M6+Inputs!$D$14*Inputs!$I$14*Chemistry_Daily!V6+Inputs!$D$15*Inputs!$I$15*Chemistry_Daily!AE6+Inputs!$D$16*Inputs!$I$16*Chemistry_Daily!AN6)/(Inputs!$D$12*Inputs!$I$12+Inputs!$D$13*Inputs!$I$13+Inputs!$D$14*Inputs!$I$14+Inputs!$D$15*Inputs!$I$15+Inputs!$D$16*Inputs!$I$16)</f>
        <v>2.3093354034030087</v>
      </c>
      <c r="E6" s="8">
        <f>(Inputs!$D$12*Inputs!$I$12*Chemistry_Daily!E6+Inputs!$D$13*Inputs!$I$13*Chemistry_Daily!N6+Inputs!$D$14*Inputs!$I$14*Chemistry_Daily!W6+Inputs!$D$15*Inputs!$I$15*Chemistry_Daily!AF6+Inputs!$D$16*Inputs!$I$16*Chemistry_Daily!AO6)/(Inputs!$D$12*Inputs!$I$12+Inputs!$D$13*Inputs!$I$13+Inputs!$D$14*Inputs!$I$14+Inputs!$D$15*Inputs!$I$15+Inputs!$D$16*Inputs!$I$16)</f>
        <v>0.33036144787575694</v>
      </c>
      <c r="F6" s="8">
        <f>(Inputs!$D$12*Inputs!$I$12*Chemistry_Daily!F6+Inputs!$D$13*Inputs!$I$13*Chemistry_Daily!O6+Inputs!$D$14*Inputs!$I$14*Chemistry_Daily!X6+Inputs!$D$15*Inputs!$I$15*Chemistry_Daily!AG6+Inputs!$D$16*Inputs!$I$16*Chemistry_Daily!AP6)/(Inputs!$D$12*Inputs!$I$12+Inputs!$D$13*Inputs!$I$13+Inputs!$D$14*Inputs!$I$14+Inputs!$D$15*Inputs!$I$15+Inputs!$D$16*Inputs!$I$16)</f>
        <v>32.231558750103268</v>
      </c>
      <c r="G6" s="8">
        <f>(Inputs!$D$12*Inputs!$I$12*Chemistry_Daily!G6+Inputs!$D$13*Inputs!$I$13*Chemistry_Daily!P6+Inputs!$D$14*Inputs!$I$14*Chemistry_Daily!Y6+Inputs!$D$15*Inputs!$I$15*Chemistry_Daily!AH6+Inputs!$D$16*Inputs!$I$16*Chemistry_Daily!AQ6)/(Inputs!$D$12*Inputs!$I$12+Inputs!$D$13*Inputs!$I$13+Inputs!$D$14*Inputs!$I$14+Inputs!$D$15*Inputs!$I$15+Inputs!$D$16*Inputs!$I$16)</f>
        <v>23.399957495694611</v>
      </c>
      <c r="H6" s="21">
        <f>(Inputs!$D$12*Inputs!$I$12*BAC_ARC_Daily!B6+Inputs!$D$13*Inputs!$I$13*BAC_ARC_Daily!I6+Inputs!$D$14*Inputs!$I$14*BAC_ARC_Daily!P6+Inputs!$D$15*Inputs!$I$15*BAC_ARC_Daily!W6+Inputs!$D$16*Inputs!$I$16*BAC_ARC_Daily!AD6)/(Inputs!$D$12*Inputs!$I$12+Inputs!$D$13*Inputs!$I$13+Inputs!$D$14*Inputs!$I$14+Inputs!$D$15*Inputs!$I$15+Inputs!$D$16*Inputs!$I$16)</f>
        <v>1320552.5599355637</v>
      </c>
      <c r="I6" s="21">
        <f>(Inputs!$D$12*Inputs!$I$12*BAC_ARC_Daily!C6+Inputs!$D$13*Inputs!$I$13*BAC_ARC_Daily!J6+Inputs!$D$14*Inputs!$I$14*BAC_ARC_Daily!Q6+Inputs!$D$15*Inputs!$I$15*BAC_ARC_Daily!X6+Inputs!$D$16*Inputs!$I$16*BAC_ARC_Daily!AE6)/(Inputs!$D$12*Inputs!$I$12+Inputs!$D$13*Inputs!$I$13+Inputs!$D$14*Inputs!$I$14+Inputs!$D$15*Inputs!$I$15+Inputs!$D$16*Inputs!$I$16)</f>
        <v>12041520.58402629</v>
      </c>
    </row>
    <row r="7" spans="1:9" ht="18" customHeight="1" x14ac:dyDescent="0.25">
      <c r="A7" s="20">
        <v>2</v>
      </c>
      <c r="B7" s="21">
        <f>(Inputs!$D$12*Inputs!$I$12*Chemistry_Daily!B7+Inputs!$D$13*Inputs!$I$13*Chemistry_Daily!K7+Inputs!$D$14*Inputs!$I$14*Chemistry_Daily!T7+Inputs!$D$15*Inputs!$I$15*Chemistry_Daily!AC7+Inputs!$D$16*Inputs!$I$16*Chemistry_Daily!AL7)/(Inputs!$D$12*Inputs!$I$12+Inputs!$D$13*Inputs!$I$13+Inputs!$D$14*Inputs!$I$14+Inputs!$D$15*Inputs!$I$15+Inputs!$D$16*Inputs!$I$16)</f>
        <v>1.5254415517669035E-6</v>
      </c>
      <c r="C7" s="22">
        <f t="shared" si="0"/>
        <v>5.8166044279634956</v>
      </c>
      <c r="D7" s="8">
        <f>(Inputs!$D$12*Inputs!$I$12*Chemistry_Daily!D7+Inputs!$D$13*Inputs!$I$13*Chemistry_Daily!M7+Inputs!$D$14*Inputs!$I$14*Chemistry_Daily!V7+Inputs!$D$15*Inputs!$I$15*Chemistry_Daily!AE7+Inputs!$D$16*Inputs!$I$16*Chemistry_Daily!AN7)/(Inputs!$D$12*Inputs!$I$12+Inputs!$D$13*Inputs!$I$13+Inputs!$D$14*Inputs!$I$14+Inputs!$D$15*Inputs!$I$15+Inputs!$D$16*Inputs!$I$16)</f>
        <v>2.2732409612914273</v>
      </c>
      <c r="E7" s="8">
        <f>(Inputs!$D$12*Inputs!$I$12*Chemistry_Daily!E7+Inputs!$D$13*Inputs!$I$13*Chemistry_Daily!N7+Inputs!$D$14*Inputs!$I$14*Chemistry_Daily!W7+Inputs!$D$15*Inputs!$I$15*Chemistry_Daily!AF7+Inputs!$D$16*Inputs!$I$16*Chemistry_Daily!AO7)/(Inputs!$D$12*Inputs!$I$12+Inputs!$D$13*Inputs!$I$13+Inputs!$D$14*Inputs!$I$14+Inputs!$D$15*Inputs!$I$15+Inputs!$D$16*Inputs!$I$16)</f>
        <v>0.40608704501469878</v>
      </c>
      <c r="F7" s="8">
        <f>(Inputs!$D$12*Inputs!$I$12*Chemistry_Daily!F7+Inputs!$D$13*Inputs!$I$13*Chemistry_Daily!O7+Inputs!$D$14*Inputs!$I$14*Chemistry_Daily!X7+Inputs!$D$15*Inputs!$I$15*Chemistry_Daily!AG7+Inputs!$D$16*Inputs!$I$16*Chemistry_Daily!AP7)/(Inputs!$D$12*Inputs!$I$12+Inputs!$D$13*Inputs!$I$13+Inputs!$D$14*Inputs!$I$14+Inputs!$D$15*Inputs!$I$15+Inputs!$D$16*Inputs!$I$16)</f>
        <v>33.028678559225987</v>
      </c>
      <c r="G7" s="8">
        <f>(Inputs!$D$12*Inputs!$I$12*Chemistry_Daily!G7+Inputs!$D$13*Inputs!$I$13*Chemistry_Daily!P7+Inputs!$D$14*Inputs!$I$14*Chemistry_Daily!Y7+Inputs!$D$15*Inputs!$I$15*Chemistry_Daily!AH7+Inputs!$D$16*Inputs!$I$16*Chemistry_Daily!AQ7)/(Inputs!$D$12*Inputs!$I$12+Inputs!$D$13*Inputs!$I$13+Inputs!$D$14*Inputs!$I$14+Inputs!$D$15*Inputs!$I$15+Inputs!$D$16*Inputs!$I$16)</f>
        <v>23.678251150892056</v>
      </c>
      <c r="H7" s="21">
        <f>(Inputs!$D$12*Inputs!$I$12*BAC_ARC_Daily!B7+Inputs!$D$13*Inputs!$I$13*BAC_ARC_Daily!I7+Inputs!$D$14*Inputs!$I$14*BAC_ARC_Daily!P7+Inputs!$D$15*Inputs!$I$15*BAC_ARC_Daily!W7+Inputs!$D$16*Inputs!$I$16*BAC_ARC_Daily!AD7)/(Inputs!$D$12*Inputs!$I$12+Inputs!$D$13*Inputs!$I$13+Inputs!$D$14*Inputs!$I$14+Inputs!$D$15*Inputs!$I$15+Inputs!$D$16*Inputs!$I$16)</f>
        <v>1292355.7054703257</v>
      </c>
      <c r="I7" s="21">
        <f>(Inputs!$D$12*Inputs!$I$12*BAC_ARC_Daily!C7+Inputs!$D$13*Inputs!$I$13*BAC_ARC_Daily!J7+Inputs!$D$14*Inputs!$I$14*BAC_ARC_Daily!Q7+Inputs!$D$15*Inputs!$I$15*BAC_ARC_Daily!X7+Inputs!$D$16*Inputs!$I$16*BAC_ARC_Daily!AE7)/(Inputs!$D$12*Inputs!$I$12+Inputs!$D$13*Inputs!$I$13+Inputs!$D$14*Inputs!$I$14+Inputs!$D$15*Inputs!$I$15+Inputs!$D$16*Inputs!$I$16)</f>
        <v>11838855.447297553</v>
      </c>
    </row>
    <row r="8" spans="1:9" ht="18" customHeight="1" x14ac:dyDescent="0.25">
      <c r="A8" s="20">
        <v>3</v>
      </c>
      <c r="B8" s="21">
        <f>(Inputs!$D$12*Inputs!$I$12*Chemistry_Daily!B8+Inputs!$D$13*Inputs!$I$13*Chemistry_Daily!K8+Inputs!$D$14*Inputs!$I$14*Chemistry_Daily!T8+Inputs!$D$15*Inputs!$I$15*Chemistry_Daily!AC8+Inputs!$D$16*Inputs!$I$16*Chemistry_Daily!AL8)/(Inputs!$D$12*Inputs!$I$12+Inputs!$D$13*Inputs!$I$13+Inputs!$D$14*Inputs!$I$14+Inputs!$D$15*Inputs!$I$15+Inputs!$D$16*Inputs!$I$16)</f>
        <v>2.1789900377809216E-6</v>
      </c>
      <c r="C8" s="22">
        <f t="shared" si="0"/>
        <v>5.6617447553189866</v>
      </c>
      <c r="D8" s="8">
        <f>(Inputs!$D$12*Inputs!$I$12*Chemistry_Daily!D8+Inputs!$D$13*Inputs!$I$13*Chemistry_Daily!M8+Inputs!$D$14*Inputs!$I$14*Chemistry_Daily!V8+Inputs!$D$15*Inputs!$I$15*Chemistry_Daily!AE8+Inputs!$D$16*Inputs!$I$16*Chemistry_Daily!AN8)/(Inputs!$D$12*Inputs!$I$12+Inputs!$D$13*Inputs!$I$13+Inputs!$D$14*Inputs!$I$14+Inputs!$D$15*Inputs!$I$15+Inputs!$D$16*Inputs!$I$16)</f>
        <v>2.2381482355603635</v>
      </c>
      <c r="E8" s="8">
        <f>(Inputs!$D$12*Inputs!$I$12*Chemistry_Daily!E8+Inputs!$D$13*Inputs!$I$13*Chemistry_Daily!N8+Inputs!$D$14*Inputs!$I$14*Chemistry_Daily!W8+Inputs!$D$15*Inputs!$I$15*Chemistry_Daily!AF8+Inputs!$D$16*Inputs!$I$16*Chemistry_Daily!AO8)/(Inputs!$D$12*Inputs!$I$12+Inputs!$D$13*Inputs!$I$13+Inputs!$D$14*Inputs!$I$14+Inputs!$D$15*Inputs!$I$15+Inputs!$D$16*Inputs!$I$16)</f>
        <v>0.48000889514371742</v>
      </c>
      <c r="F8" s="8">
        <f>(Inputs!$D$12*Inputs!$I$12*Chemistry_Daily!F8+Inputs!$D$13*Inputs!$I$13*Chemistry_Daily!O8+Inputs!$D$14*Inputs!$I$14*Chemistry_Daily!X8+Inputs!$D$15*Inputs!$I$15*Chemistry_Daily!AG8+Inputs!$D$16*Inputs!$I$16*Chemistry_Daily!AP8)/(Inputs!$D$12*Inputs!$I$12+Inputs!$D$13*Inputs!$I$13+Inputs!$D$14*Inputs!$I$14+Inputs!$D$15*Inputs!$I$15+Inputs!$D$16*Inputs!$I$16)</f>
        <v>33.806795181653705</v>
      </c>
      <c r="G8" s="8">
        <f>(Inputs!$D$12*Inputs!$I$12*Chemistry_Daily!G8+Inputs!$D$13*Inputs!$I$13*Chemistry_Daily!P8+Inputs!$D$14*Inputs!$I$14*Chemistry_Daily!Y8+Inputs!$D$15*Inputs!$I$15*Chemistry_Daily!AH8+Inputs!$D$16*Inputs!$I$16*Chemistry_Daily!AQ8)/(Inputs!$D$12*Inputs!$I$12+Inputs!$D$13*Inputs!$I$13+Inputs!$D$14*Inputs!$I$14+Inputs!$D$15*Inputs!$I$15+Inputs!$D$16*Inputs!$I$16)</f>
        <v>23.949258453260704</v>
      </c>
      <c r="H8" s="21">
        <f>(Inputs!$D$12*Inputs!$I$12*BAC_ARC_Daily!B8+Inputs!$D$13*Inputs!$I$13*BAC_ARC_Daily!I8+Inputs!$D$14*Inputs!$I$14*BAC_ARC_Daily!P8+Inputs!$D$15*Inputs!$I$15*BAC_ARC_Daily!W8+Inputs!$D$16*Inputs!$I$16*BAC_ARC_Daily!AD8)/(Inputs!$D$12*Inputs!$I$12+Inputs!$D$13*Inputs!$I$13+Inputs!$D$14*Inputs!$I$14+Inputs!$D$15*Inputs!$I$15+Inputs!$D$16*Inputs!$I$16)</f>
        <v>1264801.7421188119</v>
      </c>
      <c r="I8" s="21">
        <f>(Inputs!$D$12*Inputs!$I$12*BAC_ARC_Daily!C8+Inputs!$D$13*Inputs!$I$13*BAC_ARC_Daily!J8+Inputs!$D$14*Inputs!$I$14*BAC_ARC_Daily!Q8+Inputs!$D$15*Inputs!$I$15*BAC_ARC_Daily!X8+Inputs!$D$16*Inputs!$I$16*BAC_ARC_Daily!AE8)/(Inputs!$D$12*Inputs!$I$12+Inputs!$D$13*Inputs!$I$13+Inputs!$D$14*Inputs!$I$14+Inputs!$D$15*Inputs!$I$15+Inputs!$D$16*Inputs!$I$16)</f>
        <v>11641454.432567682</v>
      </c>
    </row>
    <row r="9" spans="1:9" ht="18" customHeight="1" x14ac:dyDescent="0.25">
      <c r="A9" s="20">
        <v>4</v>
      </c>
      <c r="B9" s="21">
        <f>(Inputs!$D$12*Inputs!$I$12*Chemistry_Daily!B9+Inputs!$D$13*Inputs!$I$13*Chemistry_Daily!K9+Inputs!$D$14*Inputs!$I$14*Chemistry_Daily!T9+Inputs!$D$15*Inputs!$I$15*Chemistry_Daily!AC9+Inputs!$D$16*Inputs!$I$16*Chemistry_Daily!AL9)/(Inputs!$D$12*Inputs!$I$12+Inputs!$D$13*Inputs!$I$13+Inputs!$D$14*Inputs!$I$14+Inputs!$D$15*Inputs!$I$15+Inputs!$D$16*Inputs!$I$16)</f>
        <v>2.8171040576000266E-6</v>
      </c>
      <c r="C9" s="22">
        <f t="shared" si="0"/>
        <v>5.5501971108392736</v>
      </c>
      <c r="D9" s="8">
        <f>(Inputs!$D$12*Inputs!$I$12*Chemistry_Daily!D9+Inputs!$D$13*Inputs!$I$13*Chemistry_Daily!M9+Inputs!$D$14*Inputs!$I$14*Chemistry_Daily!V9+Inputs!$D$15*Inputs!$I$15*Chemistry_Daily!AE9+Inputs!$D$16*Inputs!$I$16*Chemistry_Daily!AN9)/(Inputs!$D$12*Inputs!$I$12+Inputs!$D$13*Inputs!$I$13+Inputs!$D$14*Inputs!$I$14+Inputs!$D$15*Inputs!$I$15+Inputs!$D$16*Inputs!$I$16)</f>
        <v>2.2040244771512958</v>
      </c>
      <c r="E9" s="8">
        <f>(Inputs!$D$12*Inputs!$I$12*Chemistry_Daily!E9+Inputs!$D$13*Inputs!$I$13*Chemistry_Daily!N9+Inputs!$D$14*Inputs!$I$14*Chemistry_Daily!W9+Inputs!$D$15*Inputs!$I$15*Chemistry_Daily!AF9+Inputs!$D$16*Inputs!$I$16*Chemistry_Daily!AO9)/(Inputs!$D$12*Inputs!$I$12+Inputs!$D$13*Inputs!$I$13+Inputs!$D$14*Inputs!$I$14+Inputs!$D$15*Inputs!$I$15+Inputs!$D$16*Inputs!$I$16)</f>
        <v>0.55217515912317294</v>
      </c>
      <c r="F9" s="8">
        <f>(Inputs!$D$12*Inputs!$I$12*Chemistry_Daily!F9+Inputs!$D$13*Inputs!$I$13*Chemistry_Daily!O9+Inputs!$D$14*Inputs!$I$14*Chemistry_Daily!X9+Inputs!$D$15*Inputs!$I$15*Chemistry_Daily!AG9+Inputs!$D$16*Inputs!$I$16*Chemistry_Daily!AP9)/(Inputs!$D$12*Inputs!$I$12+Inputs!$D$13*Inputs!$I$13+Inputs!$D$14*Inputs!$I$14+Inputs!$D$15*Inputs!$I$15+Inputs!$D$16*Inputs!$I$16)</f>
        <v>34.566416966127086</v>
      </c>
      <c r="G9" s="8">
        <f>(Inputs!$D$12*Inputs!$I$12*Chemistry_Daily!G9+Inputs!$D$13*Inputs!$I$13*Chemistry_Daily!P9+Inputs!$D$14*Inputs!$I$14*Chemistry_Daily!Y9+Inputs!$D$15*Inputs!$I$15*Chemistry_Daily!AH9+Inputs!$D$16*Inputs!$I$16*Chemistry_Daily!AQ9)/(Inputs!$D$12*Inputs!$I$12+Inputs!$D$13*Inputs!$I$13+Inputs!$D$14*Inputs!$I$14+Inputs!$D$15*Inputs!$I$15+Inputs!$D$16*Inputs!$I$16)</f>
        <v>24.213201754827782</v>
      </c>
      <c r="H9" s="21">
        <f>(Inputs!$D$12*Inputs!$I$12*BAC_ARC_Daily!B9+Inputs!$D$13*Inputs!$I$13*BAC_ARC_Daily!I9+Inputs!$D$14*Inputs!$I$14*BAC_ARC_Daily!P9+Inputs!$D$15*Inputs!$I$15*BAC_ARC_Daily!W9+Inputs!$D$16*Inputs!$I$16*BAC_ARC_Daily!AD9)/(Inputs!$D$12*Inputs!$I$12+Inputs!$D$13*Inputs!$I$13+Inputs!$D$14*Inputs!$I$14+Inputs!$D$15*Inputs!$I$15+Inputs!$D$16*Inputs!$I$16)</f>
        <v>1237874.7009688923</v>
      </c>
      <c r="I9" s="21">
        <f>(Inputs!$D$12*Inputs!$I$12*BAC_ARC_Daily!C9+Inputs!$D$13*Inputs!$I$13*BAC_ARC_Daily!J9+Inputs!$D$14*Inputs!$I$14*BAC_ARC_Daily!Q9+Inputs!$D$15*Inputs!$I$15*BAC_ARC_Daily!X9+Inputs!$D$16*Inputs!$I$16*BAC_ARC_Daily!AE9)/(Inputs!$D$12*Inputs!$I$12+Inputs!$D$13*Inputs!$I$13+Inputs!$D$14*Inputs!$I$14+Inputs!$D$15*Inputs!$I$15+Inputs!$D$16*Inputs!$I$16)</f>
        <v>11449158.291768169</v>
      </c>
    </row>
    <row r="10" spans="1:9" ht="18" customHeight="1" x14ac:dyDescent="0.25">
      <c r="A10" s="20">
        <v>5</v>
      </c>
      <c r="B10" s="21">
        <f>(Inputs!$D$12*Inputs!$I$12*Chemistry_Daily!B10+Inputs!$D$13*Inputs!$I$13*Chemistry_Daily!K10+Inputs!$D$14*Inputs!$I$14*Chemistry_Daily!T10+Inputs!$D$15*Inputs!$I$15*Chemistry_Daily!AC10+Inputs!$D$16*Inputs!$I$16*Chemistry_Daily!AL10)/(Inputs!$D$12*Inputs!$I$12+Inputs!$D$13*Inputs!$I$13+Inputs!$D$14*Inputs!$I$14+Inputs!$D$15*Inputs!$I$15+Inputs!$D$16*Inputs!$I$16)</f>
        <v>3.4401900621266126E-6</v>
      </c>
      <c r="C10" s="22">
        <f t="shared" si="0"/>
        <v>5.4634175630527091</v>
      </c>
      <c r="D10" s="8">
        <f>(Inputs!$D$12*Inputs!$I$12*Chemistry_Daily!D10+Inputs!$D$13*Inputs!$I$13*Chemistry_Daily!M10+Inputs!$D$14*Inputs!$I$14*Chemistry_Daily!V10+Inputs!$D$15*Inputs!$I$15*Chemistry_Daily!AE10+Inputs!$D$16*Inputs!$I$16*Chemistry_Daily!AN10)/(Inputs!$D$12*Inputs!$I$12+Inputs!$D$13*Inputs!$I$13+Inputs!$D$14*Inputs!$I$14+Inputs!$D$15*Inputs!$I$15+Inputs!$D$16*Inputs!$I$16)</f>
        <v>2.1708381872796907</v>
      </c>
      <c r="E10" s="8">
        <f>(Inputs!$D$12*Inputs!$I$12*Chemistry_Daily!E10+Inputs!$D$13*Inputs!$I$13*Chemistry_Daily!N10+Inputs!$D$14*Inputs!$I$14*Chemistry_Daily!W10+Inputs!$D$15*Inputs!$I$15*Chemistry_Daily!AF10+Inputs!$D$16*Inputs!$I$16*Chemistry_Daily!AO10)/(Inputs!$D$12*Inputs!$I$12+Inputs!$D$13*Inputs!$I$13+Inputs!$D$14*Inputs!$I$14+Inputs!$D$15*Inputs!$I$15+Inputs!$D$16*Inputs!$I$16)</f>
        <v>0.62263249281476185</v>
      </c>
      <c r="F10" s="8">
        <f>(Inputs!$D$12*Inputs!$I$12*Chemistry_Daily!F10+Inputs!$D$13*Inputs!$I$13*Chemistry_Daily!O10+Inputs!$D$14*Inputs!$I$14*Chemistry_Daily!X10+Inputs!$D$15*Inputs!$I$15*Chemistry_Daily!AG10+Inputs!$D$16*Inputs!$I$16*Chemistry_Daily!AP10)/(Inputs!$D$12*Inputs!$I$12+Inputs!$D$13*Inputs!$I$13+Inputs!$D$14*Inputs!$I$14+Inputs!$D$15*Inputs!$I$15+Inputs!$D$16*Inputs!$I$16)</f>
        <v>35.308036327826883</v>
      </c>
      <c r="G10" s="8">
        <f>(Inputs!$D$12*Inputs!$I$12*Chemistry_Daily!G10+Inputs!$D$13*Inputs!$I$13*Chemistry_Daily!P10+Inputs!$D$14*Inputs!$I$14*Chemistry_Daily!Y10+Inputs!$D$15*Inputs!$I$15*Chemistry_Daily!AH10+Inputs!$D$16*Inputs!$I$16*Chemistry_Daily!AQ10)/(Inputs!$D$12*Inputs!$I$12+Inputs!$D$13*Inputs!$I$13+Inputs!$D$14*Inputs!$I$14+Inputs!$D$15*Inputs!$I$15+Inputs!$D$16*Inputs!$I$16)</f>
        <v>24.470295408376991</v>
      </c>
      <c r="H10" s="21">
        <f>(Inputs!$D$12*Inputs!$I$12*BAC_ARC_Daily!B10+Inputs!$D$13*Inputs!$I$13*BAC_ARC_Daily!I10+Inputs!$D$14*Inputs!$I$14*BAC_ARC_Daily!P10+Inputs!$D$15*Inputs!$I$15*BAC_ARC_Daily!W10+Inputs!$D$16*Inputs!$I$16*BAC_ARC_Daily!AD10)/(Inputs!$D$12*Inputs!$I$12+Inputs!$D$13*Inputs!$I$13+Inputs!$D$14*Inputs!$I$14+Inputs!$D$15*Inputs!$I$15+Inputs!$D$16*Inputs!$I$16)</f>
        <v>1211559.0677261299</v>
      </c>
      <c r="I10" s="21">
        <f>(Inputs!$D$12*Inputs!$I$12*BAC_ARC_Daily!C10+Inputs!$D$13*Inputs!$I$13*BAC_ARC_Daily!J10+Inputs!$D$14*Inputs!$I$14*BAC_ARC_Daily!Q10+Inputs!$D$15*Inputs!$I$15*BAC_ARC_Daily!X10+Inputs!$D$16*Inputs!$I$16*BAC_ARC_Daily!AE10)/(Inputs!$D$12*Inputs!$I$12+Inputs!$D$13*Inputs!$I$13+Inputs!$D$14*Inputs!$I$14+Inputs!$D$15*Inputs!$I$15+Inputs!$D$16*Inputs!$I$16)</f>
        <v>11261813.469724247</v>
      </c>
    </row>
    <row r="11" spans="1:9" ht="18" customHeight="1" x14ac:dyDescent="0.25">
      <c r="A11" s="20">
        <v>6</v>
      </c>
      <c r="B11" s="21">
        <f>(Inputs!$D$12*Inputs!$I$12*Chemistry_Daily!B11+Inputs!$D$13*Inputs!$I$13*Chemistry_Daily!K11+Inputs!$D$14*Inputs!$I$14*Chemistry_Daily!T11+Inputs!$D$15*Inputs!$I$15*Chemistry_Daily!AC11+Inputs!$D$16*Inputs!$I$16*Chemistry_Daily!AL11)/(Inputs!$D$12*Inputs!$I$12+Inputs!$D$13*Inputs!$I$13+Inputs!$D$14*Inputs!$I$14+Inputs!$D$15*Inputs!$I$15+Inputs!$D$16*Inputs!$I$16)</f>
        <v>4.0486420166049759E-6</v>
      </c>
      <c r="C11" s="22">
        <f t="shared" si="0"/>
        <v>5.3926906221168061</v>
      </c>
      <c r="D11" s="8">
        <f>(Inputs!$D$12*Inputs!$I$12*Chemistry_Daily!D11+Inputs!$D$13*Inputs!$I$13*Chemistry_Daily!M11+Inputs!$D$14*Inputs!$I$14*Chemistry_Daily!V11+Inputs!$D$15*Inputs!$I$15*Chemistry_Daily!AE11+Inputs!$D$16*Inputs!$I$16*Chemistry_Daily!AN11)/(Inputs!$D$12*Inputs!$I$12+Inputs!$D$13*Inputs!$I$13+Inputs!$D$14*Inputs!$I$14+Inputs!$D$15*Inputs!$I$15+Inputs!$D$16*Inputs!$I$16)</f>
        <v>2.1385590641578394</v>
      </c>
      <c r="E11" s="8">
        <f>(Inputs!$D$12*Inputs!$I$12*Chemistry_Daily!E11+Inputs!$D$13*Inputs!$I$13*Chemistry_Daily!N11+Inputs!$D$14*Inputs!$I$14*Chemistry_Daily!W11+Inputs!$D$15*Inputs!$I$15*Chemistry_Daily!AF11+Inputs!$D$16*Inputs!$I$16*Chemistry_Daily!AO11)/(Inputs!$D$12*Inputs!$I$12+Inputs!$D$13*Inputs!$I$13+Inputs!$D$14*Inputs!$I$14+Inputs!$D$15*Inputs!$I$15+Inputs!$D$16*Inputs!$I$16)</f>
        <v>0.69142610236419166</v>
      </c>
      <c r="F11" s="8">
        <f>(Inputs!$D$12*Inputs!$I$12*Chemistry_Daily!F11+Inputs!$D$13*Inputs!$I$13*Chemistry_Daily!O11+Inputs!$D$14*Inputs!$I$14*Chemistry_Daily!X11+Inputs!$D$15*Inputs!$I$15*Chemistry_Daily!AG11+Inputs!$D$16*Inputs!$I$16*Chemistry_Daily!AP11)/(Inputs!$D$12*Inputs!$I$12+Inputs!$D$13*Inputs!$I$13+Inputs!$D$14*Inputs!$I$14+Inputs!$D$15*Inputs!$I$15+Inputs!$D$16*Inputs!$I$16)</f>
        <v>36.03213033572883</v>
      </c>
      <c r="G11" s="8">
        <f>(Inputs!$D$12*Inputs!$I$12*Chemistry_Daily!G11+Inputs!$D$13*Inputs!$I$13*Chemistry_Daily!P11+Inputs!$D$14*Inputs!$I$14*Chemistry_Daily!Y11+Inputs!$D$15*Inputs!$I$15*Chemistry_Daily!AH11+Inputs!$D$16*Inputs!$I$16*Chemistry_Daily!AQ11)/(Inputs!$D$12*Inputs!$I$12+Inputs!$D$13*Inputs!$I$13+Inputs!$D$14*Inputs!$I$14+Inputs!$D$15*Inputs!$I$15+Inputs!$D$16*Inputs!$I$16)</f>
        <v>24.720746095331648</v>
      </c>
      <c r="H11" s="21">
        <f>(Inputs!$D$12*Inputs!$I$12*BAC_ARC_Daily!B11+Inputs!$D$13*Inputs!$I$13*BAC_ARC_Daily!I11+Inputs!$D$14*Inputs!$I$14*BAC_ARC_Daily!P11+Inputs!$D$15*Inputs!$I$15*BAC_ARC_Daily!W11+Inputs!$D$16*Inputs!$I$16*BAC_ARC_Daily!AD11)/(Inputs!$D$12*Inputs!$I$12+Inputs!$D$13*Inputs!$I$13+Inputs!$D$14*Inputs!$I$14+Inputs!$D$15*Inputs!$I$15+Inputs!$D$16*Inputs!$I$16)</f>
        <v>1185839.7674170309</v>
      </c>
      <c r="I11" s="21">
        <f>(Inputs!$D$12*Inputs!$I$12*BAC_ARC_Daily!C11+Inputs!$D$13*Inputs!$I$13*BAC_ARC_Daily!J11+Inputs!$D$14*Inputs!$I$14*BAC_ARC_Daily!Q11+Inputs!$D$15*Inputs!$I$15*BAC_ARC_Daily!X11+Inputs!$D$16*Inputs!$I$16*BAC_ARC_Daily!AE11)/(Inputs!$D$12*Inputs!$I$12+Inputs!$D$13*Inputs!$I$13+Inputs!$D$14*Inputs!$I$14+Inputs!$D$15*Inputs!$I$15+Inputs!$D$16*Inputs!$I$16)</f>
        <v>11079271.871391218</v>
      </c>
    </row>
    <row r="12" spans="1:9" ht="18" customHeight="1" x14ac:dyDescent="0.25">
      <c r="A12" s="20">
        <v>7</v>
      </c>
      <c r="B12" s="21">
        <f>(Inputs!$D$12*Inputs!$I$12*Chemistry_Daily!B12+Inputs!$D$13*Inputs!$I$13*Chemistry_Daily!K12+Inputs!$D$14*Inputs!$I$14*Chemistry_Daily!T12+Inputs!$D$15*Inputs!$I$15*Chemistry_Daily!AC12+Inputs!$D$16*Inputs!$I$16*Chemistry_Daily!AL12)/(Inputs!$D$12*Inputs!$I$12+Inputs!$D$13*Inputs!$I$13+Inputs!$D$14*Inputs!$I$14+Inputs!$D$15*Inputs!$I$15+Inputs!$D$16*Inputs!$I$16)</f>
        <v>4.6428418521814959E-6</v>
      </c>
      <c r="C12" s="22">
        <f t="shared" si="0"/>
        <v>5.3332161093328887</v>
      </c>
      <c r="D12" s="8">
        <f>(Inputs!$D$12*Inputs!$I$12*Chemistry_Daily!D12+Inputs!$D$13*Inputs!$I$13*Chemistry_Daily!M12+Inputs!$D$14*Inputs!$I$14*Chemistry_Daily!V12+Inputs!$D$15*Inputs!$I$15*Chemistry_Daily!AE12+Inputs!$D$16*Inputs!$I$16*Chemistry_Daily!AN12)/(Inputs!$D$12*Inputs!$I$12+Inputs!$D$13*Inputs!$I$13+Inputs!$D$14*Inputs!$I$14+Inputs!$D$15*Inputs!$I$15+Inputs!$D$16*Inputs!$I$16)</f>
        <v>2.107157952135049</v>
      </c>
      <c r="E12" s="8">
        <f>(Inputs!$D$12*Inputs!$I$12*Chemistry_Daily!E12+Inputs!$D$13*Inputs!$I$13*Chemistry_Daily!N12+Inputs!$D$14*Inputs!$I$14*Chemistry_Daily!W12+Inputs!$D$15*Inputs!$I$15*Chemistry_Daily!AF12+Inputs!$D$16*Inputs!$I$16*Chemistry_Daily!AO12)/(Inputs!$D$12*Inputs!$I$12+Inputs!$D$13*Inputs!$I$13+Inputs!$D$14*Inputs!$I$14+Inputs!$D$15*Inputs!$I$15+Inputs!$D$16*Inputs!$I$16)</f>
        <v>0.75859979718702486</v>
      </c>
      <c r="F12" s="8">
        <f>(Inputs!$D$12*Inputs!$I$12*Chemistry_Daily!F12+Inputs!$D$13*Inputs!$I$13*Chemistry_Daily!O12+Inputs!$D$14*Inputs!$I$14*Chemistry_Daily!X12+Inputs!$D$15*Inputs!$I$15*Chemistry_Daily!AG12+Inputs!$D$16*Inputs!$I$16*Chemistry_Daily!AP12)/(Inputs!$D$12*Inputs!$I$12+Inputs!$D$13*Inputs!$I$13+Inputs!$D$14*Inputs!$I$14+Inputs!$D$15*Inputs!$I$15+Inputs!$D$16*Inputs!$I$16)</f>
        <v>36.739161275475702</v>
      </c>
      <c r="G12" s="8">
        <f>(Inputs!$D$12*Inputs!$I$12*Chemistry_Daily!G12+Inputs!$D$13*Inputs!$I$13*Chemistry_Daily!P12+Inputs!$D$14*Inputs!$I$14*Chemistry_Daily!Y12+Inputs!$D$15*Inputs!$I$15*Chemistry_Daily!AH12+Inputs!$D$16*Inputs!$I$16*Chemistry_Daily!AQ12)/(Inputs!$D$12*Inputs!$I$12+Inputs!$D$13*Inputs!$I$13+Inputs!$D$14*Inputs!$I$14+Inputs!$D$15*Inputs!$I$15+Inputs!$D$16*Inputs!$I$16)</f>
        <v>24.964753139071064</v>
      </c>
      <c r="H12" s="21">
        <f>(Inputs!$D$12*Inputs!$I$12*BAC_ARC_Daily!B12+Inputs!$D$13*Inputs!$I$13*BAC_ARC_Daily!I12+Inputs!$D$14*Inputs!$I$14*BAC_ARC_Daily!P12+Inputs!$D$15*Inputs!$I$15*BAC_ARC_Daily!W12+Inputs!$D$16*Inputs!$I$16*BAC_ARC_Daily!AD12)/(Inputs!$D$12*Inputs!$I$12+Inputs!$D$13*Inputs!$I$13+Inputs!$D$14*Inputs!$I$14+Inputs!$D$15*Inputs!$I$15+Inputs!$D$16*Inputs!$I$16)</f>
        <v>1160702.1496905112</v>
      </c>
      <c r="I12" s="21">
        <f>(Inputs!$D$12*Inputs!$I$12*BAC_ARC_Daily!C12+Inputs!$D$13*Inputs!$I$13*BAC_ARC_Daily!J12+Inputs!$D$14*Inputs!$I$14*BAC_ARC_Daily!Q12+Inputs!$D$15*Inputs!$I$15*BAC_ARC_Daily!X12+Inputs!$D$16*Inputs!$I$16*BAC_ARC_Daily!AE12)/(Inputs!$D$12*Inputs!$I$12+Inputs!$D$13*Inputs!$I$13+Inputs!$D$14*Inputs!$I$14+Inputs!$D$15*Inputs!$I$15+Inputs!$D$16*Inputs!$I$16)</f>
        <v>10901390.639436038</v>
      </c>
    </row>
    <row r="13" spans="1:9" ht="18" customHeight="1" x14ac:dyDescent="0.25">
      <c r="A13" s="20">
        <v>8</v>
      </c>
      <c r="B13" s="21">
        <f>(Inputs!$D$12*Inputs!$I$12*Chemistry_Daily!B13+Inputs!$D$13*Inputs!$I$13*Chemistry_Daily!K13+Inputs!$D$14*Inputs!$I$14*Chemistry_Daily!T13+Inputs!$D$15*Inputs!$I$15*Chemistry_Daily!AC13+Inputs!$D$16*Inputs!$I$16*Chemistry_Daily!AL13)/(Inputs!$D$12*Inputs!$I$12+Inputs!$D$13*Inputs!$I$13+Inputs!$D$14*Inputs!$I$14+Inputs!$D$15*Inputs!$I$15+Inputs!$D$16*Inputs!$I$16)</f>
        <v>5.2231598989035599E-6</v>
      </c>
      <c r="C13" s="22">
        <f t="shared" si="0"/>
        <v>5.2820666787104846</v>
      </c>
      <c r="D13" s="8">
        <f>(Inputs!$D$12*Inputs!$I$12*Chemistry_Daily!D13+Inputs!$D$13*Inputs!$I$13*Chemistry_Daily!M13+Inputs!$D$14*Inputs!$I$14*Chemistry_Daily!V13+Inputs!$D$15*Inputs!$I$15*Chemistry_Daily!AE13+Inputs!$D$16*Inputs!$I$16*Chemistry_Daily!AN13)/(Inputs!$D$12*Inputs!$I$12+Inputs!$D$13*Inputs!$I$13+Inputs!$D$14*Inputs!$I$14+Inputs!$D$15*Inputs!$I$15+Inputs!$D$16*Inputs!$I$16)</f>
        <v>2.0766067931419805</v>
      </c>
      <c r="E13" s="8">
        <f>(Inputs!$D$12*Inputs!$I$12*Chemistry_Daily!E13+Inputs!$D$13*Inputs!$I$13*Chemistry_Daily!N13+Inputs!$D$14*Inputs!$I$14*Chemistry_Daily!W13+Inputs!$D$15*Inputs!$I$15*Chemistry_Daily!AF13+Inputs!$D$16*Inputs!$I$16*Chemistry_Daily!AO13)/(Inputs!$D$12*Inputs!$I$12+Inputs!$D$13*Inputs!$I$13+Inputs!$D$14*Inputs!$I$14+Inputs!$D$15*Inputs!$I$15+Inputs!$D$16*Inputs!$I$16)</f>
        <v>0.82419604076044439</v>
      </c>
      <c r="F13" s="8">
        <f>(Inputs!$D$12*Inputs!$I$12*Chemistry_Daily!F13+Inputs!$D$13*Inputs!$I$13*Chemistry_Daily!O13+Inputs!$D$14*Inputs!$I$14*Chemistry_Daily!X13+Inputs!$D$15*Inputs!$I$15*Chemistry_Daily!AG13+Inputs!$D$16*Inputs!$I$16*Chemistry_Daily!AP13)/(Inputs!$D$12*Inputs!$I$12+Inputs!$D$13*Inputs!$I$13+Inputs!$D$14*Inputs!$I$14+Inputs!$D$15*Inputs!$I$15+Inputs!$D$16*Inputs!$I$16)</f>
        <v>37.429577188864734</v>
      </c>
      <c r="G13" s="8">
        <f>(Inputs!$D$12*Inputs!$I$12*Chemistry_Daily!G13+Inputs!$D$13*Inputs!$I$13*Chemistry_Daily!P13+Inputs!$D$14*Inputs!$I$14*Chemistry_Daily!Y13+Inputs!$D$15*Inputs!$I$15*Chemistry_Daily!AH13+Inputs!$D$16*Inputs!$I$16*Chemistry_Daily!AQ13)/(Inputs!$D$12*Inputs!$I$12+Inputs!$D$13*Inputs!$I$13+Inputs!$D$14*Inputs!$I$14+Inputs!$D$15*Inputs!$I$15+Inputs!$D$16*Inputs!$I$16)</f>
        <v>25.202508804355222</v>
      </c>
      <c r="H13" s="21">
        <f>(Inputs!$D$12*Inputs!$I$12*BAC_ARC_Daily!B13+Inputs!$D$13*Inputs!$I$13*BAC_ARC_Daily!I13+Inputs!$D$14*Inputs!$I$14*BAC_ARC_Daily!P13+Inputs!$D$15*Inputs!$I$15*BAC_ARC_Daily!W13+Inputs!$D$16*Inputs!$I$16*BAC_ARC_Daily!AD13)/(Inputs!$D$12*Inputs!$I$12+Inputs!$D$13*Inputs!$I$13+Inputs!$D$14*Inputs!$I$14+Inputs!$D$15*Inputs!$I$15+Inputs!$D$16*Inputs!$I$16)</f>
        <v>1136131.974691666</v>
      </c>
      <c r="I13" s="21">
        <f>(Inputs!$D$12*Inputs!$I$12*BAC_ARC_Daily!C13+Inputs!$D$13*Inputs!$I$13*BAC_ARC_Daily!J13+Inputs!$D$14*Inputs!$I$14*BAC_ARC_Daily!Q13+Inputs!$D$15*Inputs!$I$15*BAC_ARC_Daily!X13+Inputs!$D$16*Inputs!$I$16*BAC_ARC_Daily!AE13)/(Inputs!$D$12*Inputs!$I$12+Inputs!$D$13*Inputs!$I$13+Inputs!$D$14*Inputs!$I$14+Inputs!$D$15*Inputs!$I$15+Inputs!$D$16*Inputs!$I$16)</f>
        <v>10728031.941683812</v>
      </c>
    </row>
    <row r="14" spans="1:9" ht="18" customHeight="1" x14ac:dyDescent="0.25">
      <c r="A14" s="20">
        <v>9</v>
      </c>
      <c r="B14" s="21">
        <f>(Inputs!$D$12*Inputs!$I$12*Chemistry_Daily!B14+Inputs!$D$13*Inputs!$I$13*Chemistry_Daily!K14+Inputs!$D$14*Inputs!$I$14*Chemistry_Daily!T14+Inputs!$D$15*Inputs!$I$15*Chemistry_Daily!AC14+Inputs!$D$16*Inputs!$I$16*Chemistry_Daily!AL14)/(Inputs!$D$12*Inputs!$I$12+Inputs!$D$13*Inputs!$I$13+Inputs!$D$14*Inputs!$I$14+Inputs!$D$15*Inputs!$I$15+Inputs!$D$16*Inputs!$I$16)</f>
        <v>5.789955300982502E-6</v>
      </c>
      <c r="C14" s="22">
        <f t="shared" si="0"/>
        <v>5.2373247890552204</v>
      </c>
      <c r="D14" s="8">
        <f>(Inputs!$D$12*Inputs!$I$12*Chemistry_Daily!D14+Inputs!$D$13*Inputs!$I$13*Chemistry_Daily!M14+Inputs!$D$14*Inputs!$I$14*Chemistry_Daily!V14+Inputs!$D$15*Inputs!$I$15*Chemistry_Daily!AE14+Inputs!$D$16*Inputs!$I$16*Chemistry_Daily!AN14)/(Inputs!$D$12*Inputs!$I$12+Inputs!$D$13*Inputs!$I$13+Inputs!$D$14*Inputs!$I$14+Inputs!$D$15*Inputs!$I$15+Inputs!$D$16*Inputs!$I$16)</f>
        <v>2.0468785803313181</v>
      </c>
      <c r="E14" s="8">
        <f>(Inputs!$D$12*Inputs!$I$12*Chemistry_Daily!E14+Inputs!$D$13*Inputs!$I$13*Chemistry_Daily!N14+Inputs!$D$14*Inputs!$I$14*Chemistry_Daily!W14+Inputs!$D$15*Inputs!$I$15*Chemistry_Daily!AF14+Inputs!$D$16*Inputs!$I$16*Chemistry_Daily!AO14)/(Inputs!$D$12*Inputs!$I$12+Inputs!$D$13*Inputs!$I$13+Inputs!$D$14*Inputs!$I$14+Inputs!$D$15*Inputs!$I$15+Inputs!$D$16*Inputs!$I$16)</f>
        <v>0.88825599931892041</v>
      </c>
      <c r="F14" s="8">
        <f>(Inputs!$D$12*Inputs!$I$12*Chemistry_Daily!F14+Inputs!$D$13*Inputs!$I$13*Chemistry_Daily!O14+Inputs!$D$14*Inputs!$I$14*Chemistry_Daily!X14+Inputs!$D$15*Inputs!$I$15*Chemistry_Daily!AG14+Inputs!$D$16*Inputs!$I$16*Chemistry_Daily!AP14)/(Inputs!$D$12*Inputs!$I$12+Inputs!$D$13*Inputs!$I$13+Inputs!$D$14*Inputs!$I$14+Inputs!$D$15*Inputs!$I$15+Inputs!$D$16*Inputs!$I$16)</f>
        <v>38.103812390997533</v>
      </c>
      <c r="G14" s="8">
        <f>(Inputs!$D$12*Inputs!$I$12*Chemistry_Daily!G14+Inputs!$D$13*Inputs!$I$13*Chemistry_Daily!P14+Inputs!$D$14*Inputs!$I$14*Chemistry_Daily!Y14+Inputs!$D$15*Inputs!$I$15*Chemistry_Daily!AH14+Inputs!$D$16*Inputs!$I$16*Chemistry_Daily!AQ14)/(Inputs!$D$12*Inputs!$I$12+Inputs!$D$13*Inputs!$I$13+Inputs!$D$14*Inputs!$I$14+Inputs!$D$15*Inputs!$I$15+Inputs!$D$16*Inputs!$I$16)</f>
        <v>25.434198583501065</v>
      </c>
      <c r="H14" s="21">
        <f>(Inputs!$D$12*Inputs!$I$12*BAC_ARC_Daily!B14+Inputs!$D$13*Inputs!$I$13*BAC_ARC_Daily!I14+Inputs!$D$14*Inputs!$I$14*BAC_ARC_Daily!P14+Inputs!$D$15*Inputs!$I$15*BAC_ARC_Daily!W14+Inputs!$D$16*Inputs!$I$16*BAC_ARC_Daily!AD14)/(Inputs!$D$12*Inputs!$I$12+Inputs!$D$13*Inputs!$I$13+Inputs!$D$14*Inputs!$I$14+Inputs!$D$15*Inputs!$I$15+Inputs!$D$16*Inputs!$I$16)</f>
        <v>1112115.3994831289</v>
      </c>
      <c r="I14" s="21">
        <f>(Inputs!$D$12*Inputs!$I$12*BAC_ARC_Daily!C14+Inputs!$D$13*Inputs!$I$13*BAC_ARC_Daily!J14+Inputs!$D$14*Inputs!$I$14*BAC_ARC_Daily!Q14+Inputs!$D$15*Inputs!$I$15*BAC_ARC_Daily!X14+Inputs!$D$16*Inputs!$I$16*BAC_ARC_Daily!AE14)/(Inputs!$D$12*Inputs!$I$12+Inputs!$D$13*Inputs!$I$13+Inputs!$D$14*Inputs!$I$14+Inputs!$D$15*Inputs!$I$15+Inputs!$D$16*Inputs!$I$16)</f>
        <v>10559062.767971635</v>
      </c>
    </row>
    <row r="15" spans="1:9" ht="18" customHeight="1" x14ac:dyDescent="0.25">
      <c r="A15" s="20">
        <v>10</v>
      </c>
      <c r="B15" s="21">
        <f>(Inputs!$D$12*Inputs!$I$12*Chemistry_Daily!B15+Inputs!$D$13*Inputs!$I$13*Chemistry_Daily!K15+Inputs!$D$14*Inputs!$I$14*Chemistry_Daily!T15+Inputs!$D$15*Inputs!$I$15*Chemistry_Daily!AC15+Inputs!$D$16*Inputs!$I$16*Chemistry_Daily!AL15)/(Inputs!$D$12*Inputs!$I$12+Inputs!$D$13*Inputs!$I$13+Inputs!$D$14*Inputs!$I$14+Inputs!$D$15*Inputs!$I$15+Inputs!$D$16*Inputs!$I$16)</f>
        <v>6.3435764151075522E-6</v>
      </c>
      <c r="C15" s="22">
        <f t="shared" si="0"/>
        <v>5.1976658242281495</v>
      </c>
      <c r="D15" s="8">
        <f>(Inputs!$D$12*Inputs!$I$12*Chemistry_Daily!D15+Inputs!$D$13*Inputs!$I$13*Chemistry_Daily!M15+Inputs!$D$14*Inputs!$I$14*Chemistry_Daily!V15+Inputs!$D$15*Inputs!$I$15*Chemistry_Daily!AE15+Inputs!$D$16*Inputs!$I$16*Chemistry_Daily!AN15)/(Inputs!$D$12*Inputs!$I$12+Inputs!$D$13*Inputs!$I$13+Inputs!$D$14*Inputs!$I$14+Inputs!$D$15*Inputs!$I$15+Inputs!$D$16*Inputs!$I$16)</f>
        <v>2.0179473138120829</v>
      </c>
      <c r="E15" s="8">
        <f>(Inputs!$D$12*Inputs!$I$12*Chemistry_Daily!E15+Inputs!$D$13*Inputs!$I$13*Chemistry_Daily!N15+Inputs!$D$14*Inputs!$I$14*Chemistry_Daily!W15+Inputs!$D$15*Inputs!$I$15*Chemistry_Daily!AF15+Inputs!$D$16*Inputs!$I$16*Chemistry_Daily!AO15)/(Inputs!$D$12*Inputs!$I$12+Inputs!$D$13*Inputs!$I$13+Inputs!$D$14*Inputs!$I$14+Inputs!$D$15*Inputs!$I$15+Inputs!$D$16*Inputs!$I$16)</f>
        <v>0.95081958854720106</v>
      </c>
      <c r="F15" s="8">
        <f>(Inputs!$D$12*Inputs!$I$12*Chemistry_Daily!F15+Inputs!$D$13*Inputs!$I$13*Chemistry_Daily!O15+Inputs!$D$14*Inputs!$I$14*Chemistry_Daily!X15+Inputs!$D$15*Inputs!$I$15*Chemistry_Daily!AG15+Inputs!$D$16*Inputs!$I$16*Chemistry_Daily!AP15)/(Inputs!$D$12*Inputs!$I$12+Inputs!$D$13*Inputs!$I$13+Inputs!$D$14*Inputs!$I$14+Inputs!$D$15*Inputs!$I$15+Inputs!$D$16*Inputs!$I$16)</f>
        <v>38.762287966090746</v>
      </c>
      <c r="G15" s="8">
        <f>(Inputs!$D$12*Inputs!$I$12*Chemistry_Daily!G15+Inputs!$D$13*Inputs!$I$13*Chemistry_Daily!P15+Inputs!$D$14*Inputs!$I$14*Chemistry_Daily!Y15+Inputs!$D$15*Inputs!$I$15*Chemistry_Daily!AH15+Inputs!$D$16*Inputs!$I$16*Chemistry_Daily!AQ15)/(Inputs!$D$12*Inputs!$I$12+Inputs!$D$13*Inputs!$I$13+Inputs!$D$14*Inputs!$I$14+Inputs!$D$15*Inputs!$I$15+Inputs!$D$16*Inputs!$I$16)</f>
        <v>25.660001469922886</v>
      </c>
      <c r="H15" s="21">
        <f>(Inputs!$D$12*Inputs!$I$12*BAC_ARC_Daily!B15+Inputs!$D$13*Inputs!$I$13*BAC_ARC_Daily!I15+Inputs!$D$14*Inputs!$I$14*BAC_ARC_Daily!P15+Inputs!$D$15*Inputs!$I$15*BAC_ARC_Daily!W15+Inputs!$D$16*Inputs!$I$16*BAC_ARC_Daily!AD15)/(Inputs!$D$12*Inputs!$I$12+Inputs!$D$13*Inputs!$I$13+Inputs!$D$14*Inputs!$I$14+Inputs!$D$15*Inputs!$I$15+Inputs!$D$16*Inputs!$I$16)</f>
        <v>1088638.9649904352</v>
      </c>
      <c r="I15" s="21">
        <f>(Inputs!$D$12*Inputs!$I$12*BAC_ARC_Daily!C15+Inputs!$D$13*Inputs!$I$13*BAC_ARC_Daily!J15+Inputs!$D$14*Inputs!$I$14*BAC_ARC_Daily!Q15+Inputs!$D$15*Inputs!$I$15*BAC_ARC_Daily!X15+Inputs!$D$16*Inputs!$I$16*BAC_ARC_Daily!AE15)/(Inputs!$D$12*Inputs!$I$12+Inputs!$D$13*Inputs!$I$13+Inputs!$D$14*Inputs!$I$14+Inputs!$D$15*Inputs!$I$15+Inputs!$D$16*Inputs!$I$16)</f>
        <v>10394354.735973837</v>
      </c>
    </row>
    <row r="16" spans="1:9" ht="18" customHeight="1" x14ac:dyDescent="0.25">
      <c r="A16" s="20">
        <v>11</v>
      </c>
      <c r="B16" s="21">
        <f>(Inputs!$D$12*Inputs!$I$12*Chemistry_Daily!B16+Inputs!$D$13*Inputs!$I$13*Chemistry_Daily!K16+Inputs!$D$14*Inputs!$I$14*Chemistry_Daily!T16+Inputs!$D$15*Inputs!$I$15*Chemistry_Daily!AC16+Inputs!$D$16*Inputs!$I$16*Chemistry_Daily!AL16)/(Inputs!$D$12*Inputs!$I$12+Inputs!$D$13*Inputs!$I$13+Inputs!$D$14*Inputs!$I$14+Inputs!$D$15*Inputs!$I$15+Inputs!$D$16*Inputs!$I$16)</f>
        <v>6.8843611925614248E-6</v>
      </c>
      <c r="C16" s="22">
        <f t="shared" si="0"/>
        <v>5.1621363521996093</v>
      </c>
      <c r="D16" s="8">
        <f>(Inputs!$D$12*Inputs!$I$12*Chemistry_Daily!D16+Inputs!$D$13*Inputs!$I$13*Chemistry_Daily!M16+Inputs!$D$14*Inputs!$I$14*Chemistry_Daily!V16+Inputs!$D$15*Inputs!$I$15*Chemistry_Daily!AE16+Inputs!$D$16*Inputs!$I$16*Chemistry_Daily!AN16)/(Inputs!$D$12*Inputs!$I$12+Inputs!$D$13*Inputs!$I$13+Inputs!$D$14*Inputs!$I$14+Inputs!$D$15*Inputs!$I$15+Inputs!$D$16*Inputs!$I$16)</f>
        <v>1.9897879583797542</v>
      </c>
      <c r="E16" s="8">
        <f>(Inputs!$D$12*Inputs!$I$12*Chemistry_Daily!E16+Inputs!$D$13*Inputs!$I$13*Chemistry_Daily!N16+Inputs!$D$14*Inputs!$I$14*Chemistry_Daily!W16+Inputs!$D$15*Inputs!$I$15*Chemistry_Daily!AF16+Inputs!$D$16*Inputs!$I$16*Chemistry_Daily!AO16)/(Inputs!$D$12*Inputs!$I$12+Inputs!$D$13*Inputs!$I$13+Inputs!$D$14*Inputs!$I$14+Inputs!$D$15*Inputs!$I$15+Inputs!$D$16*Inputs!$I$16)</f>
        <v>1.0119255183597213</v>
      </c>
      <c r="F16" s="8">
        <f>(Inputs!$D$12*Inputs!$I$12*Chemistry_Daily!F16+Inputs!$D$13*Inputs!$I$13*Chemistry_Daily!O16+Inputs!$D$14*Inputs!$I$14*Chemistry_Daily!X16+Inputs!$D$15*Inputs!$I$15*Chemistry_Daily!AG16+Inputs!$D$16*Inputs!$I$16*Chemistry_Daily!AP16)/(Inputs!$D$12*Inputs!$I$12+Inputs!$D$13*Inputs!$I$13+Inputs!$D$14*Inputs!$I$14+Inputs!$D$15*Inputs!$I$15+Inputs!$D$16*Inputs!$I$16)</f>
        <v>39.405412242899551</v>
      </c>
      <c r="G16" s="8">
        <f>(Inputs!$D$12*Inputs!$I$12*Chemistry_Daily!G16+Inputs!$D$13*Inputs!$I$13*Chemistry_Daily!P16+Inputs!$D$14*Inputs!$I$14*Chemistry_Daily!Y16+Inputs!$D$15*Inputs!$I$15*Chemistry_Daily!AH16+Inputs!$D$16*Inputs!$I$16*Chemistry_Daily!AQ16)/(Inputs!$D$12*Inputs!$I$12+Inputs!$D$13*Inputs!$I$13+Inputs!$D$14*Inputs!$I$14+Inputs!$D$15*Inputs!$I$15+Inputs!$D$16*Inputs!$I$16)</f>
        <v>25.880090219620904</v>
      </c>
      <c r="H16" s="21">
        <f>(Inputs!$D$12*Inputs!$I$12*BAC_ARC_Daily!B16+Inputs!$D$13*Inputs!$I$13*BAC_ARC_Daily!I16+Inputs!$D$14*Inputs!$I$14*BAC_ARC_Daily!P16+Inputs!$D$15*Inputs!$I$15*BAC_ARC_Daily!W16+Inputs!$D$16*Inputs!$I$16*BAC_ARC_Daily!AD16)/(Inputs!$D$12*Inputs!$I$12+Inputs!$D$13*Inputs!$I$13+Inputs!$D$14*Inputs!$I$14+Inputs!$D$15*Inputs!$I$15+Inputs!$D$16*Inputs!$I$16)</f>
        <v>1065689.5834488771</v>
      </c>
      <c r="I16" s="21">
        <f>(Inputs!$D$12*Inputs!$I$12*BAC_ARC_Daily!C16+Inputs!$D$13*Inputs!$I$13*BAC_ARC_Daily!J16+Inputs!$D$14*Inputs!$I$14*BAC_ARC_Daily!Q16+Inputs!$D$15*Inputs!$I$15*BAC_ARC_Daily!X16+Inputs!$D$16*Inputs!$I$16*BAC_ARC_Daily!AE16)/(Inputs!$D$12*Inputs!$I$12+Inputs!$D$13*Inputs!$I$13+Inputs!$D$14*Inputs!$I$14+Inputs!$D$15*Inputs!$I$15+Inputs!$D$16*Inputs!$I$16)</f>
        <v>10233783.905583406</v>
      </c>
    </row>
    <row r="17" spans="1:9" ht="18" customHeight="1" x14ac:dyDescent="0.25">
      <c r="A17" s="20">
        <v>12</v>
      </c>
      <c r="B17" s="21">
        <f>(Inputs!$D$12*Inputs!$I$12*Chemistry_Daily!B17+Inputs!$D$13*Inputs!$I$13*Chemistry_Daily!K17+Inputs!$D$14*Inputs!$I$14*Chemistry_Daily!T17+Inputs!$D$15*Inputs!$I$15*Chemistry_Daily!AC17+Inputs!$D$16*Inputs!$I$16*Chemistry_Daily!AL17)/(Inputs!$D$12*Inputs!$I$12+Inputs!$D$13*Inputs!$I$13+Inputs!$D$14*Inputs!$I$14+Inputs!$D$15*Inputs!$I$15+Inputs!$D$16*Inputs!$I$16)</f>
        <v>7.4126375458534493E-6</v>
      </c>
      <c r="C17" s="22">
        <f t="shared" si="0"/>
        <v>5.1300272349631353</v>
      </c>
      <c r="D17" s="8">
        <f>(Inputs!$D$12*Inputs!$I$12*Chemistry_Daily!D17+Inputs!$D$13*Inputs!$I$13*Chemistry_Daily!M17+Inputs!$D$14*Inputs!$I$14*Chemistry_Daily!V17+Inputs!$D$15*Inputs!$I$15*Chemistry_Daily!AE17+Inputs!$D$16*Inputs!$I$16*Chemistry_Daily!AN17)/(Inputs!$D$12*Inputs!$I$12+Inputs!$D$13*Inputs!$I$13+Inputs!$D$14*Inputs!$I$14+Inputs!$D$15*Inputs!$I$15+Inputs!$D$16*Inputs!$I$16)</f>
        <v>1.9623764031490454</v>
      </c>
      <c r="E17" s="8">
        <f>(Inputs!$D$12*Inputs!$I$12*Chemistry_Daily!E17+Inputs!$D$13*Inputs!$I$13*Chemistry_Daily!N17+Inputs!$D$14*Inputs!$I$14*Chemistry_Daily!W17+Inputs!$D$15*Inputs!$I$15*Chemistry_Daily!AF17+Inputs!$D$16*Inputs!$I$16*Chemistry_Daily!AO17)/(Inputs!$D$12*Inputs!$I$12+Inputs!$D$13*Inputs!$I$13+Inputs!$D$14*Inputs!$I$14+Inputs!$D$15*Inputs!$I$15+Inputs!$D$16*Inputs!$I$16)</f>
        <v>1.0716113358513919</v>
      </c>
      <c r="F17" s="8">
        <f>(Inputs!$D$12*Inputs!$I$12*Chemistry_Daily!F17+Inputs!$D$13*Inputs!$I$13*Chemistry_Daily!O17+Inputs!$D$14*Inputs!$I$14*Chemistry_Daily!X17+Inputs!$D$15*Inputs!$I$15*Chemistry_Daily!AG17+Inputs!$D$16*Inputs!$I$16*Chemistry_Daily!AP17)/(Inputs!$D$12*Inputs!$I$12+Inputs!$D$13*Inputs!$I$13+Inputs!$D$14*Inputs!$I$14+Inputs!$D$15*Inputs!$I$15+Inputs!$D$16*Inputs!$I$16)</f>
        <v>40.033581250661499</v>
      </c>
      <c r="G17" s="8">
        <f>(Inputs!$D$12*Inputs!$I$12*Chemistry_Daily!G17+Inputs!$D$13*Inputs!$I$13*Chemistry_Daily!P17+Inputs!$D$14*Inputs!$I$14*Chemistry_Daily!Y17+Inputs!$D$15*Inputs!$I$15*Chemistry_Daily!AH17+Inputs!$D$16*Inputs!$I$16*Chemistry_Daily!AQ17)/(Inputs!$D$12*Inputs!$I$12+Inputs!$D$13*Inputs!$I$13+Inputs!$D$14*Inputs!$I$14+Inputs!$D$15*Inputs!$I$15+Inputs!$D$16*Inputs!$I$16)</f>
        <v>26.094631601173987</v>
      </c>
      <c r="H17" s="21">
        <f>(Inputs!$D$12*Inputs!$I$12*BAC_ARC_Daily!B17+Inputs!$D$13*Inputs!$I$13*BAC_ARC_Daily!I17+Inputs!$D$14*Inputs!$I$14*BAC_ARC_Daily!P17+Inputs!$D$15*Inputs!$I$15*BAC_ARC_Daily!W17+Inputs!$D$16*Inputs!$I$16*BAC_ARC_Daily!AD17)/(Inputs!$D$12*Inputs!$I$12+Inputs!$D$13*Inputs!$I$13+Inputs!$D$14*Inputs!$I$14+Inputs!$D$15*Inputs!$I$15+Inputs!$D$16*Inputs!$I$16)</f>
        <v>1043254.5263303698</v>
      </c>
      <c r="I17" s="21">
        <f>(Inputs!$D$12*Inputs!$I$12*BAC_ARC_Daily!C17+Inputs!$D$13*Inputs!$I$13*BAC_ARC_Daily!J17+Inputs!$D$14*Inputs!$I$14*BAC_ARC_Daily!Q17+Inputs!$D$15*Inputs!$I$15*BAC_ARC_Daily!X17+Inputs!$D$16*Inputs!$I$16*BAC_ARC_Daily!AE17)/(Inputs!$D$12*Inputs!$I$12+Inputs!$D$13*Inputs!$I$13+Inputs!$D$14*Inputs!$I$14+Inputs!$D$15*Inputs!$I$15+Inputs!$D$16*Inputs!$I$16)</f>
        <v>10077230.601454014</v>
      </c>
    </row>
    <row r="18" spans="1:9" ht="18" customHeight="1" x14ac:dyDescent="0.25">
      <c r="A18" s="20">
        <v>13</v>
      </c>
      <c r="B18" s="21">
        <f>(Inputs!$D$12*Inputs!$I$12*Chemistry_Daily!B18+Inputs!$D$13*Inputs!$I$13*Chemistry_Daily!K18+Inputs!$D$14*Inputs!$I$14*Chemistry_Daily!T18+Inputs!$D$15*Inputs!$I$15*Chemistry_Daily!AC18+Inputs!$D$16*Inputs!$I$16*Chemistry_Daily!AL18)/(Inputs!$D$12*Inputs!$I$12+Inputs!$D$13*Inputs!$I$13+Inputs!$D$14*Inputs!$I$14+Inputs!$D$15*Inputs!$I$15+Inputs!$D$16*Inputs!$I$16)</f>
        <v>7.9287237005530295E-6</v>
      </c>
      <c r="C18" s="22">
        <f t="shared" si="0"/>
        <v>5.1007967161397918</v>
      </c>
      <c r="D18" s="8">
        <f>(Inputs!$D$12*Inputs!$I$12*Chemistry_Daily!D18+Inputs!$D$13*Inputs!$I$13*Chemistry_Daily!M18+Inputs!$D$14*Inputs!$I$14*Chemistry_Daily!V18+Inputs!$D$15*Inputs!$I$15*Chemistry_Daily!AE18+Inputs!$D$16*Inputs!$I$16*Chemistry_Daily!AN18)/(Inputs!$D$12*Inputs!$I$12+Inputs!$D$13*Inputs!$I$13+Inputs!$D$14*Inputs!$I$14+Inputs!$D$15*Inputs!$I$15+Inputs!$D$16*Inputs!$I$16)</f>
        <v>1.9356894230005726</v>
      </c>
      <c r="E18" s="8">
        <f>(Inputs!$D$12*Inputs!$I$12*Chemistry_Daily!E18+Inputs!$D$13*Inputs!$I$13*Chemistry_Daily!N18+Inputs!$D$14*Inputs!$I$14*Chemistry_Daily!W18+Inputs!$D$15*Inputs!$I$15*Chemistry_Daily!AF18+Inputs!$D$16*Inputs!$I$16*Chemistry_Daily!AO18)/(Inputs!$D$12*Inputs!$I$12+Inputs!$D$13*Inputs!$I$13+Inputs!$D$14*Inputs!$I$14+Inputs!$D$15*Inputs!$I$15+Inputs!$D$16*Inputs!$I$16)</f>
        <v>1.1299134665007946</v>
      </c>
      <c r="F18" s="8">
        <f>(Inputs!$D$12*Inputs!$I$12*Chemistry_Daily!F18+Inputs!$D$13*Inputs!$I$13*Chemistry_Daily!O18+Inputs!$D$14*Inputs!$I$14*Chemistry_Daily!X18+Inputs!$D$15*Inputs!$I$15*Chemistry_Daily!AG18+Inputs!$D$16*Inputs!$I$16*Chemistry_Daily!AP18)/(Inputs!$D$12*Inputs!$I$12+Inputs!$D$13*Inputs!$I$13+Inputs!$D$14*Inputs!$I$14+Inputs!$D$15*Inputs!$I$15+Inputs!$D$16*Inputs!$I$16)</f>
        <v>40.647179156426454</v>
      </c>
      <c r="G18" s="8">
        <f>(Inputs!$D$12*Inputs!$I$12*Chemistry_Daily!G18+Inputs!$D$13*Inputs!$I$13*Chemistry_Daily!P18+Inputs!$D$14*Inputs!$I$14*Chemistry_Daily!Y18+Inputs!$D$15*Inputs!$I$15*Chemistry_Daily!AH18+Inputs!$D$16*Inputs!$I$16*Chemistry_Daily!AQ18)/(Inputs!$D$12*Inputs!$I$12+Inputs!$D$13*Inputs!$I$13+Inputs!$D$14*Inputs!$I$14+Inputs!$D$15*Inputs!$I$15+Inputs!$D$16*Inputs!$I$16)</f>
        <v>26.303786634766631</v>
      </c>
      <c r="H18" s="21">
        <f>(Inputs!$D$12*Inputs!$I$12*BAC_ARC_Daily!B18+Inputs!$D$13*Inputs!$I$13*BAC_ARC_Daily!I18+Inputs!$D$14*Inputs!$I$14*BAC_ARC_Daily!P18+Inputs!$D$15*Inputs!$I$15*BAC_ARC_Daily!W18+Inputs!$D$16*Inputs!$I$16*BAC_ARC_Daily!AD18)/(Inputs!$D$12*Inputs!$I$12+Inputs!$D$13*Inputs!$I$13+Inputs!$D$14*Inputs!$I$14+Inputs!$D$15*Inputs!$I$15+Inputs!$D$16*Inputs!$I$16)</f>
        <v>1021321.4127298262</v>
      </c>
      <c r="I18" s="21">
        <f>(Inputs!$D$12*Inputs!$I$12*BAC_ARC_Daily!C18+Inputs!$D$13*Inputs!$I$13*BAC_ARC_Daily!J18+Inputs!$D$14*Inputs!$I$14*BAC_ARC_Daily!Q18+Inputs!$D$15*Inputs!$I$15*BAC_ARC_Daily!X18+Inputs!$D$16*Inputs!$I$16*BAC_ARC_Daily!AE18)/(Inputs!$D$12*Inputs!$I$12+Inputs!$D$13*Inputs!$I$13+Inputs!$D$14*Inputs!$I$14+Inputs!$D$15*Inputs!$I$15+Inputs!$D$16*Inputs!$I$16)</f>
        <v>9924579.243325714</v>
      </c>
    </row>
    <row r="19" spans="1:9" ht="18" customHeight="1" x14ac:dyDescent="0.25">
      <c r="A19" s="20">
        <v>14</v>
      </c>
      <c r="B19" s="21">
        <f>(Inputs!$D$12*Inputs!$I$12*Chemistry_Daily!B19+Inputs!$D$13*Inputs!$I$13*Chemistry_Daily!K19+Inputs!$D$14*Inputs!$I$14*Chemistry_Daily!T19+Inputs!$D$15*Inputs!$I$15*Chemistry_Daily!AC19+Inputs!$D$16*Inputs!$I$16*Chemistry_Daily!AL19)/(Inputs!$D$12*Inputs!$I$12+Inputs!$D$13*Inputs!$I$13+Inputs!$D$14*Inputs!$I$14+Inputs!$D$15*Inputs!$I$15+Inputs!$D$16*Inputs!$I$16)</f>
        <v>8.432928532974823E-6</v>
      </c>
      <c r="C19" s="22">
        <f t="shared" si="0"/>
        <v>5.0740215801977619</v>
      </c>
      <c r="D19" s="8">
        <f>(Inputs!$D$12*Inputs!$I$12*Chemistry_Daily!D19+Inputs!$D$13*Inputs!$I$13*Chemistry_Daily!M19+Inputs!$D$14*Inputs!$I$14*Chemistry_Daily!V19+Inputs!$D$15*Inputs!$I$15*Chemistry_Daily!AE19+Inputs!$D$16*Inputs!$I$16*Chemistry_Daily!AN19)/(Inputs!$D$12*Inputs!$I$12+Inputs!$D$13*Inputs!$I$13+Inputs!$D$14*Inputs!$I$14+Inputs!$D$15*Inputs!$I$15+Inputs!$D$16*Inputs!$I$16)</f>
        <v>1.9097046417568797</v>
      </c>
      <c r="E19" s="8">
        <f>(Inputs!$D$12*Inputs!$I$12*Chemistry_Daily!E19+Inputs!$D$13*Inputs!$I$13*Chemistry_Daily!N19+Inputs!$D$14*Inputs!$I$14*Chemistry_Daily!W19+Inputs!$D$15*Inputs!$I$15*Chemistry_Daily!AF19+Inputs!$D$16*Inputs!$I$16*Chemistry_Daily!AO19)/(Inputs!$D$12*Inputs!$I$12+Inputs!$D$13*Inputs!$I$13+Inputs!$D$14*Inputs!$I$14+Inputs!$D$15*Inputs!$I$15+Inputs!$D$16*Inputs!$I$16)</f>
        <v>1.1868672537030669</v>
      </c>
      <c r="F19" s="8">
        <f>(Inputs!$D$12*Inputs!$I$12*Chemistry_Daily!F19+Inputs!$D$13*Inputs!$I$13*Chemistry_Daily!O19+Inputs!$D$14*Inputs!$I$14*Chemistry_Daily!X19+Inputs!$D$15*Inputs!$I$15*Chemistry_Daily!AG19+Inputs!$D$16*Inputs!$I$16*Chemistry_Daily!AP19)/(Inputs!$D$12*Inputs!$I$12+Inputs!$D$13*Inputs!$I$13+Inputs!$D$14*Inputs!$I$14+Inputs!$D$15*Inputs!$I$15+Inputs!$D$16*Inputs!$I$16)</f>
        <v>41.246578684597957</v>
      </c>
      <c r="G19" s="8">
        <f>(Inputs!$D$12*Inputs!$I$12*Chemistry_Daily!G19+Inputs!$D$13*Inputs!$I$13*Chemistry_Daily!P19+Inputs!$D$14*Inputs!$I$14*Chemistry_Daily!Y19+Inputs!$D$15*Inputs!$I$15*Chemistry_Daily!AH19+Inputs!$D$16*Inputs!$I$16*Chemistry_Daily!AQ19)/(Inputs!$D$12*Inputs!$I$12+Inputs!$D$13*Inputs!$I$13+Inputs!$D$14*Inputs!$I$14+Inputs!$D$15*Inputs!$I$15+Inputs!$D$16*Inputs!$I$16)</f>
        <v>26.507710820755214</v>
      </c>
      <c r="H19" s="21">
        <f>(Inputs!$D$12*Inputs!$I$12*BAC_ARC_Daily!B19+Inputs!$D$13*Inputs!$I$13*BAC_ARC_Daily!I19+Inputs!$D$14*Inputs!$I$14*BAC_ARC_Daily!P19+Inputs!$D$15*Inputs!$I$15*BAC_ARC_Daily!W19+Inputs!$D$16*Inputs!$I$16*BAC_ARC_Daily!AD19)/(Inputs!$D$12*Inputs!$I$12+Inputs!$D$13*Inputs!$I$13+Inputs!$D$14*Inputs!$I$14+Inputs!$D$15*Inputs!$I$15+Inputs!$D$16*Inputs!$I$16)</f>
        <v>999878.19819147035</v>
      </c>
      <c r="I19" s="21">
        <f>(Inputs!$D$12*Inputs!$I$12*BAC_ARC_Daily!C19+Inputs!$D$13*Inputs!$I$13*BAC_ARC_Daily!J19+Inputs!$D$14*Inputs!$I$14*BAC_ARC_Daily!Q19+Inputs!$D$15*Inputs!$I$15*BAC_ARC_Daily!X19+Inputs!$D$16*Inputs!$I$16*BAC_ARC_Daily!AE19)/(Inputs!$D$12*Inputs!$I$12+Inputs!$D$13*Inputs!$I$13+Inputs!$D$14*Inputs!$I$14+Inputs!$D$15*Inputs!$I$15+Inputs!$D$16*Inputs!$I$16)</f>
        <v>9775718.1837753505</v>
      </c>
    </row>
    <row r="20" spans="1:9" ht="18" customHeight="1" x14ac:dyDescent="0.25">
      <c r="A20" s="20">
        <v>15</v>
      </c>
      <c r="B20" s="21">
        <f>(Inputs!$D$12*Inputs!$I$12*Chemistry_Daily!B20+Inputs!$D$13*Inputs!$I$13*Chemistry_Daily!K20+Inputs!$D$14*Inputs!$I$14*Chemistry_Daily!T20+Inputs!$D$15*Inputs!$I$15*Chemistry_Daily!AC20+Inputs!$D$16*Inputs!$I$16*Chemistry_Daily!AL20)/(Inputs!$D$12*Inputs!$I$12+Inputs!$D$13*Inputs!$I$13+Inputs!$D$14*Inputs!$I$14+Inputs!$D$15*Inputs!$I$15+Inputs!$D$16*Inputs!$I$16)</f>
        <v>8.9255518943368768E-6</v>
      </c>
      <c r="C20" s="22">
        <f t="shared" si="0"/>
        <v>5.049364920621402</v>
      </c>
      <c r="D20" s="8">
        <f>(Inputs!$D$12*Inputs!$I$12*Chemistry_Daily!D20+Inputs!$D$13*Inputs!$I$13*Chemistry_Daily!M20+Inputs!$D$14*Inputs!$I$14*Chemistry_Daily!V20+Inputs!$D$15*Inputs!$I$15*Chemistry_Daily!AE20+Inputs!$D$16*Inputs!$I$16*Chemistry_Daily!AN20)/(Inputs!$D$12*Inputs!$I$12+Inputs!$D$13*Inputs!$I$13+Inputs!$D$14*Inputs!$I$14+Inputs!$D$15*Inputs!$I$15+Inputs!$D$16*Inputs!$I$16)</f>
        <v>1.8844004970072901</v>
      </c>
      <c r="E20" s="8">
        <f>(Inputs!$D$12*Inputs!$I$12*Chemistry_Daily!E20+Inputs!$D$13*Inputs!$I$13*Chemistry_Daily!N20+Inputs!$D$14*Inputs!$I$14*Chemistry_Daily!W20+Inputs!$D$15*Inputs!$I$15*Chemistry_Daily!AF20+Inputs!$D$16*Inputs!$I$16*Chemistry_Daily!AO20)/(Inputs!$D$12*Inputs!$I$12+Inputs!$D$13*Inputs!$I$13+Inputs!$D$14*Inputs!$I$14+Inputs!$D$15*Inputs!$I$15+Inputs!$D$16*Inputs!$I$16)</f>
        <v>1.2425069967061779</v>
      </c>
      <c r="F20" s="8">
        <f>(Inputs!$D$12*Inputs!$I$12*Chemistry_Daily!F20+Inputs!$D$13*Inputs!$I$13*Chemistry_Daily!O20+Inputs!$D$14*Inputs!$I$14*Chemistry_Daily!X20+Inputs!$D$15*Inputs!$I$15*Chemistry_Daily!AG20+Inputs!$D$16*Inputs!$I$16*Chemistry_Daily!AP20)/(Inputs!$D$12*Inputs!$I$12+Inputs!$D$13*Inputs!$I$13+Inputs!$D$14*Inputs!$I$14+Inputs!$D$15*Inputs!$I$15+Inputs!$D$16*Inputs!$I$16)</f>
        <v>41.832141519473296</v>
      </c>
      <c r="G20" s="8">
        <f>(Inputs!$D$12*Inputs!$I$12*Chemistry_Daily!G20+Inputs!$D$13*Inputs!$I$13*Chemistry_Daily!P20+Inputs!$D$14*Inputs!$I$14*Chemistry_Daily!Y20+Inputs!$D$15*Inputs!$I$15*Chemistry_Daily!AH20+Inputs!$D$16*Inputs!$I$16*Chemistry_Daily!AQ20)/(Inputs!$D$12*Inputs!$I$12+Inputs!$D$13*Inputs!$I$13+Inputs!$D$14*Inputs!$I$14+Inputs!$D$15*Inputs!$I$15+Inputs!$D$16*Inputs!$I$16)</f>
        <v>26.706554358254397</v>
      </c>
      <c r="H20" s="21">
        <f>(Inputs!$D$12*Inputs!$I$12*BAC_ARC_Daily!B20+Inputs!$D$13*Inputs!$I$13*BAC_ARC_Daily!I20+Inputs!$D$14*Inputs!$I$14*BAC_ARC_Daily!P20+Inputs!$D$15*Inputs!$I$15*BAC_ARC_Daily!W20+Inputs!$D$16*Inputs!$I$16*BAC_ARC_Daily!AD20)/(Inputs!$D$12*Inputs!$I$12+Inputs!$D$13*Inputs!$I$13+Inputs!$D$14*Inputs!$I$14+Inputs!$D$15*Inputs!$I$15+Inputs!$D$16*Inputs!$I$16)</f>
        <v>978913.16395640292</v>
      </c>
      <c r="I20" s="21">
        <f>(Inputs!$D$12*Inputs!$I$12*BAC_ARC_Daily!C20+Inputs!$D$13*Inputs!$I$13*BAC_ARC_Daily!J20+Inputs!$D$14*Inputs!$I$14*BAC_ARC_Daily!Q20+Inputs!$D$15*Inputs!$I$15*BAC_ARC_Daily!X20+Inputs!$D$16*Inputs!$I$16*BAC_ARC_Daily!AE20)/(Inputs!$D$12*Inputs!$I$12+Inputs!$D$13*Inputs!$I$13+Inputs!$D$14*Inputs!$I$14+Inputs!$D$15*Inputs!$I$15+Inputs!$D$16*Inputs!$I$16)</f>
        <v>9630539.5530495178</v>
      </c>
    </row>
    <row r="21" spans="1:9" ht="18" customHeight="1" x14ac:dyDescent="0.25">
      <c r="A21" s="20">
        <v>16</v>
      </c>
      <c r="B21" s="21">
        <f>(Inputs!$D$12*Inputs!$I$12*Chemistry_Daily!B21+Inputs!$D$13*Inputs!$I$13*Chemistry_Daily!K21+Inputs!$D$14*Inputs!$I$14*Chemistry_Daily!T21+Inputs!$D$15*Inputs!$I$15*Chemistry_Daily!AC21+Inputs!$D$16*Inputs!$I$16*Chemistry_Daily!AL21)/(Inputs!$D$12*Inputs!$I$12+Inputs!$D$13*Inputs!$I$13+Inputs!$D$14*Inputs!$I$14+Inputs!$D$15*Inputs!$I$15+Inputs!$D$16*Inputs!$I$16)</f>
        <v>9.4068849219844627E-6</v>
      </c>
      <c r="C21" s="22">
        <f t="shared" si="0"/>
        <v>5.0265541688328135</v>
      </c>
      <c r="D21" s="8">
        <f>(Inputs!$D$12*Inputs!$I$12*Chemistry_Daily!D21+Inputs!$D$13*Inputs!$I$13*Chemistry_Daily!M21+Inputs!$D$14*Inputs!$I$14*Chemistry_Daily!V21+Inputs!$D$15*Inputs!$I$15*Chemistry_Daily!AE21+Inputs!$D$16*Inputs!$I$16*Chemistry_Daily!AN21)/(Inputs!$D$12*Inputs!$I$12+Inputs!$D$13*Inputs!$I$13+Inputs!$D$14*Inputs!$I$14+Inputs!$D$15*Inputs!$I$15+Inputs!$D$16*Inputs!$I$16)</f>
        <v>1.8597562065048707</v>
      </c>
      <c r="E21" s="8">
        <f>(Inputs!$D$12*Inputs!$I$12*Chemistry_Daily!E21+Inputs!$D$13*Inputs!$I$13*Chemistry_Daily!N21+Inputs!$D$14*Inputs!$I$14*Chemistry_Daily!W21+Inputs!$D$15*Inputs!$I$15*Chemistry_Daily!AF21+Inputs!$D$16*Inputs!$I$16*Chemistry_Daily!AO21)/(Inputs!$D$12*Inputs!$I$12+Inputs!$D$13*Inputs!$I$13+Inputs!$D$14*Inputs!$I$14+Inputs!$D$15*Inputs!$I$15+Inputs!$D$16*Inputs!$I$16)</f>
        <v>1.2968659870209058</v>
      </c>
      <c r="F21" s="8">
        <f>(Inputs!$D$12*Inputs!$I$12*Chemistry_Daily!F21+Inputs!$D$13*Inputs!$I$13*Chemistry_Daily!O21+Inputs!$D$14*Inputs!$I$14*Chemistry_Daily!X21+Inputs!$D$15*Inputs!$I$15*Chemistry_Daily!AG21+Inputs!$D$16*Inputs!$I$16*Chemistry_Daily!AP21)/(Inputs!$D$12*Inputs!$I$12+Inputs!$D$13*Inputs!$I$13+Inputs!$D$14*Inputs!$I$14+Inputs!$D$15*Inputs!$I$15+Inputs!$D$16*Inputs!$I$16)</f>
        <v>42.404218691532989</v>
      </c>
      <c r="G21" s="8">
        <f>(Inputs!$D$12*Inputs!$I$12*Chemistry_Daily!G21+Inputs!$D$13*Inputs!$I$13*Chemistry_Daily!P21+Inputs!$D$14*Inputs!$I$14*Chemistry_Daily!Y21+Inputs!$D$15*Inputs!$I$15*Chemistry_Daily!AH21+Inputs!$D$16*Inputs!$I$16*Chemistry_Daily!AQ21)/(Inputs!$D$12*Inputs!$I$12+Inputs!$D$13*Inputs!$I$13+Inputs!$D$14*Inputs!$I$14+Inputs!$D$15*Inputs!$I$15+Inputs!$D$16*Inputs!$I$16)</f>
        <v>26.900462354202503</v>
      </c>
      <c r="H21" s="21">
        <f>(Inputs!$D$12*Inputs!$I$12*BAC_ARC_Daily!B21+Inputs!$D$13*Inputs!$I$13*BAC_ARC_Daily!I21+Inputs!$D$14*Inputs!$I$14*BAC_ARC_Daily!P21+Inputs!$D$15*Inputs!$I$15*BAC_ARC_Daily!W21+Inputs!$D$16*Inputs!$I$16*BAC_ARC_Daily!AD21)/(Inputs!$D$12*Inputs!$I$12+Inputs!$D$13*Inputs!$I$13+Inputs!$D$14*Inputs!$I$14+Inputs!$D$15*Inputs!$I$15+Inputs!$D$16*Inputs!$I$16)</f>
        <v>958414.90661359078</v>
      </c>
      <c r="I21" s="21">
        <f>(Inputs!$D$12*Inputs!$I$12*BAC_ARC_Daily!C21+Inputs!$D$13*Inputs!$I$13*BAC_ARC_Daily!J21+Inputs!$D$14*Inputs!$I$14*BAC_ARC_Daily!Q21+Inputs!$D$15*Inputs!$I$15*BAC_ARC_Daily!X21+Inputs!$D$16*Inputs!$I$16*BAC_ARC_Daily!AE21)/(Inputs!$D$12*Inputs!$I$12+Inputs!$D$13*Inputs!$I$13+Inputs!$D$14*Inputs!$I$14+Inputs!$D$15*Inputs!$I$15+Inputs!$D$16*Inputs!$I$16)</f>
        <v>9488939.1106542051</v>
      </c>
    </row>
    <row r="22" spans="1:9" ht="18" customHeight="1" x14ac:dyDescent="0.25">
      <c r="A22" s="20">
        <v>17</v>
      </c>
      <c r="B22" s="21">
        <f>(Inputs!$D$12*Inputs!$I$12*Chemistry_Daily!B22+Inputs!$D$13*Inputs!$I$13*Chemistry_Daily!K22+Inputs!$D$14*Inputs!$I$14*Chemistry_Daily!T22+Inputs!$D$15*Inputs!$I$15*Chemistry_Daily!AC22+Inputs!$D$16*Inputs!$I$16*Chemistry_Daily!AL22)/(Inputs!$D$12*Inputs!$I$12+Inputs!$D$13*Inputs!$I$13+Inputs!$D$14*Inputs!$I$14+Inputs!$D$15*Inputs!$I$15+Inputs!$D$16*Inputs!$I$16)</f>
        <v>9.8772103382450365E-6</v>
      </c>
      <c r="C22" s="22">
        <f t="shared" si="0"/>
        <v>5.0053656976977825</v>
      </c>
      <c r="D22" s="8">
        <f>(Inputs!$D$12*Inputs!$I$12*Chemistry_Daily!D22+Inputs!$D$13*Inputs!$I$13*Chemistry_Daily!M22+Inputs!$D$14*Inputs!$I$14*Chemistry_Daily!V22+Inputs!$D$15*Inputs!$I$15*Chemistry_Daily!AE22+Inputs!$D$16*Inputs!$I$16*Chemistry_Daily!AN22)/(Inputs!$D$12*Inputs!$I$12+Inputs!$D$13*Inputs!$I$13+Inputs!$D$14*Inputs!$I$14+Inputs!$D$15*Inputs!$I$15+Inputs!$D$16*Inputs!$I$16)</f>
        <v>1.8357517360624334</v>
      </c>
      <c r="E22" s="8">
        <f>(Inputs!$D$12*Inputs!$I$12*Chemistry_Daily!E22+Inputs!$D$13*Inputs!$I$13*Chemistry_Daily!N22+Inputs!$D$14*Inputs!$I$14*Chemistry_Daily!W22+Inputs!$D$15*Inputs!$I$15*Chemistry_Daily!AF22+Inputs!$D$16*Inputs!$I$16*Chemistry_Daily!AO22)/(Inputs!$D$12*Inputs!$I$12+Inputs!$D$13*Inputs!$I$13+Inputs!$D$14*Inputs!$I$14+Inputs!$D$15*Inputs!$I$15+Inputs!$D$16*Inputs!$I$16)</f>
        <v>1.3499765433715787</v>
      </c>
      <c r="F22" s="8">
        <f>(Inputs!$D$12*Inputs!$I$12*Chemistry_Daily!F22+Inputs!$D$13*Inputs!$I$13*Chemistry_Daily!O22+Inputs!$D$14*Inputs!$I$14*Chemistry_Daily!X22+Inputs!$D$15*Inputs!$I$15*Chemistry_Daily!AG22+Inputs!$D$16*Inputs!$I$16*Chemistry_Daily!AP22)/(Inputs!$D$12*Inputs!$I$12+Inputs!$D$13*Inputs!$I$13+Inputs!$D$14*Inputs!$I$14+Inputs!$D$15*Inputs!$I$15+Inputs!$D$16*Inputs!$I$16)</f>
        <v>42.963150948195853</v>
      </c>
      <c r="G22" s="8">
        <f>(Inputs!$D$12*Inputs!$I$12*Chemistry_Daily!G22+Inputs!$D$13*Inputs!$I$13*Chemistry_Daily!P22+Inputs!$D$14*Inputs!$I$14*Chemistry_Daily!Y22+Inputs!$D$15*Inputs!$I$15*Chemistry_Daily!AH22+Inputs!$D$16*Inputs!$I$16*Chemistry_Daily!AQ22)/(Inputs!$D$12*Inputs!$I$12+Inputs!$D$13*Inputs!$I$13+Inputs!$D$14*Inputs!$I$14+Inputs!$D$15*Inputs!$I$15+Inputs!$D$16*Inputs!$I$16)</f>
        <v>27.089575023342491</v>
      </c>
      <c r="H22" s="21">
        <f>(Inputs!$D$12*Inputs!$I$12*BAC_ARC_Daily!B22+Inputs!$D$13*Inputs!$I$13*BAC_ARC_Daily!I22+Inputs!$D$14*Inputs!$I$14*BAC_ARC_Daily!P22+Inputs!$D$15*Inputs!$I$15*BAC_ARC_Daily!W22+Inputs!$D$16*Inputs!$I$16*BAC_ARC_Daily!AD22)/(Inputs!$D$12*Inputs!$I$12+Inputs!$D$13*Inputs!$I$13+Inputs!$D$14*Inputs!$I$14+Inputs!$D$15*Inputs!$I$15+Inputs!$D$16*Inputs!$I$16)</f>
        <v>938372.3281372505</v>
      </c>
      <c r="I22" s="21">
        <f>(Inputs!$D$12*Inputs!$I$12*BAC_ARC_Daily!C22+Inputs!$D$13*Inputs!$I$13*BAC_ARC_Daily!J22+Inputs!$D$14*Inputs!$I$14*BAC_ARC_Daily!Q22+Inputs!$D$15*Inputs!$I$15*BAC_ARC_Daily!X22+Inputs!$D$16*Inputs!$I$16*BAC_ARC_Daily!AE22)/(Inputs!$D$12*Inputs!$I$12+Inputs!$D$13*Inputs!$I$13+Inputs!$D$14*Inputs!$I$14+Inputs!$D$15*Inputs!$I$15+Inputs!$D$16*Inputs!$I$16)</f>
        <v>9350816.1033905912</v>
      </c>
    </row>
    <row r="23" spans="1:9" ht="18" customHeight="1" x14ac:dyDescent="0.25">
      <c r="A23" s="20">
        <v>18</v>
      </c>
      <c r="B23" s="21">
        <f>(Inputs!$D$12*Inputs!$I$12*Chemistry_Daily!B23+Inputs!$D$13*Inputs!$I$13*Chemistry_Daily!K23+Inputs!$D$14*Inputs!$I$14*Chemistry_Daily!T23+Inputs!$D$15*Inputs!$I$15*Chemistry_Daily!AC23+Inputs!$D$16*Inputs!$I$16*Chemistry_Daily!AL23)/(Inputs!$D$12*Inputs!$I$12+Inputs!$D$13*Inputs!$I$13+Inputs!$D$14*Inputs!$I$14+Inputs!$D$15*Inputs!$I$15+Inputs!$D$16*Inputs!$I$16)</f>
        <v>1.0336802737453789E-5</v>
      </c>
      <c r="C23" s="22">
        <f t="shared" si="0"/>
        <v>4.9856137715133224</v>
      </c>
      <c r="D23" s="8">
        <f>(Inputs!$D$12*Inputs!$I$12*Chemistry_Daily!D23+Inputs!$D$13*Inputs!$I$13*Chemistry_Daily!M23+Inputs!$D$14*Inputs!$I$14*Chemistry_Daily!V23+Inputs!$D$15*Inputs!$I$15*Chemistry_Daily!AE23+Inputs!$D$16*Inputs!$I$16*Chemistry_Daily!AN23)/(Inputs!$D$12*Inputs!$I$12+Inputs!$D$13*Inputs!$I$13+Inputs!$D$14*Inputs!$I$14+Inputs!$D$15*Inputs!$I$15+Inputs!$D$16*Inputs!$I$16)</f>
        <v>1.8123677688779587</v>
      </c>
      <c r="E23" s="8">
        <f>(Inputs!$D$12*Inputs!$I$12*Chemistry_Daily!E23+Inputs!$D$13*Inputs!$I$13*Chemistry_Daily!N23+Inputs!$D$14*Inputs!$I$14*Chemistry_Daily!W23+Inputs!$D$15*Inputs!$I$15*Chemistry_Daily!AF23+Inputs!$D$16*Inputs!$I$16*Chemistry_Daily!AO23)/(Inputs!$D$12*Inputs!$I$12+Inputs!$D$13*Inputs!$I$13+Inputs!$D$14*Inputs!$I$14+Inputs!$D$15*Inputs!$I$15+Inputs!$D$16*Inputs!$I$16)</f>
        <v>1.4018700452515511</v>
      </c>
      <c r="F23" s="8">
        <f>(Inputs!$D$12*Inputs!$I$12*Chemistry_Daily!F23+Inputs!$D$13*Inputs!$I$13*Chemistry_Daily!O23+Inputs!$D$14*Inputs!$I$14*Chemistry_Daily!X23+Inputs!$D$15*Inputs!$I$15*Chemistry_Daily!AG23+Inputs!$D$16*Inputs!$I$16*Chemistry_Daily!AP23)/(Inputs!$D$12*Inputs!$I$12+Inputs!$D$13*Inputs!$I$13+Inputs!$D$14*Inputs!$I$14+Inputs!$D$15*Inputs!$I$15+Inputs!$D$16*Inputs!$I$16)</f>
        <v>43.509269109722602</v>
      </c>
      <c r="G23" s="8">
        <f>(Inputs!$D$12*Inputs!$I$12*Chemistry_Daily!G23+Inputs!$D$13*Inputs!$I$13*Chemistry_Daily!P23+Inputs!$D$14*Inputs!$I$14*Chemistry_Daily!Y23+Inputs!$D$15*Inputs!$I$15*Chemistry_Daily!AH23+Inputs!$D$16*Inputs!$I$16*Chemistry_Daily!AQ23)/(Inputs!$D$12*Inputs!$I$12+Inputs!$D$13*Inputs!$I$13+Inputs!$D$14*Inputs!$I$14+Inputs!$D$15*Inputs!$I$15+Inputs!$D$16*Inputs!$I$16)</f>
        <v>27.274027879534948</v>
      </c>
      <c r="H23" s="21">
        <f>(Inputs!$D$12*Inputs!$I$12*BAC_ARC_Daily!B23+Inputs!$D$13*Inputs!$I$13*BAC_ARC_Daily!I23+Inputs!$D$14*Inputs!$I$14*BAC_ARC_Daily!P23+Inputs!$D$15*Inputs!$I$15*BAC_ARC_Daily!W23+Inputs!$D$16*Inputs!$I$16*BAC_ARC_Daily!AD23)/(Inputs!$D$12*Inputs!$I$12+Inputs!$D$13*Inputs!$I$13+Inputs!$D$14*Inputs!$I$14+Inputs!$D$15*Inputs!$I$15+Inputs!$D$16*Inputs!$I$16)</f>
        <v>918774.62629436597</v>
      </c>
      <c r="I23" s="21">
        <f>(Inputs!$D$12*Inputs!$I$12*BAC_ARC_Daily!C23+Inputs!$D$13*Inputs!$I$13*BAC_ARC_Daily!J23+Inputs!$D$14*Inputs!$I$14*BAC_ARC_Daily!Q23+Inputs!$D$15*Inputs!$I$15*BAC_ARC_Daily!X23+Inputs!$D$16*Inputs!$I$16*BAC_ARC_Daily!AE23)/(Inputs!$D$12*Inputs!$I$12+Inputs!$D$13*Inputs!$I$13+Inputs!$D$14*Inputs!$I$14+Inputs!$D$15*Inputs!$I$15+Inputs!$D$16*Inputs!$I$16)</f>
        <v>9216073.1295410991</v>
      </c>
    </row>
    <row r="24" spans="1:9" ht="18" customHeight="1" x14ac:dyDescent="0.25">
      <c r="A24" s="20">
        <v>19</v>
      </c>
      <c r="B24" s="21">
        <f>(Inputs!$D$12*Inputs!$I$12*Chemistry_Daily!B24+Inputs!$D$13*Inputs!$I$13*Chemistry_Daily!K24+Inputs!$D$14*Inputs!$I$14*Chemistry_Daily!T24+Inputs!$D$15*Inputs!$I$15*Chemistry_Daily!AC24+Inputs!$D$16*Inputs!$I$16*Chemistry_Daily!AL24)/(Inputs!$D$12*Inputs!$I$12+Inputs!$D$13*Inputs!$I$13+Inputs!$D$14*Inputs!$I$14+Inputs!$D$15*Inputs!$I$15+Inputs!$D$16*Inputs!$I$16)</f>
        <v>1.0785928861664489E-5</v>
      </c>
      <c r="C24" s="22">
        <f t="shared" si="0"/>
        <v>4.9671424484172659</v>
      </c>
      <c r="D24" s="8">
        <f>(Inputs!$D$12*Inputs!$I$12*Chemistry_Daily!D24+Inputs!$D$13*Inputs!$I$13*Chemistry_Daily!M24+Inputs!$D$14*Inputs!$I$14*Chemistry_Daily!V24+Inputs!$D$15*Inputs!$I$15*Chemistry_Daily!AE24+Inputs!$D$16*Inputs!$I$16*Chemistry_Daily!AN24)/(Inputs!$D$12*Inputs!$I$12+Inputs!$D$13*Inputs!$I$13+Inputs!$D$14*Inputs!$I$14+Inputs!$D$15*Inputs!$I$15+Inputs!$D$16*Inputs!$I$16)</f>
        <v>1.7895856762231177</v>
      </c>
      <c r="E24" s="8">
        <f>(Inputs!$D$12*Inputs!$I$12*Chemistry_Daily!E24+Inputs!$D$13*Inputs!$I$13*Chemistry_Daily!N24+Inputs!$D$14*Inputs!$I$14*Chemistry_Daily!W24+Inputs!$D$15*Inputs!$I$15*Chemistry_Daily!AF24+Inputs!$D$16*Inputs!$I$16*Chemistry_Daily!AO24)/(Inputs!$D$12*Inputs!$I$12+Inputs!$D$13*Inputs!$I$13+Inputs!$D$14*Inputs!$I$14+Inputs!$D$15*Inputs!$I$15+Inputs!$D$16*Inputs!$I$16)</f>
        <v>1.4525769651444449</v>
      </c>
      <c r="F24" s="8">
        <f>(Inputs!$D$12*Inputs!$I$12*Chemistry_Daily!F24+Inputs!$D$13*Inputs!$I$13*Chemistry_Daily!O24+Inputs!$D$14*Inputs!$I$14*Chemistry_Daily!X24+Inputs!$D$15*Inputs!$I$15*Chemistry_Daily!AG24+Inputs!$D$16*Inputs!$I$16*Chemistry_Daily!AP24)/(Inputs!$D$12*Inputs!$I$12+Inputs!$D$13*Inputs!$I$13+Inputs!$D$14*Inputs!$I$14+Inputs!$D$15*Inputs!$I$15+Inputs!$D$16*Inputs!$I$16)</f>
        <v>44.042894410919487</v>
      </c>
      <c r="G24" s="8">
        <f>(Inputs!$D$12*Inputs!$I$12*Chemistry_Daily!G24+Inputs!$D$13*Inputs!$I$13*Chemistry_Daily!P24+Inputs!$D$14*Inputs!$I$14*Chemistry_Daily!Y24+Inputs!$D$15*Inputs!$I$15*Chemistry_Daily!AH24+Inputs!$D$16*Inputs!$I$16*Chemistry_Daily!AQ24)/(Inputs!$D$12*Inputs!$I$12+Inputs!$D$13*Inputs!$I$13+Inputs!$D$14*Inputs!$I$14+Inputs!$D$15*Inputs!$I$15+Inputs!$D$16*Inputs!$I$16)</f>
        <v>27.453951918799806</v>
      </c>
      <c r="H24" s="21">
        <f>(Inputs!$D$12*Inputs!$I$12*BAC_ARC_Daily!B24+Inputs!$D$13*Inputs!$I$13*BAC_ARC_Daily!I24+Inputs!$D$14*Inputs!$I$14*BAC_ARC_Daily!P24+Inputs!$D$15*Inputs!$I$15*BAC_ARC_Daily!W24+Inputs!$D$16*Inputs!$I$16*BAC_ARC_Daily!AD24)/(Inputs!$D$12*Inputs!$I$12+Inputs!$D$13*Inputs!$I$13+Inputs!$D$14*Inputs!$I$14+Inputs!$D$15*Inputs!$I$15+Inputs!$D$16*Inputs!$I$16)</f>
        <v>899611.28540682397</v>
      </c>
      <c r="I24" s="21">
        <f>(Inputs!$D$12*Inputs!$I$12*BAC_ARC_Daily!C24+Inputs!$D$13*Inputs!$I$13*BAC_ARC_Daily!J24+Inputs!$D$14*Inputs!$I$14*BAC_ARC_Daily!Q24+Inputs!$D$15*Inputs!$I$15*BAC_ARC_Daily!X24+Inputs!$D$16*Inputs!$I$16*BAC_ARC_Daily!AE24)/(Inputs!$D$12*Inputs!$I$12+Inputs!$D$13*Inputs!$I$13+Inputs!$D$14*Inputs!$I$14+Inputs!$D$15*Inputs!$I$15+Inputs!$D$16*Inputs!$I$16)</f>
        <v>9084616.0089238137</v>
      </c>
    </row>
    <row r="25" spans="1:9" ht="18" customHeight="1" x14ac:dyDescent="0.25">
      <c r="A25" s="20">
        <v>20</v>
      </c>
      <c r="B25" s="21">
        <f>(Inputs!$D$12*Inputs!$I$12*Chemistry_Daily!B25+Inputs!$D$13*Inputs!$I$13*Chemistry_Daily!K25+Inputs!$D$14*Inputs!$I$14*Chemistry_Daily!T25+Inputs!$D$15*Inputs!$I$15*Chemistry_Daily!AC25+Inputs!$D$16*Inputs!$I$16*Chemistry_Daily!AL25)/(Inputs!$D$12*Inputs!$I$12+Inputs!$D$13*Inputs!$I$13+Inputs!$D$14*Inputs!$I$14+Inputs!$D$15*Inputs!$I$15+Inputs!$D$16*Inputs!$I$16)</f>
        <v>1.1224847865536809E-5</v>
      </c>
      <c r="C25" s="22">
        <f t="shared" si="0"/>
        <v>4.9498195364364976</v>
      </c>
      <c r="D25" s="8">
        <f>(Inputs!$D$12*Inputs!$I$12*Chemistry_Daily!D25+Inputs!$D$13*Inputs!$I$13*Chemistry_Daily!M25+Inputs!$D$14*Inputs!$I$14*Chemistry_Daily!V25+Inputs!$D$15*Inputs!$I$15*Chemistry_Daily!AE25+Inputs!$D$16*Inputs!$I$16*Chemistry_Daily!AN25)/(Inputs!$D$12*Inputs!$I$12+Inputs!$D$13*Inputs!$I$13+Inputs!$D$14*Inputs!$I$14+Inputs!$D$15*Inputs!$I$15+Inputs!$D$16*Inputs!$I$16)</f>
        <v>1.7673874894317179</v>
      </c>
      <c r="E25" s="8">
        <f>(Inputs!$D$12*Inputs!$I$12*Chemistry_Daily!E25+Inputs!$D$13*Inputs!$I$13*Chemistry_Daily!N25+Inputs!$D$14*Inputs!$I$14*Chemistry_Daily!W25+Inputs!$D$15*Inputs!$I$15*Chemistry_Daily!AF25+Inputs!$D$16*Inputs!$I$16*Chemistry_Daily!AO25)/(Inputs!$D$12*Inputs!$I$12+Inputs!$D$13*Inputs!$I$13+Inputs!$D$14*Inputs!$I$14+Inputs!$D$15*Inputs!$I$15+Inputs!$D$16*Inputs!$I$16)</f>
        <v>1.5021268994693857</v>
      </c>
      <c r="F25" s="8">
        <f>(Inputs!$D$12*Inputs!$I$12*Chemistry_Daily!F25+Inputs!$D$13*Inputs!$I$13*Chemistry_Daily!O25+Inputs!$D$14*Inputs!$I$14*Chemistry_Daily!X25+Inputs!$D$15*Inputs!$I$15*Chemistry_Daily!AG25+Inputs!$D$16*Inputs!$I$16*Chemistry_Daily!AP25)/(Inputs!$D$12*Inputs!$I$12+Inputs!$D$13*Inputs!$I$13+Inputs!$D$14*Inputs!$I$14+Inputs!$D$15*Inputs!$I$15+Inputs!$D$16*Inputs!$I$16)</f>
        <v>44.564338829263548</v>
      </c>
      <c r="G25" s="8">
        <f>(Inputs!$D$12*Inputs!$I$12*Chemistry_Daily!G25+Inputs!$D$13*Inputs!$I$13*Chemistry_Daily!P25+Inputs!$D$14*Inputs!$I$14*Chemistry_Daily!Y25+Inputs!$D$15*Inputs!$I$15*Chemistry_Daily!AH25+Inputs!$D$16*Inputs!$I$16*Chemistry_Daily!AQ25)/(Inputs!$D$12*Inputs!$I$12+Inputs!$D$13*Inputs!$I$13+Inputs!$D$14*Inputs!$I$14+Inputs!$D$15*Inputs!$I$15+Inputs!$D$16*Inputs!$I$16)</f>
        <v>27.629473794464833</v>
      </c>
      <c r="H25" s="21">
        <f>(Inputs!$D$12*Inputs!$I$12*BAC_ARC_Daily!B25+Inputs!$D$13*Inputs!$I$13*BAC_ARC_Daily!I25+Inputs!$D$14*Inputs!$I$14*BAC_ARC_Daily!P25+Inputs!$D$15*Inputs!$I$15*BAC_ARC_Daily!W25+Inputs!$D$16*Inputs!$I$16*BAC_ARC_Daily!AD25)/(Inputs!$D$12*Inputs!$I$12+Inputs!$D$13*Inputs!$I$13+Inputs!$D$14*Inputs!$I$14+Inputs!$D$15*Inputs!$I$15+Inputs!$D$16*Inputs!$I$16)</f>
        <v>880872.06745333341</v>
      </c>
      <c r="I25" s="21">
        <f>(Inputs!$D$12*Inputs!$I$12*BAC_ARC_Daily!C25+Inputs!$D$13*Inputs!$I$13*BAC_ARC_Daily!J25+Inputs!$D$14*Inputs!$I$14*BAC_ARC_Daily!Q25+Inputs!$D$15*Inputs!$I$15*BAC_ARC_Daily!X25+Inputs!$D$16*Inputs!$I$16*BAC_ARC_Daily!AE25)/(Inputs!$D$12*Inputs!$I$12+Inputs!$D$13*Inputs!$I$13+Inputs!$D$14*Inputs!$I$14+Inputs!$D$15*Inputs!$I$15+Inputs!$D$16*Inputs!$I$16)</f>
        <v>8956353.6585465837</v>
      </c>
    </row>
    <row r="26" spans="1:9" ht="18" customHeight="1" x14ac:dyDescent="0.25">
      <c r="A26" s="20">
        <v>21</v>
      </c>
      <c r="B26" s="21">
        <f>(Inputs!$D$12*Inputs!$I$12*Chemistry_Daily!B26+Inputs!$D$13*Inputs!$I$13*Chemistry_Daily!K26+Inputs!$D$14*Inputs!$I$14*Chemistry_Daily!T26+Inputs!$D$15*Inputs!$I$15*Chemistry_Daily!AC26+Inputs!$D$16*Inputs!$I$16*Chemistry_Daily!AL26)/(Inputs!$D$12*Inputs!$I$12+Inputs!$D$13*Inputs!$I$13+Inputs!$D$14*Inputs!$I$14+Inputs!$D$15*Inputs!$I$15+Inputs!$D$16*Inputs!$I$16)</f>
        <v>1.1653811570868707E-5</v>
      </c>
      <c r="C26" s="22">
        <f t="shared" si="0"/>
        <v>4.9335320082463427</v>
      </c>
      <c r="D26" s="8">
        <f>(Inputs!$D$12*Inputs!$I$12*Chemistry_Daily!D26+Inputs!$D$13*Inputs!$I$13*Chemistry_Daily!M26+Inputs!$D$14*Inputs!$I$14*Chemistry_Daily!V26+Inputs!$D$15*Inputs!$I$15*Chemistry_Daily!AE26+Inputs!$D$16*Inputs!$I$16*Chemistry_Daily!AN26)/(Inputs!$D$12*Inputs!$I$12+Inputs!$D$13*Inputs!$I$13+Inputs!$D$14*Inputs!$I$14+Inputs!$D$15*Inputs!$I$15+Inputs!$D$16*Inputs!$I$16)</f>
        <v>1.7457558731278737</v>
      </c>
      <c r="E26" s="8">
        <f>(Inputs!$D$12*Inputs!$I$12*Chemistry_Daily!E26+Inputs!$D$13*Inputs!$I$13*Chemistry_Daily!N26+Inputs!$D$14*Inputs!$I$14*Chemistry_Daily!W26+Inputs!$D$15*Inputs!$I$15*Chemistry_Daily!AF26+Inputs!$D$16*Inputs!$I$16*Chemistry_Daily!AO26)/(Inputs!$D$12*Inputs!$I$12+Inputs!$D$13*Inputs!$I$13+Inputs!$D$14*Inputs!$I$14+Inputs!$D$15*Inputs!$I$15+Inputs!$D$16*Inputs!$I$16)</f>
        <v>1.5505485983057776</v>
      </c>
      <c r="F26" s="8">
        <f>(Inputs!$D$12*Inputs!$I$12*Chemistry_Daily!F26+Inputs!$D$13*Inputs!$I$13*Chemistry_Daily!O26+Inputs!$D$14*Inputs!$I$14*Chemistry_Daily!X26+Inputs!$D$15*Inputs!$I$15*Chemistry_Daily!AG26+Inputs!$D$16*Inputs!$I$16*Chemistry_Daily!AP26)/(Inputs!$D$12*Inputs!$I$12+Inputs!$D$13*Inputs!$I$13+Inputs!$D$14*Inputs!$I$14+Inputs!$D$15*Inputs!$I$15+Inputs!$D$16*Inputs!$I$16)</f>
        <v>45.073905400042278</v>
      </c>
      <c r="G26" s="8">
        <f>(Inputs!$D$12*Inputs!$I$12*Chemistry_Daily!G26+Inputs!$D$13*Inputs!$I$13*Chemistry_Daily!P26+Inputs!$D$14*Inputs!$I$14*Chemistry_Daily!Y26+Inputs!$D$15*Inputs!$I$15*Chemistry_Daily!AH26+Inputs!$D$16*Inputs!$I$16*Chemistry_Daily!AQ26)/(Inputs!$D$12*Inputs!$I$12+Inputs!$D$13*Inputs!$I$13+Inputs!$D$14*Inputs!$I$14+Inputs!$D$15*Inputs!$I$15+Inputs!$D$16*Inputs!$I$16)</f>
        <v>27.800715984781249</v>
      </c>
      <c r="H26" s="21">
        <f>(Inputs!$D$12*Inputs!$I$12*BAC_ARC_Daily!B26+Inputs!$D$13*Inputs!$I$13*BAC_ARC_Daily!I26+Inputs!$D$14*Inputs!$I$14*BAC_ARC_Daily!P26+Inputs!$D$15*Inputs!$I$15*BAC_ARC_Daily!W26+Inputs!$D$16*Inputs!$I$16*BAC_ARC_Daily!AD26)/(Inputs!$D$12*Inputs!$I$12+Inputs!$D$13*Inputs!$I$13+Inputs!$D$14*Inputs!$I$14+Inputs!$D$15*Inputs!$I$15+Inputs!$D$16*Inputs!$I$16)</f>
        <v>862547.00349698134</v>
      </c>
      <c r="I26" s="21">
        <f>(Inputs!$D$12*Inputs!$I$12*BAC_ARC_Daily!C26+Inputs!$D$13*Inputs!$I$13*BAC_ARC_Daily!J26+Inputs!$D$14*Inputs!$I$14*BAC_ARC_Daily!Q26+Inputs!$D$15*Inputs!$I$15*BAC_ARC_Daily!X26+Inputs!$D$16*Inputs!$I$16*BAC_ARC_Daily!AE26)/(Inputs!$D$12*Inputs!$I$12+Inputs!$D$13*Inputs!$I$13+Inputs!$D$14*Inputs!$I$14+Inputs!$D$15*Inputs!$I$15+Inputs!$D$16*Inputs!$I$16)</f>
        <v>8831197.9736048952</v>
      </c>
    </row>
  </sheetData>
  <mergeCells count="2">
    <mergeCell ref="A1:I1"/>
    <mergeCell ref="A3:I3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26"/>
  <sheetViews>
    <sheetView showGridLines="0" zoomScale="85" zoomScaleNormal="85" workbookViewId="0">
      <selection sqref="A1:AR26"/>
    </sheetView>
  </sheetViews>
  <sheetFormatPr defaultRowHeight="15" x14ac:dyDescent="0.25"/>
  <cols>
    <col min="1" max="1" width="8" customWidth="1"/>
    <col min="2" max="2" width="14" hidden="1" customWidth="1"/>
    <col min="3" max="3" width="10" customWidth="1"/>
    <col min="4" max="8" width="12" customWidth="1"/>
    <col min="10" max="10" width="8" customWidth="1"/>
    <col min="11" max="11" width="14" hidden="1" customWidth="1"/>
    <col min="12" max="12" width="10" customWidth="1"/>
    <col min="13" max="17" width="12" customWidth="1"/>
    <col min="19" max="19" width="8" customWidth="1"/>
    <col min="20" max="20" width="14" hidden="1" customWidth="1"/>
    <col min="21" max="21" width="10" customWidth="1"/>
    <col min="22" max="26" width="12" customWidth="1"/>
    <col min="28" max="28" width="8" customWidth="1"/>
    <col min="29" max="29" width="14" hidden="1" customWidth="1"/>
    <col min="30" max="30" width="10" customWidth="1"/>
    <col min="31" max="35" width="12" customWidth="1"/>
    <col min="37" max="37" width="8" customWidth="1"/>
    <col min="38" max="38" width="14" hidden="1" customWidth="1"/>
    <col min="39" max="39" width="10" customWidth="1"/>
    <col min="40" max="44" width="12" customWidth="1"/>
  </cols>
  <sheetData>
    <row r="1" spans="1:44" ht="18" customHeight="1" x14ac:dyDescent="0.25">
      <c r="A1" s="31" t="s">
        <v>94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</row>
    <row r="2" spans="1:44" ht="18" customHeight="1" x14ac:dyDescent="0.25"/>
    <row r="3" spans="1:44" ht="18" customHeight="1" x14ac:dyDescent="0.25">
      <c r="A3" s="29" t="s">
        <v>49</v>
      </c>
      <c r="B3" s="30"/>
      <c r="C3" s="30"/>
      <c r="D3" s="30"/>
      <c r="E3" s="30"/>
      <c r="F3" s="30"/>
      <c r="G3" s="30"/>
      <c r="H3" s="30"/>
      <c r="J3" s="29" t="s">
        <v>51</v>
      </c>
      <c r="K3" s="30"/>
      <c r="L3" s="30"/>
      <c r="M3" s="30"/>
      <c r="N3" s="30"/>
      <c r="O3" s="30"/>
      <c r="P3" s="30"/>
      <c r="Q3" s="30"/>
      <c r="S3" s="29" t="s">
        <v>52</v>
      </c>
      <c r="T3" s="30"/>
      <c r="U3" s="30"/>
      <c r="V3" s="30"/>
      <c r="W3" s="30"/>
      <c r="X3" s="30"/>
      <c r="Y3" s="30"/>
      <c r="Z3" s="30"/>
      <c r="AB3" s="29" t="s">
        <v>54</v>
      </c>
      <c r="AC3" s="30"/>
      <c r="AD3" s="30"/>
      <c r="AE3" s="30"/>
      <c r="AF3" s="30"/>
      <c r="AG3" s="30"/>
      <c r="AH3" s="30"/>
      <c r="AI3" s="30"/>
      <c r="AK3" s="29" t="s">
        <v>56</v>
      </c>
      <c r="AL3" s="30"/>
      <c r="AM3" s="30"/>
      <c r="AN3" s="30"/>
      <c r="AO3" s="30"/>
      <c r="AP3" s="30"/>
      <c r="AQ3" s="30"/>
      <c r="AR3" s="30"/>
    </row>
    <row r="4" spans="1:44" ht="18" customHeight="1" x14ac:dyDescent="0.25">
      <c r="A4" s="10" t="s">
        <v>92</v>
      </c>
      <c r="B4" s="10" t="s">
        <v>93</v>
      </c>
      <c r="C4" s="10" t="s">
        <v>62</v>
      </c>
      <c r="D4" s="10" t="s">
        <v>65</v>
      </c>
      <c r="E4" s="10" t="s">
        <v>68</v>
      </c>
      <c r="F4" s="10" t="s">
        <v>71</v>
      </c>
      <c r="G4" s="10" t="s">
        <v>73</v>
      </c>
      <c r="H4" s="10" t="s">
        <v>95</v>
      </c>
      <c r="J4" s="10" t="s">
        <v>92</v>
      </c>
      <c r="K4" s="10" t="s">
        <v>93</v>
      </c>
      <c r="L4" s="10" t="s">
        <v>62</v>
      </c>
      <c r="M4" s="10" t="s">
        <v>65</v>
      </c>
      <c r="N4" s="10" t="s">
        <v>68</v>
      </c>
      <c r="O4" s="10" t="s">
        <v>71</v>
      </c>
      <c r="P4" s="10" t="s">
        <v>73</v>
      </c>
      <c r="Q4" s="10" t="s">
        <v>95</v>
      </c>
      <c r="S4" s="10" t="s">
        <v>92</v>
      </c>
      <c r="T4" s="10" t="s">
        <v>93</v>
      </c>
      <c r="U4" s="10" t="s">
        <v>62</v>
      </c>
      <c r="V4" s="10" t="s">
        <v>65</v>
      </c>
      <c r="W4" s="10" t="s">
        <v>68</v>
      </c>
      <c r="X4" s="10" t="s">
        <v>71</v>
      </c>
      <c r="Y4" s="10" t="s">
        <v>73</v>
      </c>
      <c r="Z4" s="10" t="s">
        <v>95</v>
      </c>
      <c r="AB4" s="10" t="s">
        <v>92</v>
      </c>
      <c r="AC4" s="10" t="s">
        <v>93</v>
      </c>
      <c r="AD4" s="10" t="s">
        <v>62</v>
      </c>
      <c r="AE4" s="10" t="s">
        <v>65</v>
      </c>
      <c r="AF4" s="10" t="s">
        <v>68</v>
      </c>
      <c r="AG4" s="10" t="s">
        <v>71</v>
      </c>
      <c r="AH4" s="10" t="s">
        <v>73</v>
      </c>
      <c r="AI4" s="10" t="s">
        <v>95</v>
      </c>
      <c r="AK4" s="10" t="s">
        <v>92</v>
      </c>
      <c r="AL4" s="10" t="s">
        <v>93</v>
      </c>
      <c r="AM4" s="10" t="s">
        <v>62</v>
      </c>
      <c r="AN4" s="10" t="s">
        <v>65</v>
      </c>
      <c r="AO4" s="10" t="s">
        <v>68</v>
      </c>
      <c r="AP4" s="10" t="s">
        <v>71</v>
      </c>
      <c r="AQ4" s="10" t="s">
        <v>73</v>
      </c>
      <c r="AR4" s="10" t="s">
        <v>95</v>
      </c>
    </row>
    <row r="5" spans="1:44" ht="18" customHeight="1" x14ac:dyDescent="0.25">
      <c r="A5" s="20">
        <v>0</v>
      </c>
      <c r="B5" s="21">
        <f>IF(Inputs!$B$35="", "", 10^(-Inputs!$B$35))</f>
        <v>6.3095734448019177E-8</v>
      </c>
      <c r="C5" s="22">
        <f>IF(Inputs!$B$35="", "", Inputs!$B$35)</f>
        <v>7.2</v>
      </c>
      <c r="D5" s="8">
        <f>IF(Inputs!$C$35="", "", Inputs!$C$35)</f>
        <v>3.5</v>
      </c>
      <c r="E5" s="8">
        <f>IF(Inputs!$D$35="", "", Inputs!$D$35)</f>
        <v>0.09</v>
      </c>
      <c r="F5" s="8">
        <f>IF(Inputs!$E$35="", "", Inputs!$E$35)</f>
        <v>25.6</v>
      </c>
      <c r="G5" s="8">
        <f>IF(Inputs!$F$35="", "", Inputs!$F$35)</f>
        <v>18.100000000000001</v>
      </c>
      <c r="H5" s="23">
        <f t="shared" ref="H5:H26" si="0">IF(D5&lt;&gt;0,E5/D5,"")</f>
        <v>2.5714285714285714E-2</v>
      </c>
      <c r="J5" s="20">
        <v>0</v>
      </c>
      <c r="K5" s="21">
        <f>IF(Inputs!$B$36="", "", 10^(-Inputs!$B$36))</f>
        <v>6.3095734448019177E-8</v>
      </c>
      <c r="L5" s="22">
        <f>IF(Inputs!$B$36="", "", Inputs!$B$36)</f>
        <v>7.2</v>
      </c>
      <c r="M5" s="8">
        <f>IF(Inputs!$C$36="", "", Inputs!$C$36)</f>
        <v>3.5</v>
      </c>
      <c r="N5" s="8">
        <f>IF(Inputs!$D$36="", "", Inputs!$D$36)</f>
        <v>9.0999999999999998E-2</v>
      </c>
      <c r="O5" s="8">
        <f>IF(Inputs!$E$36="", "", Inputs!$E$36)</f>
        <v>24.6</v>
      </c>
      <c r="P5" s="8">
        <f>IF(Inputs!$F$36="", "", Inputs!$F$36)</f>
        <v>17.899999999999999</v>
      </c>
      <c r="Q5" s="23">
        <f t="shared" ref="Q5:Q26" si="1">IF(M5&lt;&gt;0,N5/M5,"")</f>
        <v>2.5999999999999999E-2</v>
      </c>
      <c r="S5" s="20">
        <v>0</v>
      </c>
      <c r="T5" s="21">
        <f>IF(Inputs!$B$37="", "", 10^(-Inputs!$B$37))</f>
        <v>6.3095734448019177E-8</v>
      </c>
      <c r="U5" s="22">
        <f>IF(Inputs!$B$37="", "", Inputs!$B$37)</f>
        <v>7.2</v>
      </c>
      <c r="V5" s="8">
        <f>IF(Inputs!$C$37="", "", Inputs!$C$37)</f>
        <v>3.8</v>
      </c>
      <c r="W5" s="8">
        <f>IF(Inputs!$D$37="", "", Inputs!$D$37)</f>
        <v>9.1899999999999996E-2</v>
      </c>
      <c r="X5" s="8">
        <f>IF(Inputs!$E$37="", "", Inputs!$E$37)</f>
        <v>24</v>
      </c>
      <c r="Y5" s="8">
        <f>IF(Inputs!$F$37="", "", Inputs!$F$37)</f>
        <v>17.5</v>
      </c>
      <c r="Z5" s="23">
        <f t="shared" ref="Z5:Z26" si="2">IF(V5&lt;&gt;0,W5/V5,"")</f>
        <v>2.4184210526315791E-2</v>
      </c>
      <c r="AB5" s="20">
        <v>0</v>
      </c>
      <c r="AC5" s="21">
        <f>IF(Inputs!$B$38="", "", 10^(-Inputs!$B$38))</f>
        <v>3.1622776601683734E-7</v>
      </c>
      <c r="AD5" s="22">
        <f>IF(Inputs!$B$38="", "", Inputs!$B$38)</f>
        <v>6.5</v>
      </c>
      <c r="AE5" s="8">
        <f>IF(Inputs!$C$38="", "", Inputs!$C$38)</f>
        <v>0.71299999999999997</v>
      </c>
      <c r="AF5" s="8">
        <f>IF(Inputs!$D$38="", "", Inputs!$D$38)</f>
        <v>0.51300000000000001</v>
      </c>
      <c r="AG5" s="8">
        <f>IF(Inputs!$E$38="", "", Inputs!$E$38)</f>
        <v>40.5</v>
      </c>
      <c r="AH5" s="8">
        <f>IF(Inputs!$F$38="", "", Inputs!$F$38)</f>
        <v>30.5</v>
      </c>
      <c r="AI5" s="23">
        <f t="shared" ref="AI5:AI26" si="3">IF(AE5&lt;&gt;0,AF5/AE5,"")</f>
        <v>0.71949509116409538</v>
      </c>
      <c r="AK5" s="20">
        <v>0</v>
      </c>
      <c r="AL5" s="21">
        <f>IF(Inputs!$B$39="", "", 10^(-Inputs!$B$39))</f>
        <v>3.1622776601683734E-7</v>
      </c>
      <c r="AM5" s="22">
        <f>IF(Inputs!$B$39="", "", Inputs!$B$39)</f>
        <v>6.5</v>
      </c>
      <c r="AN5" s="8">
        <f>IF(Inputs!$C$39="", "", Inputs!$C$39)</f>
        <v>0.626</v>
      </c>
      <c r="AO5" s="8">
        <f>IF(Inputs!$D$39="", "", Inputs!$D$39)</f>
        <v>0.433</v>
      </c>
      <c r="AP5" s="8">
        <f>IF(Inputs!$E$39="", "", Inputs!$E$39)</f>
        <v>40.299999999999997</v>
      </c>
      <c r="AQ5" s="8">
        <f>IF(Inputs!$F$39="", "", Inputs!$F$39)</f>
        <v>30</v>
      </c>
      <c r="AR5" s="23">
        <f t="shared" ref="AR5:AR26" si="4">IF(AN5&lt;&gt;0,AO5/AN5,"")</f>
        <v>0.69169329073482433</v>
      </c>
    </row>
    <row r="6" spans="1:44" ht="18" customHeight="1" x14ac:dyDescent="0.25">
      <c r="A6" s="20">
        <v>1</v>
      </c>
      <c r="B6" s="21">
        <f>IF(B5="","",B5+Inputs!$B$5/Inputs!$B$12*(Inputs!$C$12*(IF(Inputs!$C$23&gt;0,10^(-Inputs!$C$23),0)-B5)+Inputs!$D$12*(Reservoir!$B$5-B5)+Inputs!$E$12*(IF(Inputs!$D$23&gt;0,10^(-Inputs!$D$23),0)-B5)))</f>
        <v>1.1486686949960864E-6</v>
      </c>
      <c r="C6" s="22">
        <f t="shared" ref="C6:C26" si="5">IF(B6&gt;0,-LOG10(B6),"")</f>
        <v>5.9398052147259088</v>
      </c>
      <c r="D6" s="8">
        <f>IF(D5="","",D5+Inputs!$B$5/Inputs!$B$12*(Inputs!$C$12*(Inputs!$C$24-D5)+Inputs!$D$12*(Reservoir!$D$5-D5)+Inputs!$E$12*(Inputs!$D$24-D5)))</f>
        <v>3.3997290297026428</v>
      </c>
      <c r="E6" s="8">
        <f>IF(E5="","",E5+Inputs!$B$5/Inputs!$B$12*(Inputs!$C$12*(Inputs!$C$25-E5)+Inputs!$D$12*(Reservoir!$E$5-E5)+Inputs!$E$12*(Inputs!$D$25-E5)))</f>
        <v>0.21596559651043562</v>
      </c>
      <c r="F6" s="8">
        <f>IF(F5="","",F5+Inputs!$B$5/Inputs!$B$12*(Inputs!$C$12*(Inputs!$C$26-F5)+Inputs!$D$12*(Reservoir!$F$5-F5)+Inputs!$E$12*(Inputs!$D$26-F5)))</f>
        <v>26.91468981245659</v>
      </c>
      <c r="G6" s="8">
        <f>IF(G5="","",G5+Inputs!$B$5/Inputs!$B$12*(Inputs!$C$12*(Inputs!$C$27-G5)+Inputs!$D$12*(Reservoir!$G$5-G5)+Inputs!$E$12*(Inputs!$D$27-G5)))</f>
        <v>18.744084123308969</v>
      </c>
      <c r="H6" s="23">
        <f t="shared" si="0"/>
        <v>6.352435580118132E-2</v>
      </c>
      <c r="J6" s="20">
        <v>1</v>
      </c>
      <c r="K6" s="21">
        <f>IF(K5="","",K5+Inputs!$B$5/Inputs!$B$13*(Inputs!$C$13*(IF(Inputs!$C$23&gt;0,10^(-Inputs!$C$23),0)-K5)+Inputs!$D$13*(Reservoir!$B$5-K5)+Inputs!$E$13*(IF(Inputs!$D$23&gt;0,10^(-Inputs!$D$23),0)-K5)))</f>
        <v>1.1486686949960864E-6</v>
      </c>
      <c r="L6" s="22">
        <f t="shared" ref="L6:L26" si="6">IF(K6&gt;0,-LOG10(K6),"")</f>
        <v>5.9398052147259088</v>
      </c>
      <c r="M6" s="8">
        <f>IF(M5="","",M5+Inputs!$B$5/Inputs!$B$13*(Inputs!$C$13*(Inputs!$C$24-M5)+Inputs!$D$13*(Reservoir!$D$5-M5)+Inputs!$E$13*(Inputs!$D$24-M5)))</f>
        <v>3.3997290297026428</v>
      </c>
      <c r="N6" s="8">
        <f>IF(N5="","",N5+Inputs!$B$5/Inputs!$B$13*(Inputs!$C$13*(Inputs!$C$25-N5)+Inputs!$D$13*(Reservoir!$E$5-N5)+Inputs!$E$13*(Inputs!$D$25-N5)))</f>
        <v>0.21691416793900706</v>
      </c>
      <c r="O6" s="8">
        <f>IF(O5="","",O5+Inputs!$B$5/Inputs!$B$13*(Inputs!$C$13*(Inputs!$C$26-O5)+Inputs!$D$13*(Reservoir!$F$5-O5)+Inputs!$E$13*(Inputs!$D$26-O5)))</f>
        <v>25.96611838388516</v>
      </c>
      <c r="P6" s="8">
        <f>IF(P5="","",P5+Inputs!$B$5/Inputs!$B$13*(Inputs!$C$13*(Inputs!$C$27-P5)+Inputs!$D$13*(Reservoir!$G$5-P5)+Inputs!$E$13*(Inputs!$D$27-P5)))</f>
        <v>18.554369837594681</v>
      </c>
      <c r="Q6" s="23">
        <f t="shared" si="1"/>
        <v>6.380336963442626E-2</v>
      </c>
      <c r="S6" s="20">
        <v>1</v>
      </c>
      <c r="T6" s="21">
        <f>IF(T5="","",T5+Inputs!$B$5/Inputs!$B$14*(Inputs!$C$14*(IF(Inputs!$C$23&gt;0,10^(-Inputs!$C$23),0)-T5)+Inputs!$D$14*(Reservoir!$B$5-T5)+Inputs!$E$14*(IF(Inputs!$D$23&gt;0,10^(-Inputs!$D$23),0)-T5)))</f>
        <v>1.5530375454259817E-6</v>
      </c>
      <c r="U6" s="22">
        <f t="shared" ref="U6:U26" si="7">IF(T6&gt;0,-LOG10(T6),"")</f>
        <v>5.8088180448675635</v>
      </c>
      <c r="V6" s="8">
        <f>IF(V5="","",V5+Inputs!$B$5/Inputs!$B$14*(Inputs!$C$14*(Inputs!$C$24-V5)+Inputs!$D$14*(Reservoir!$D$5-V5)+Inputs!$E$14*(Inputs!$D$24-V5)))</f>
        <v>3.6933752460657816</v>
      </c>
      <c r="W6" s="8">
        <f>IF(W5="","",W5+Inputs!$B$5/Inputs!$B$14*(Inputs!$C$14*(Inputs!$C$25-W5)+Inputs!$D$14*(Reservoir!$E$5-W5)+Inputs!$E$14*(Inputs!$D$25-W5)))</f>
        <v>0.25606730349672607</v>
      </c>
      <c r="X6" s="8">
        <f>IF(X5="","",X5+Inputs!$B$5/Inputs!$B$14*(Inputs!$C$14*(Inputs!$C$26-X5)+Inputs!$D$14*(Reservoir!$F$5-X5)+Inputs!$E$14*(Inputs!$D$26-X5)))</f>
        <v>25.432894579825305</v>
      </c>
      <c r="Y6" s="8">
        <f>IF(Y5="","",Y5+Inputs!$B$5/Inputs!$B$14*(Inputs!$C$14*(Inputs!$C$27-Y5)+Inputs!$D$14*(Reservoir!$G$5-Y5)+Inputs!$E$14*(Inputs!$D$27-Y5)))</f>
        <v>18.234552293119311</v>
      </c>
      <c r="Z6" s="23">
        <f t="shared" si="2"/>
        <v>6.9331515602020513E-2</v>
      </c>
      <c r="AB6" s="20">
        <v>1</v>
      </c>
      <c r="AC6" s="21">
        <f>IF(AC5="","",AC5+Inputs!$B$5/Inputs!$B$15*(Inputs!$C$15*(IF(Inputs!$C$23&gt;0,10^(-Inputs!$C$23),0)-AC5)+Inputs!$D$15*(Reservoir!$B$5-AC5)+Inputs!$E$15*(IF(Inputs!$D$23&gt;0,10^(-Inputs!$D$23),0)-AC5)))</f>
        <v>3.1241410711222361E-7</v>
      </c>
      <c r="AD6" s="22">
        <f t="shared" ref="AD6:AD26" si="8">IF(AC6&gt;0,-LOG10(AC6),"")</f>
        <v>6.5052693637106547</v>
      </c>
      <c r="AE6" s="8">
        <f>IF(AE5="","",AE5+Inputs!$B$5/Inputs!$B$15*(Inputs!$C$15*(Inputs!$C$24-AE5)+Inputs!$D$15*(Reservoir!$D$5-AE5)+Inputs!$E$15*(Inputs!$D$24-AE5)))</f>
        <v>0.76217188684549997</v>
      </c>
      <c r="AF6" s="8">
        <f>IF(AF5="","",AF5+Inputs!$B$5/Inputs!$B$15*(Inputs!$C$15*(Inputs!$C$25-AF5)+Inputs!$D$15*(Reservoir!$E$5-AF5)+Inputs!$E$15*(Inputs!$D$25-AF5)))</f>
        <v>0.50932273936757844</v>
      </c>
      <c r="AG6" s="8">
        <f>IF(AG5="","",AG5+Inputs!$B$5/Inputs!$B$15*(Inputs!$C$15*(Inputs!$C$26-AG5)+Inputs!$D$15*(Reservoir!$F$5-AG5)+Inputs!$E$15*(Inputs!$D$26-AG5)))</f>
        <v>40.566689812456588</v>
      </c>
      <c r="AH6" s="8">
        <f>IF(AH5="","",AH5+Inputs!$B$5/Inputs!$B$15*(Inputs!$C$15*(Inputs!$C$27-AH5)+Inputs!$D$15*(Reservoir!$G$5-AH5)+Inputs!$E$15*(Inputs!$D$27-AH5)))</f>
        <v>30.250084123308966</v>
      </c>
      <c r="AI6" s="23">
        <f t="shared" si="3"/>
        <v>0.66825180534482687</v>
      </c>
      <c r="AK6" s="20">
        <v>1</v>
      </c>
      <c r="AL6" s="21">
        <f>IF(AL5="","",AL5+Inputs!$B$5/Inputs!$B$16*(Inputs!$C$16*(IF(Inputs!$C$23&gt;0,10^(-Inputs!$C$23),0)-AL5)+Inputs!$D$16*(Reservoir!$B$5-AL5)+Inputs!$E$16*(IF(Inputs!$D$23&gt;0,10^(-Inputs!$D$23),0)-AL5)))</f>
        <v>3.1241410711222361E-7</v>
      </c>
      <c r="AM6" s="22">
        <f t="shared" ref="AM6:AM26" si="9">IF(AL6&gt;0,-LOG10(AL6),"")</f>
        <v>6.5052693637106547</v>
      </c>
      <c r="AN6" s="8">
        <f>IF(AN5="","",AN5+Inputs!$B$5/Inputs!$B$16*(Inputs!$C$16*(Inputs!$C$24-AN5)+Inputs!$D$16*(Reservoir!$D$5-AN5)+Inputs!$E$16*(Inputs!$D$24-AN5)))</f>
        <v>0.67890045827407142</v>
      </c>
      <c r="AO6" s="8">
        <f>IF(AO5="","",AO5+Inputs!$B$5/Inputs!$B$16*(Inputs!$C$16*(Inputs!$C$25-AO5)+Inputs!$D$16*(Reservoir!$E$5-AO5)+Inputs!$E$16*(Inputs!$D$25-AO5)))</f>
        <v>0.43275131079614992</v>
      </c>
      <c r="AP6" s="8">
        <f>IF(AP5="","",AP5+Inputs!$B$5/Inputs!$B$16*(Inputs!$C$16*(Inputs!$C$26-AP5)+Inputs!$D$16*(Reservoir!$F$5-AP5)+Inputs!$E$16*(Inputs!$D$26-AP5)))</f>
        <v>40.375261241028014</v>
      </c>
      <c r="AQ6" s="8">
        <f>IF(AQ5="","",AQ5+Inputs!$B$5/Inputs!$B$16*(Inputs!$C$16*(Inputs!$C$27-AQ5)+Inputs!$D$16*(Reservoir!$G$5-AQ5)+Inputs!$E$16*(Inputs!$D$27-AQ5)))</f>
        <v>29.771512694737538</v>
      </c>
      <c r="AR6" s="23">
        <f t="shared" si="4"/>
        <v>0.63742969314869524</v>
      </c>
    </row>
    <row r="7" spans="1:44" ht="18" customHeight="1" x14ac:dyDescent="0.25">
      <c r="A7" s="20">
        <v>2</v>
      </c>
      <c r="B7" s="21">
        <f>IF(B6="","",B6+Inputs!$B$5/Inputs!$B$12*(Inputs!$C$12*(IF(Inputs!$C$23&gt;0,10^(-Inputs!$C$23),0)-B6)+Inputs!$D$12*(Reservoir!$B$6-B6)+Inputs!$E$12*(IF(Inputs!$D$23&gt;0,10^(-Inputs!$D$23),0)-B6)))</f>
        <v>2.1963380609001335E-6</v>
      </c>
      <c r="C7" s="22">
        <f t="shared" si="5"/>
        <v>5.6583008123623078</v>
      </c>
      <c r="D7" s="8">
        <f>IF(D6="","",D6+Inputs!$B$5/Inputs!$B$12*(Inputs!$C$12*(Inputs!$C$24-D6)+Inputs!$D$12*(Reservoir!$D$6-D6)+Inputs!$E$12*(Inputs!$D$24-D6)))</f>
        <v>3.3036441622926143</v>
      </c>
      <c r="E7" s="8">
        <f>IF(E6="","",E6+Inputs!$B$5/Inputs!$B$12*(Inputs!$C$12*(Inputs!$C$25-E6)+Inputs!$D$12*(Reservoir!$E$6-E6)+Inputs!$E$12*(Inputs!$D$25-E6)))</f>
        <v>0.33748110082722227</v>
      </c>
      <c r="F7" s="8">
        <f>IF(F6="","",F6+Inputs!$B$5/Inputs!$B$12*(Inputs!$C$12*(Inputs!$C$26-F6)+Inputs!$D$12*(Reservoir!$F$6-F6)+Inputs!$E$12*(Inputs!$D$26-F6)))</f>
        <v>28.183116515140092</v>
      </c>
      <c r="G7" s="8">
        <f>IF(G6="","",G6+Inputs!$B$5/Inputs!$B$12*(Inputs!$C$12*(Inputs!$C$27-G6)+Inputs!$D$12*(Reservoir!$G$6-G6)+Inputs!$E$12*(Inputs!$D$27-G6)))</f>
        <v>19.362515828640525</v>
      </c>
      <c r="H7" s="23">
        <f t="shared" si="0"/>
        <v>0.10215419223389426</v>
      </c>
      <c r="J7" s="20">
        <v>2</v>
      </c>
      <c r="K7" s="21">
        <f>IF(K6="","",K6+Inputs!$B$5/Inputs!$B$13*(Inputs!$C$13*(IF(Inputs!$C$23&gt;0,10^(-Inputs!$C$23),0)-K6)+Inputs!$D$13*(Reservoir!$B$6-K6)+Inputs!$E$13*(IF(Inputs!$D$23&gt;0,10^(-Inputs!$D$23),0)-K6)))</f>
        <v>2.1963380609001335E-6</v>
      </c>
      <c r="L7" s="22">
        <f t="shared" si="6"/>
        <v>5.6583008123623078</v>
      </c>
      <c r="M7" s="8">
        <f>IF(M6="","",M6+Inputs!$B$5/Inputs!$B$13*(Inputs!$C$13*(Inputs!$C$24-M6)+Inputs!$D$13*(Reservoir!$D$6-M6)+Inputs!$E$13*(Inputs!$D$24-M6)))</f>
        <v>3.3036441622926143</v>
      </c>
      <c r="N7" s="8">
        <f>IF(N6="","",N6+Inputs!$B$5/Inputs!$B$13*(Inputs!$C$13*(Inputs!$C$25-N6)+Inputs!$D$13*(Reservoir!$E$6-N6)+Inputs!$E$13*(Inputs!$D$25-N6)))</f>
        <v>0.33838088858232435</v>
      </c>
      <c r="O7" s="8">
        <f>IF(O6="","",O6+Inputs!$B$5/Inputs!$B$13*(Inputs!$C$13*(Inputs!$C$26-O6)+Inputs!$D$13*(Reservoir!$F$6-O6)+Inputs!$E$13*(Inputs!$D$26-O6)))</f>
        <v>27.283328760038053</v>
      </c>
      <c r="P7" s="8">
        <f>IF(P6="","",P6+Inputs!$B$5/Inputs!$B$13*(Inputs!$C$13*(Inputs!$C$27-P6)+Inputs!$D$13*(Reservoir!$G$6-P6)+Inputs!$E$13*(Inputs!$D$27-P6)))</f>
        <v>19.182558277620114</v>
      </c>
      <c r="Q7" s="23">
        <f t="shared" si="1"/>
        <v>0.10242655442270748</v>
      </c>
      <c r="S7" s="20">
        <v>2</v>
      </c>
      <c r="T7" s="21">
        <f>IF(T6="","",T6+Inputs!$B$5/Inputs!$B$14*(Inputs!$C$14*(IF(Inputs!$C$23&gt;0,10^(-Inputs!$C$23),0)-T6)+Inputs!$D$14*(Reservoir!$B$6-T6)+Inputs!$E$14*(IF(Inputs!$D$23&gt;0,10^(-Inputs!$D$23),0)-T6)))</f>
        <v>2.9912612215783218E-6</v>
      </c>
      <c r="U7" s="22">
        <f t="shared" si="7"/>
        <v>5.5241456591397595</v>
      </c>
      <c r="V7" s="8">
        <f>IF(V6="","",V6+Inputs!$B$5/Inputs!$B$14*(Inputs!$C$14*(Inputs!$C$24-V6)+Inputs!$D$14*(Reservoir!$D$6-V6)+Inputs!$E$14*(Inputs!$D$24-V6)))</f>
        <v>3.5906837023095934</v>
      </c>
      <c r="W7" s="8">
        <f>IF(W6="","",W6+Inputs!$B$5/Inputs!$B$14*(Inputs!$C$14*(Inputs!$C$25-W6)+Inputs!$D$14*(Reservoir!$E$6-W6)+Inputs!$E$14*(Inputs!$D$25-W6)))</f>
        <v>0.41457552134259534</v>
      </c>
      <c r="X7" s="8">
        <f>IF(X6="","",X6+Inputs!$B$5/Inputs!$B$14*(Inputs!$C$14*(Inputs!$C$26-X6)+Inputs!$D$14*(Reservoir!$F$6-X6)+Inputs!$E$14*(Inputs!$D$26-X6)))</f>
        <v>26.819107359712522</v>
      </c>
      <c r="Y7" s="8">
        <f>IF(Y6="","",Y6+Inputs!$B$5/Inputs!$B$14*(Inputs!$C$14*(Inputs!$C$27-Y6)+Inputs!$D$14*(Reservoir!$G$6-Y6)+Inputs!$E$14*(Inputs!$D$27-Y6)))</f>
        <v>18.942591661728343</v>
      </c>
      <c r="Z7" s="23">
        <f t="shared" si="2"/>
        <v>0.11545865793635145</v>
      </c>
      <c r="AB7" s="20">
        <v>2</v>
      </c>
      <c r="AC7" s="21">
        <f>IF(AC6="","",AC6+Inputs!$B$5/Inputs!$B$15*(Inputs!$C$15*(IF(Inputs!$C$23&gt;0,10^(-Inputs!$C$23),0)-AC6)+Inputs!$D$15*(Reservoir!$B$6-AC6)+Inputs!$E$15*(IF(Inputs!$D$23&gt;0,10^(-Inputs!$D$23),0)-AC6)))</f>
        <v>3.2668976263054488E-7</v>
      </c>
      <c r="AD7" s="22">
        <f t="shared" si="8"/>
        <v>6.485864474654421</v>
      </c>
      <c r="AE7" s="8">
        <f>IF(AE6="","",AE6+Inputs!$B$5/Inputs!$B$15*(Inputs!$C$15*(Inputs!$C$24-AE6)+Inputs!$D$15*(Reservoir!$D$6-AE6)+Inputs!$E$15*(Inputs!$D$24-AE6)))</f>
        <v>0.80826571724108576</v>
      </c>
      <c r="AF7" s="8">
        <f>IF(AF6="","",AF6+Inputs!$B$5/Inputs!$B$15*(Inputs!$C$15*(Inputs!$C$25-AF6)+Inputs!$D$15*(Reservoir!$E$6-AF6)+Inputs!$E$15*(Inputs!$D$25-AF6)))</f>
        <v>0.50783121410343413</v>
      </c>
      <c r="AG7" s="8">
        <f>IF(AG6="","",AG6+Inputs!$B$5/Inputs!$B$15*(Inputs!$C$15*(Inputs!$C$26-AG6)+Inputs!$D$15*(Reservoir!$F$6-AG6)+Inputs!$E$15*(Inputs!$D$26-AG6)))</f>
        <v>40.65187099924686</v>
      </c>
      <c r="AH7" s="8">
        <f>IF(AH6="","",AH6+Inputs!$B$5/Inputs!$B$15*(Inputs!$C$15*(Inputs!$C$27-AH6)+Inputs!$D$15*(Reservoir!$G$6-AH6)+Inputs!$E$15*(Inputs!$D$27-AH6)))</f>
        <v>30.018350835411741</v>
      </c>
      <c r="AI7" s="23">
        <f t="shared" si="3"/>
        <v>0.62829735725629021</v>
      </c>
      <c r="AK7" s="20">
        <v>2</v>
      </c>
      <c r="AL7" s="21">
        <f>IF(AL6="","",AL6+Inputs!$B$5/Inputs!$B$16*(Inputs!$C$16*(IF(Inputs!$C$23&gt;0,10^(-Inputs!$C$23),0)-AL6)+Inputs!$D$16*(Reservoir!$B$6-AL6)+Inputs!$E$16*(IF(Inputs!$D$23&gt;0,10^(-Inputs!$D$23),0)-AL6)))</f>
        <v>3.2668976263054488E-7</v>
      </c>
      <c r="AM7" s="22">
        <f t="shared" si="9"/>
        <v>6.485864474654421</v>
      </c>
      <c r="AN7" s="8">
        <f>IF(AN6="","",AN6+Inputs!$B$5/Inputs!$B$16*(Inputs!$C$16*(Inputs!$C$24-AN6)+Inputs!$D$16*(Reservoir!$D$6-AN6)+Inputs!$E$16*(Inputs!$D$24-AN6)))</f>
        <v>0.72856306417986127</v>
      </c>
      <c r="AO7" s="8">
        <f>IF(AO6="","",AO6+Inputs!$B$5/Inputs!$B$16*(Inputs!$C$16*(Inputs!$C$25-AO6)+Inputs!$D$16*(Reservoir!$E$6-AO6)+Inputs!$E$16*(Inputs!$D$25-AO6)))</f>
        <v>0.43454141818506686</v>
      </c>
      <c r="AP7" s="8">
        <f>IF(AP6="","",AP6+Inputs!$B$5/Inputs!$B$16*(Inputs!$C$16*(Inputs!$C$26-AP6)+Inputs!$D$16*(Reservoir!$F$6-AP6)+Inputs!$E$16*(Inputs!$D$26-AP6)))</f>
        <v>40.468646509450942</v>
      </c>
      <c r="AQ7" s="8">
        <f>IF(AQ6="","",AQ6+Inputs!$B$5/Inputs!$B$16*(Inputs!$C$16*(Inputs!$C$27-AQ6)+Inputs!$D$16*(Reservoir!$G$6-AQ6)+Inputs!$E$16*(Inputs!$D$27-AQ6)))</f>
        <v>29.560289610921945</v>
      </c>
      <c r="AR7" s="23">
        <f t="shared" si="4"/>
        <v>0.59643624491755887</v>
      </c>
    </row>
    <row r="8" spans="1:44" ht="18" customHeight="1" x14ac:dyDescent="0.25">
      <c r="A8" s="20">
        <v>3</v>
      </c>
      <c r="B8" s="21">
        <f>IF(B7="","",B7+Inputs!$B$5/Inputs!$B$12*(Inputs!$C$12*(IF(Inputs!$C$23&gt;0,10^(-Inputs!$C$23),0)-B7)+Inputs!$D$12*(Reservoir!$B$7-B7)+Inputs!$E$12*(IF(Inputs!$D$23&gt;0,10^(-Inputs!$D$23),0)-B7)))</f>
        <v>3.2076273782484576E-6</v>
      </c>
      <c r="C8" s="22">
        <f t="shared" si="5"/>
        <v>5.4938160883210765</v>
      </c>
      <c r="D8" s="8">
        <f>IF(D7="","",D7+Inputs!$B$5/Inputs!$B$12*(Inputs!$C$12*(Inputs!$C$24-D7)+Inputs!$D$12*(Reservoir!$D$7-D7)+Inputs!$E$12*(Inputs!$D$24-D7)))</f>
        <v>3.2115571905056131</v>
      </c>
      <c r="E8" s="8">
        <f>IF(E7="","",E7+Inputs!$B$5/Inputs!$B$12*(Inputs!$C$12*(Inputs!$C$25-E7)+Inputs!$D$12*(Reservoir!$E$7-E7)+Inputs!$E$12*(Inputs!$D$25-E7)))</f>
        <v>0.45472691981863511</v>
      </c>
      <c r="F8" s="8">
        <f>IF(F7="","",F7+Inputs!$B$5/Inputs!$B$12*(Inputs!$C$12*(Inputs!$C$26-F7)+Inputs!$D$12*(Reservoir!$F$7-F7)+Inputs!$E$12*(Inputs!$D$26-F7)))</f>
        <v>29.407148833838367</v>
      </c>
      <c r="G8" s="8">
        <f>IF(G7="","",G7+Inputs!$B$5/Inputs!$B$12*(Inputs!$C$12*(Inputs!$C$27-G7)+Inputs!$D$12*(Reservoir!$G$7-G7)+Inputs!$E$12*(Inputs!$D$27-G7)))</f>
        <v>19.956417866112332</v>
      </c>
      <c r="H8" s="23">
        <f t="shared" si="0"/>
        <v>0.14159079002639369</v>
      </c>
      <c r="J8" s="20">
        <v>3</v>
      </c>
      <c r="K8" s="21">
        <f>IF(K7="","",K7+Inputs!$B$5/Inputs!$B$13*(Inputs!$C$13*(IF(Inputs!$C$23&gt;0,10^(-Inputs!$C$23),0)-K7)+Inputs!$D$13*(Reservoir!$B$7-K7)+Inputs!$E$13*(IF(Inputs!$D$23&gt;0,10^(-Inputs!$D$23),0)-K7)))</f>
        <v>3.2076273782484576E-6</v>
      </c>
      <c r="L8" s="22">
        <f t="shared" si="6"/>
        <v>5.4938160883210765</v>
      </c>
      <c r="M8" s="8">
        <f>IF(M7="","",M7+Inputs!$B$5/Inputs!$B$13*(Inputs!$C$13*(Inputs!$C$24-M7)+Inputs!$D$13*(Reservoir!$D$7-M7)+Inputs!$E$13*(Inputs!$D$24-M7)))</f>
        <v>3.2115571905056131</v>
      </c>
      <c r="N8" s="8">
        <f>IF(N7="","",N7+Inputs!$B$5/Inputs!$B$13*(Inputs!$C$13*(Inputs!$C$25-N7)+Inputs!$D$13*(Reservoir!$E$7-N7)+Inputs!$E$13*(Inputs!$D$25-N7)))</f>
        <v>0.45558043277490334</v>
      </c>
      <c r="O8" s="8">
        <f>IF(O7="","",O7+Inputs!$B$5/Inputs!$B$13*(Inputs!$C$13*(Inputs!$C$26-O7)+Inputs!$D$13*(Reservoir!$F$7-O7)+Inputs!$E$13*(Inputs!$D$26-O7)))</f>
        <v>28.553635877570148</v>
      </c>
      <c r="P8" s="8">
        <f>IF(P7="","",P7+Inputs!$B$5/Inputs!$B$13*(Inputs!$C$13*(Inputs!$C$27-P7)+Inputs!$D$13*(Reservoir!$G$7-P7)+Inputs!$E$13*(Inputs!$D$27-P7)))</f>
        <v>19.785715274858685</v>
      </c>
      <c r="Q8" s="23">
        <f t="shared" si="1"/>
        <v>0.14185655298985314</v>
      </c>
      <c r="S8" s="20">
        <v>3</v>
      </c>
      <c r="T8" s="21">
        <f>IF(T7="","",T7+Inputs!$B$5/Inputs!$B$14*(Inputs!$C$14*(IF(Inputs!$C$23&gt;0,10^(-Inputs!$C$23),0)-T7)+Inputs!$D$14*(Reservoir!$B$7-T7)+Inputs!$E$14*(IF(Inputs!$D$23&gt;0,10^(-Inputs!$D$23),0)-T7)))</f>
        <v>4.379708057446707E-6</v>
      </c>
      <c r="U8" s="22">
        <f t="shared" si="7"/>
        <v>5.3585548377300523</v>
      </c>
      <c r="V8" s="8">
        <f>IF(V7="","",V7+Inputs!$B$5/Inputs!$B$14*(Inputs!$C$14*(Inputs!$C$24-V7)+Inputs!$D$14*(Reservoir!$D$7-V7)+Inputs!$E$14*(Inputs!$D$24-V7)))</f>
        <v>3.4917737882704447</v>
      </c>
      <c r="W8" s="8">
        <f>IF(W7="","",W7+Inputs!$B$5/Inputs!$B$14*(Inputs!$C$14*(Inputs!$C$25-W7)+Inputs!$D$14*(Reservoir!$E$7-W7)+Inputs!$E$14*(Inputs!$D$25-W7)))</f>
        <v>0.56763568627113947</v>
      </c>
      <c r="X8" s="8">
        <f>IF(X7="","",X7+Inputs!$B$5/Inputs!$B$14*(Inputs!$C$14*(Inputs!$C$26-X7)+Inputs!$D$14*(Reservoir!$F$7-X7)+Inputs!$E$14*(Inputs!$D$26-X7)))</f>
        <v>28.160296748448669</v>
      </c>
      <c r="Y8" s="8">
        <f>IF(Y7="","",Y7+Inputs!$B$5/Inputs!$B$14*(Inputs!$C$14*(Inputs!$C$27-Y7)+Inputs!$D$14*(Reservoir!$G$7-Y7)+Inputs!$E$14*(Inputs!$D$27-Y7)))</f>
        <v>19.625129474385567</v>
      </c>
      <c r="Z8" s="23">
        <f t="shared" si="2"/>
        <v>0.1625637056380741</v>
      </c>
      <c r="AB8" s="20">
        <v>3</v>
      </c>
      <c r="AC8" s="21">
        <f>IF(AC7="","",AC7+Inputs!$B$5/Inputs!$B$15*(Inputs!$C$15*(IF(Inputs!$C$23&gt;0,10^(-Inputs!$C$23),0)-AC7)+Inputs!$D$15*(Reservoir!$B$7-AC7)+Inputs!$E$15*(IF(Inputs!$D$23&gt;0,10^(-Inputs!$D$23),0)-AC7)))</f>
        <v>3.578536946031377E-7</v>
      </c>
      <c r="AD8" s="22">
        <f t="shared" si="8"/>
        <v>6.4462944946230936</v>
      </c>
      <c r="AE8" s="8">
        <f>IF(AE7="","",AE7+Inputs!$B$5/Inputs!$B$15*(Inputs!$C$15*(Inputs!$C$24-AE7)+Inputs!$D$15*(Reservoir!$D$7-AE7)+Inputs!$E$15*(Inputs!$D$24-AE7)))</f>
        <v>0.85144048591880084</v>
      </c>
      <c r="AF8" s="8">
        <f>IF(AF7="","",AF7+Inputs!$B$5/Inputs!$B$15*(Inputs!$C$15*(Inputs!$C$25-AF7)+Inputs!$D$15*(Reservoir!$E$7-AF7)+Inputs!$E$15*(Inputs!$D$25-AF7)))</f>
        <v>0.50838329481867117</v>
      </c>
      <c r="AG8" s="8">
        <f>IF(AG7="","",AG7+Inputs!$B$5/Inputs!$B$15*(Inputs!$C$15*(Inputs!$C$26-AG7)+Inputs!$D$15*(Reservoir!$F$7-AG7)+Inputs!$E$15*(Inputs!$D$26-AG7)))</f>
        <v>40.754240553041761</v>
      </c>
      <c r="AH8" s="8">
        <f>IF(AH7="","",AH7+Inputs!$B$5/Inputs!$B$15*(Inputs!$C$15*(Inputs!$C$27-AH7)+Inputs!$D$15*(Reservoir!$G$7-AH7)+Inputs!$E$15*(Inputs!$D$27-AH7)))</f>
        <v>29.803824365410275</v>
      </c>
      <c r="AI8" s="23">
        <f t="shared" si="3"/>
        <v>0.59708611843852821</v>
      </c>
      <c r="AK8" s="20">
        <v>3</v>
      </c>
      <c r="AL8" s="21">
        <f>IF(AL7="","",AL7+Inputs!$B$5/Inputs!$B$16*(Inputs!$C$16*(IF(Inputs!$C$23&gt;0,10^(-Inputs!$C$23),0)-AL7)+Inputs!$D$16*(Reservoir!$B$7-AL7)+Inputs!$E$16*(IF(Inputs!$D$23&gt;0,10^(-Inputs!$D$23),0)-AL7)))</f>
        <v>3.578536946031377E-7</v>
      </c>
      <c r="AM8" s="22">
        <f t="shared" si="9"/>
        <v>6.4462944946230936</v>
      </c>
      <c r="AN8" s="8">
        <f>IF(AN7="","",AN7+Inputs!$B$5/Inputs!$B$16*(Inputs!$C$16*(Inputs!$C$24-AN7)+Inputs!$D$16*(Reservoir!$D$7-AN7)+Inputs!$E$16*(Inputs!$D$24-AN7)))</f>
        <v>0.77515366084591453</v>
      </c>
      <c r="AO8" s="8">
        <f>IF(AO7="","",AO7+Inputs!$B$5/Inputs!$B$16*(Inputs!$C$16*(Inputs!$C$25-AO7)+Inputs!$D$16*(Reservoir!$E$7-AO7)+Inputs!$E$16*(Inputs!$D$25-AO7)))</f>
        <v>0.43823449015394828</v>
      </c>
      <c r="AP8" s="8">
        <f>IF(AP7="","",AP7+Inputs!$B$5/Inputs!$B$16*(Inputs!$C$16*(Inputs!$C$26-AP7)+Inputs!$D$16*(Reservoir!$F$7-AP7)+Inputs!$E$16*(Inputs!$D$26-AP7)))</f>
        <v>40.578868541379954</v>
      </c>
      <c r="AQ8" s="8">
        <f>IF(AQ7="","",AQ7+Inputs!$B$5/Inputs!$B$16*(Inputs!$C$16*(Inputs!$C$27-AQ7)+Inputs!$D$16*(Reservoir!$G$7-AQ7)+Inputs!$E$16*(Inputs!$D$27-AQ7)))</f>
        <v>29.365394336255754</v>
      </c>
      <c r="AR8" s="23">
        <f t="shared" si="4"/>
        <v>0.56535176480455374</v>
      </c>
    </row>
    <row r="9" spans="1:44" ht="18" customHeight="1" x14ac:dyDescent="0.25">
      <c r="A9" s="20">
        <v>4</v>
      </c>
      <c r="B9" s="21">
        <f>IF(B8="","",B8+Inputs!$B$5/Inputs!$B$12*(Inputs!$C$12*(IF(Inputs!$C$23&gt;0,10^(-Inputs!$C$23),0)-B8)+Inputs!$D$12*(Reservoir!$B$8-B8)+Inputs!$E$12*(IF(Inputs!$D$23&gt;0,10^(-Inputs!$D$23),0)-B8)))</f>
        <v>4.1839931554103772E-6</v>
      </c>
      <c r="C9" s="22">
        <f t="shared" si="5"/>
        <v>5.3784090346020479</v>
      </c>
      <c r="D9" s="8">
        <f>IF(D8="","",D8+Inputs!$B$5/Inputs!$B$12*(Inputs!$C$12*(Inputs!$C$24-D8)+Inputs!$D$12*(Reservoir!$D$8-D8)+Inputs!$E$12*(Inputs!$D$24-D8)))</f>
        <v>3.1232886960092596</v>
      </c>
      <c r="E9" s="8">
        <f>IF(E8="","",E8+Inputs!$B$5/Inputs!$B$12*(Inputs!$C$12*(Inputs!$C$25-E8)+Inputs!$D$12*(Reservoir!$E$8-E8)+Inputs!$E$12*(Inputs!$D$25-E8)))</f>
        <v>0.56787548220100537</v>
      </c>
      <c r="F9" s="8">
        <f>IF(F8="","",F8+Inputs!$B$5/Inputs!$B$12*(Inputs!$C$12*(Inputs!$C$26-F8)+Inputs!$D$12*(Reservoir!$F$8-F8)+Inputs!$E$12*(Inputs!$D$26-F8)))</f>
        <v>30.588573110704196</v>
      </c>
      <c r="G9" s="8">
        <f>IF(G8="","",G8+Inputs!$B$5/Inputs!$B$12*(Inputs!$C$12*(Inputs!$C$27-G8)+Inputs!$D$12*(Reservoir!$G$8-G8)+Inputs!$E$12*(Inputs!$D$27-G8)))</f>
        <v>20.526861275418941</v>
      </c>
      <c r="H9" s="23">
        <f t="shared" si="0"/>
        <v>0.18181972192535409</v>
      </c>
      <c r="J9" s="20">
        <v>4</v>
      </c>
      <c r="K9" s="21">
        <f>IF(K8="","",K8+Inputs!$B$5/Inputs!$B$13*(Inputs!$C$13*(IF(Inputs!$C$23&gt;0,10^(-Inputs!$C$23),0)-K8)+Inputs!$D$13*(Reservoir!$B$8-K8)+Inputs!$E$13*(IF(Inputs!$D$23&gt;0,10^(-Inputs!$D$23),0)-K8)))</f>
        <v>4.1839931554103772E-6</v>
      </c>
      <c r="L9" s="22">
        <f t="shared" si="6"/>
        <v>5.3784090346020479</v>
      </c>
      <c r="M9" s="8">
        <f>IF(M8="","",M8+Inputs!$B$5/Inputs!$B$13*(Inputs!$C$13*(Inputs!$C$24-M8)+Inputs!$D$13*(Reservoir!$D$8-M8)+Inputs!$E$13*(Inputs!$D$24-M8)))</f>
        <v>3.1232886960092596</v>
      </c>
      <c r="N9" s="8">
        <f>IF(N8="","",N8+Inputs!$B$5/Inputs!$B$13*(Inputs!$C$13*(Inputs!$C$25-N8)+Inputs!$D$13*(Reservoir!$E$8-N8)+Inputs!$E$13*(Inputs!$D$25-N8)))</f>
        <v>0.56868510020523688</v>
      </c>
      <c r="O9" s="8">
        <f>IF(O8="","",O8+Inputs!$B$5/Inputs!$B$13*(Inputs!$C$13*(Inputs!$C$26-O8)+Inputs!$D$13*(Reservoir!$F$8-O8)+Inputs!$E$13*(Inputs!$D$26-O8)))</f>
        <v>29.77895510647263</v>
      </c>
      <c r="P9" s="8">
        <f>IF(P8="","",P8+Inputs!$B$5/Inputs!$B$13*(Inputs!$C$13*(Inputs!$C$27-P8)+Inputs!$D$13*(Reservoir!$G$8-P8)+Inputs!$E$13*(Inputs!$D$27-P8)))</f>
        <v>20.364937674572626</v>
      </c>
      <c r="Q9" s="23">
        <f t="shared" si="1"/>
        <v>0.1820789416399024</v>
      </c>
      <c r="S9" s="20">
        <v>4</v>
      </c>
      <c r="T9" s="21">
        <f>IF(T8="","",T8+Inputs!$B$5/Inputs!$B$14*(Inputs!$C$14*(IF(Inputs!$C$23&gt;0,10^(-Inputs!$C$23),0)-T8)+Inputs!$D$14*(Reservoir!$B$8-T8)+Inputs!$E$14*(IF(Inputs!$D$23&gt;0,10^(-Inputs!$D$23),0)-T8)))</f>
        <v>5.7202430093976298E-6</v>
      </c>
      <c r="U9" s="22">
        <f t="shared" si="7"/>
        <v>5.2425855209624537</v>
      </c>
      <c r="V9" s="8">
        <f>IF(V8="","",V8+Inputs!$B$5/Inputs!$B$14*(Inputs!$C$14*(Inputs!$C$24-V8)+Inputs!$D$14*(Reservoir!$D$8-V8)+Inputs!$E$14*(Inputs!$D$24-V8)))</f>
        <v>3.3964998791434247</v>
      </c>
      <c r="W9" s="8">
        <f>IF(W8="","",W8+Inputs!$B$5/Inputs!$B$14*(Inputs!$C$14*(Inputs!$C$25-W8)+Inputs!$D$14*(Reservoir!$E$8-W8)+Inputs!$E$14*(Inputs!$D$25-W8)))</f>
        <v>0.71545058438967701</v>
      </c>
      <c r="X9" s="8">
        <f>IF(X8="","",X8+Inputs!$B$5/Inputs!$B$14*(Inputs!$C$14*(Inputs!$C$26-X8)+Inputs!$D$14*(Reservoir!$F$8-X8)+Inputs!$E$14*(Inputs!$D$26-X8)))</f>
        <v>29.458058956029959</v>
      </c>
      <c r="Y9" s="8">
        <f>IF(Y8="","",Y8+Inputs!$B$5/Inputs!$B$14*(Inputs!$C$14*(Inputs!$C$27-Y8)+Inputs!$D$14*(Reservoir!$G$8-Y8)+Inputs!$E$14*(Inputs!$D$27-Y8)))</f>
        <v>20.283137430096723</v>
      </c>
      <c r="Z9" s="23">
        <f t="shared" si="2"/>
        <v>0.21064348884066766</v>
      </c>
      <c r="AB9" s="20">
        <v>4</v>
      </c>
      <c r="AC9" s="21">
        <f>IF(AC8="","",AC8+Inputs!$B$5/Inputs!$B$15*(Inputs!$C$15*(IF(Inputs!$C$23&gt;0,10^(-Inputs!$C$23),0)-AC8)+Inputs!$D$15*(Reservoir!$B$8-AC8)+Inputs!$E$15*(IF(Inputs!$D$23&gt;0,10^(-Inputs!$D$23),0)-AC8)))</f>
        <v>4.0476765419698588E-7</v>
      </c>
      <c r="AD9" s="22">
        <f t="shared" si="8"/>
        <v>6.3927942001332596</v>
      </c>
      <c r="AE9" s="8">
        <f>IF(AE8="","",AE8+Inputs!$B$5/Inputs!$B$15*(Inputs!$C$15*(Inputs!$C$24-AE8)+Inputs!$D$15*(Reservoir!$D$8-AE8)+Inputs!$E$15*(Inputs!$D$24-AE8)))</f>
        <v>0.89184748325193031</v>
      </c>
      <c r="AF9" s="8">
        <f>IF(AF8="","",AF8+Inputs!$B$5/Inputs!$B$15*(Inputs!$C$15*(Inputs!$C$25-AF8)+Inputs!$D$15*(Reservoir!$E$8-AF8)+Inputs!$E$15*(Inputs!$D$25-AF8)))</f>
        <v>0.5108442432994853</v>
      </c>
      <c r="AG9" s="8">
        <f>IF(AG8="","",AG8+Inputs!$B$5/Inputs!$B$15*(Inputs!$C$15*(Inputs!$C$26-AG8)+Inputs!$D$15*(Reservoir!$F$8-AG8)+Inputs!$E$15*(Inputs!$D$26-AG8)))</f>
        <v>40.87256503194606</v>
      </c>
      <c r="AH9" s="8">
        <f>IF(AH8="","",AH8+Inputs!$B$5/Inputs!$B$15*(Inputs!$C$15*(Inputs!$C$27-AH8)+Inputs!$D$15*(Reservoir!$G$8-AH8)+Inputs!$E$15*(Inputs!$D$27-AH8)))</f>
        <v>29.605576792170794</v>
      </c>
      <c r="AI9" s="23">
        <f t="shared" si="3"/>
        <v>0.57279327787841194</v>
      </c>
      <c r="AK9" s="20">
        <v>4</v>
      </c>
      <c r="AL9" s="21">
        <f>IF(AL8="","",AL8+Inputs!$B$5/Inputs!$B$16*(Inputs!$C$16*(IF(Inputs!$C$23&gt;0,10^(-Inputs!$C$23),0)-AL8)+Inputs!$D$16*(Reservoir!$B$8-AL8)+Inputs!$E$16*(IF(Inputs!$D$23&gt;0,10^(-Inputs!$D$23),0)-AL8)))</f>
        <v>4.0476765419698588E-7</v>
      </c>
      <c r="AM9" s="22">
        <f t="shared" si="9"/>
        <v>6.3927942001332596</v>
      </c>
      <c r="AN9" s="8">
        <f>IF(AN8="","",AN8+Inputs!$B$5/Inputs!$B$16*(Inputs!$C$16*(Inputs!$C$24-AN8)+Inputs!$D$16*(Reservoir!$D$8-AN8)+Inputs!$E$16*(Inputs!$D$24-AN8)))</f>
        <v>0.81883009353931058</v>
      </c>
      <c r="AO9" s="8">
        <f>IF(AO8="","",AO8+Inputs!$B$5/Inputs!$B$16*(Inputs!$C$16*(Inputs!$C$25-AO8)+Inputs!$D$16*(Reservoir!$E$8-AO8)+Inputs!$E$16*(Inputs!$D$25-AO8)))</f>
        <v>0.44370181597753627</v>
      </c>
      <c r="AP9" s="8">
        <f>IF(AP8="","",AP8+Inputs!$B$5/Inputs!$B$16*(Inputs!$C$16*(Inputs!$C$26-AP8)+Inputs!$D$16*(Reservoir!$F$8-AP8)+Inputs!$E$16*(Inputs!$D$26-AP8)))</f>
        <v>40.704708963641188</v>
      </c>
      <c r="AQ9" s="8">
        <f>IF(AQ8="","",AQ8+Inputs!$B$5/Inputs!$B$16*(Inputs!$C$16*(Inputs!$C$27-AQ8)+Inputs!$D$16*(Reservoir!$G$8-AQ8)+Inputs!$E$16*(Inputs!$D$27-AQ8)))</f>
        <v>29.185936621408608</v>
      </c>
      <c r="AR9" s="23">
        <f t="shared" si="4"/>
        <v>0.541872873845757</v>
      </c>
    </row>
    <row r="10" spans="1:44" ht="18" customHeight="1" x14ac:dyDescent="0.25">
      <c r="A10" s="20">
        <v>5</v>
      </c>
      <c r="B10" s="21">
        <f>IF(B9="","",B9+Inputs!$B$5/Inputs!$B$12*(Inputs!$C$12*(IF(Inputs!$C$23&gt;0,10^(-Inputs!$C$23),0)-B9)+Inputs!$D$12*(Reservoir!$B$9-B9)+Inputs!$E$12*(IF(Inputs!$D$23&gt;0,10^(-Inputs!$D$23),0)-B9)))</f>
        <v>5.1268279591220973E-6</v>
      </c>
      <c r="C10" s="22">
        <f t="shared" si="5"/>
        <v>5.2901512559275643</v>
      </c>
      <c r="D10" s="8">
        <f>IF(D9="","",D9+Inputs!$B$5/Inputs!$B$12*(Inputs!$C$12*(Inputs!$C$24-D9)+Inputs!$D$12*(Reservoir!$D$9-D9)+Inputs!$E$12*(Inputs!$D$24-D9)))</f>
        <v>3.0386676315457386</v>
      </c>
      <c r="E10" s="8">
        <f>IF(E9="","",E9+Inputs!$B$5/Inputs!$B$12*(Inputs!$C$12*(Inputs!$C$25-E9)+Inputs!$D$12*(Reservoir!$E$9-E9)+Inputs!$E$12*(Inputs!$D$25-E9)))</f>
        <v>0.67709160799060231</v>
      </c>
      <c r="F10" s="8">
        <f>IF(F9="","",F9+Inputs!$B$5/Inputs!$B$12*(Inputs!$C$12*(Inputs!$C$26-F9)+Inputs!$D$12*(Reservoir!$F$9-F9)+Inputs!$E$12*(Inputs!$D$26-F9)))</f>
        <v>31.729097108553873</v>
      </c>
      <c r="G10" s="8">
        <f>IF(G9="","",G9+Inputs!$B$5/Inputs!$B$12*(Inputs!$C$12*(Inputs!$C$27-G9)+Inputs!$D$12*(Reservoir!$G$9-G9)+Inputs!$E$12*(Inputs!$D$27-G9)))</f>
        <v>21.074867827130749</v>
      </c>
      <c r="H10" s="23">
        <f t="shared" si="0"/>
        <v>0.2228251622393374</v>
      </c>
      <c r="J10" s="20">
        <v>5</v>
      </c>
      <c r="K10" s="21">
        <f>IF(K9="","",K9+Inputs!$B$5/Inputs!$B$13*(Inputs!$C$13*(IF(Inputs!$C$23&gt;0,10^(-Inputs!$C$23),0)-K9)+Inputs!$D$13*(Reservoir!$B$9-K9)+Inputs!$E$13*(IF(Inputs!$D$23&gt;0,10^(-Inputs!$D$23),0)-K9)))</f>
        <v>5.1268279591220973E-6</v>
      </c>
      <c r="L10" s="22">
        <f t="shared" si="6"/>
        <v>5.2901512559275643</v>
      </c>
      <c r="M10" s="8">
        <f>IF(M9="","",M9+Inputs!$B$5/Inputs!$B$13*(Inputs!$C$13*(Inputs!$C$24-M9)+Inputs!$D$13*(Reservoir!$D$9-M9)+Inputs!$E$13*(Inputs!$D$24-M9)))</f>
        <v>3.0386676315457386</v>
      </c>
      <c r="N10" s="8">
        <f>IF(N9="","",N9+Inputs!$B$5/Inputs!$B$13*(Inputs!$C$13*(Inputs!$C$25-N9)+Inputs!$D$13*(Reservoir!$E$9-N9)+Inputs!$E$13*(Inputs!$D$25-N9)))</f>
        <v>0.67785958849747341</v>
      </c>
      <c r="O10" s="8">
        <f>IF(O9="","",O9+Inputs!$B$5/Inputs!$B$13*(Inputs!$C$13*(Inputs!$C$26-O9)+Inputs!$D$13*(Reservoir!$F$9-O9)+Inputs!$E$13*(Inputs!$D$26-O9)))</f>
        <v>30.961116601682789</v>
      </c>
      <c r="P10" s="8">
        <f>IF(P9="","",P9+Inputs!$B$5/Inputs!$B$13*(Inputs!$C$13*(Inputs!$C$27-P9)+Inputs!$D$13*(Reservoir!$G$9-P9)+Inputs!$E$13*(Inputs!$D$27-P9)))</f>
        <v>20.921271725756533</v>
      </c>
      <c r="Q10" s="23">
        <f t="shared" si="1"/>
        <v>0.22307789817494889</v>
      </c>
      <c r="S10" s="20">
        <v>5</v>
      </c>
      <c r="T10" s="21">
        <f>IF(T9="","",T9+Inputs!$B$5/Inputs!$B$14*(Inputs!$C$14*(IF(Inputs!$C$23&gt;0,10^(-Inputs!$C$23),0)-T9)+Inputs!$D$14*(Reservoir!$B$9-T9)+Inputs!$E$14*(IF(Inputs!$D$23&gt;0,10^(-Inputs!$D$23),0)-T9)))</f>
        <v>7.0146577669583875E-6</v>
      </c>
      <c r="U10" s="22">
        <f t="shared" si="7"/>
        <v>5.153993512596724</v>
      </c>
      <c r="V10" s="8">
        <f>IF(V9="","",V9+Inputs!$B$5/Inputs!$B$14*(Inputs!$C$14*(Inputs!$C$24-V9)+Inputs!$D$14*(Reservoir!$D$9-V9)+Inputs!$E$14*(Inputs!$D$24-V9)))</f>
        <v>3.3047220711584817</v>
      </c>
      <c r="W10" s="8">
        <f>IF(W9="","",W9+Inputs!$B$5/Inputs!$B$14*(Inputs!$C$14*(Inputs!$C$25-W9)+Inputs!$D$14*(Reservoir!$E$9-W9)+Inputs!$E$14*(Inputs!$D$25-W9)))</f>
        <v>0.85821508483113562</v>
      </c>
      <c r="X10" s="8">
        <f>IF(X9="","",X9+Inputs!$B$5/Inputs!$B$14*(Inputs!$C$14*(Inputs!$C$26-X9)+Inputs!$D$14*(Reservoir!$F$9-X9)+Inputs!$E$14*(Inputs!$D$26-X9)))</f>
        <v>30.71393038746811</v>
      </c>
      <c r="Y10" s="8">
        <f>IF(Y9="","",Y9+Inputs!$B$5/Inputs!$B$14*(Inputs!$C$14*(Inputs!$C$27-Y9)+Inputs!$D$14*(Reservoir!$G$9-Y9)+Inputs!$E$14*(Inputs!$D$27-Y9)))</f>
        <v>20.917549128028533</v>
      </c>
      <c r="Z10" s="23">
        <f t="shared" si="2"/>
        <v>0.25969357372624241</v>
      </c>
      <c r="AB10" s="20">
        <v>5</v>
      </c>
      <c r="AC10" s="21">
        <f>IF(AC9="","",AC9+Inputs!$B$5/Inputs!$B$15*(Inputs!$C$15*(IF(Inputs!$C$23&gt;0,10^(-Inputs!$C$23),0)-AC9)+Inputs!$D$15*(Reservoir!$B$9-AC9)+Inputs!$E$15*(IF(Inputs!$D$23&gt;0,10^(-Inputs!$D$23),0)-AC9)))</f>
        <v>4.6635313918351148E-7</v>
      </c>
      <c r="AD10" s="22">
        <f t="shared" si="8"/>
        <v>6.3312850955056339</v>
      </c>
      <c r="AE10" s="8">
        <f>IF(AE9="","",AE9+Inputs!$B$5/Inputs!$B$15*(Inputs!$C$15*(Inputs!$C$24-AE9)+Inputs!$D$15*(Reservoir!$D$9-AE9)+Inputs!$E$15*(Inputs!$D$24-AE9)))</f>
        <v>0.92963065958666002</v>
      </c>
      <c r="AF10" s="8">
        <f>IF(AF9="","",AF9+Inputs!$B$5/Inputs!$B$15*(Inputs!$C$15*(Inputs!$C$25-AF9)+Inputs!$D$15*(Reservoir!$E$9-AF9)+Inputs!$E$15*(Inputs!$D$25-AF9)))</f>
        <v>0.51508635488944177</v>
      </c>
      <c r="AG10" s="8">
        <f>IF(AG9="","",AG9+Inputs!$B$5/Inputs!$B$15*(Inputs!$C$15*(Inputs!$C$26-AG9)+Inputs!$D$15*(Reservoir!$F$9-AG9)+Inputs!$E$15*(Inputs!$D$26-AG9)))</f>
        <v>41.005677145548553</v>
      </c>
      <c r="AH10" s="8">
        <f>IF(AH9="","",AH9+Inputs!$B$5/Inputs!$B$15*(Inputs!$C$15*(Inputs!$C$27-AH9)+Inputs!$D$15*(Reservoir!$G$9-AH9)+Inputs!$E$15*(Inputs!$D$27-AH9)))</f>
        <v>29.4227257755254</v>
      </c>
      <c r="AI10" s="23">
        <f t="shared" si="3"/>
        <v>0.55407634158544605</v>
      </c>
      <c r="AK10" s="20">
        <v>5</v>
      </c>
      <c r="AL10" s="21">
        <f>IF(AL9="","",AL9+Inputs!$B$5/Inputs!$B$16*(Inputs!$C$16*(IF(Inputs!$C$23&gt;0,10^(-Inputs!$C$23),0)-AL9)+Inputs!$D$16*(Reservoir!$B$9-AL9)+Inputs!$E$16*(IF(Inputs!$D$23&gt;0,10^(-Inputs!$D$23),0)-AL9)))</f>
        <v>4.6635313918351148E-7</v>
      </c>
      <c r="AM10" s="22">
        <f t="shared" si="9"/>
        <v>6.3312850955056339</v>
      </c>
      <c r="AN10" s="8">
        <f>IF(AN9="","",AN9+Inputs!$B$5/Inputs!$B$16*(Inputs!$C$16*(Inputs!$C$24-AN9)+Inputs!$D$16*(Reservoir!$D$9-AN9)+Inputs!$E$16*(Inputs!$D$24-AN9)))</f>
        <v>0.85974258657600977</v>
      </c>
      <c r="AO10" s="8">
        <f>IF(AO9="","",AO9+Inputs!$B$5/Inputs!$B$16*(Inputs!$C$16*(Inputs!$C$25-AO9)+Inputs!$D$16*(Reservoir!$E$9-AO9)+Inputs!$E$16*(Inputs!$D$25-AO9)))</f>
        <v>0.45082146016700481</v>
      </c>
      <c r="AP10" s="8">
        <f>IF(AP9="","",AP9+Inputs!$B$5/Inputs!$B$16*(Inputs!$C$16*(Inputs!$C$26-AP9)+Inputs!$D$16*(Reservoir!$F$9-AP9)+Inputs!$E$16*(Inputs!$D$26-AP9)))</f>
        <v>40.845014908742456</v>
      </c>
      <c r="AQ10" s="8">
        <f>IF(AQ9="","",AQ9+Inputs!$B$5/Inputs!$B$16*(Inputs!$C$16*(Inputs!$C$27-AQ9)+Inputs!$D$16*(Reservoir!$G$9-AQ9)+Inputs!$E$16*(Inputs!$D$27-AQ9)))</f>
        <v>29.021070183510165</v>
      </c>
      <c r="AR10" s="23">
        <f t="shared" si="4"/>
        <v>0.52436795292697502</v>
      </c>
    </row>
    <row r="11" spans="1:44" ht="18" customHeight="1" x14ac:dyDescent="0.25">
      <c r="A11" s="20">
        <v>6</v>
      </c>
      <c r="B11" s="21">
        <f>IF(B10="","",B10+Inputs!$B$5/Inputs!$B$12*(Inputs!$C$12*(IF(Inputs!$C$23&gt;0,10^(-Inputs!$C$23),0)-B10)+Inputs!$D$12*(Reservoir!$B$10-B10)+Inputs!$E$12*(IF(Inputs!$D$23&gt;0,10^(-Inputs!$D$23),0)-B10)))</f>
        <v>6.0374633641898386E-6</v>
      </c>
      <c r="C11" s="22">
        <f t="shared" si="5"/>
        <v>5.2191454915660573</v>
      </c>
      <c r="D11" s="8">
        <f>IF(D10="","",D10+Inputs!$B$5/Inputs!$B$12*(Inputs!$C$12*(Inputs!$C$24-D10)+Inputs!$D$12*(Reservoir!$D$10-D10)+Inputs!$E$12*(Inputs!$D$24-D10)))</f>
        <v>2.9575309231051268</v>
      </c>
      <c r="E11" s="8">
        <f>IF(E10="","",E10+Inputs!$B$5/Inputs!$B$12*(Inputs!$C$12*(Inputs!$C$25-E10)+Inputs!$D$12*(Reservoir!$E$10-E10)+Inputs!$E$12*(Inputs!$D$25-E10)))</f>
        <v>0.782532860463243</v>
      </c>
      <c r="F11" s="8">
        <f>IF(F10="","",F10+Inputs!$B$5/Inputs!$B$12*(Inputs!$C$12*(Inputs!$C$26-F10)+Inputs!$D$12*(Reservoir!$F$10-F10)+Inputs!$E$12*(Inputs!$D$26-F10)))</f>
        <v>32.830353635541435</v>
      </c>
      <c r="G11" s="8">
        <f>IF(G10="","",G10+Inputs!$B$5/Inputs!$B$12*(Inputs!$C$12*(Inputs!$C$27-G10)+Inputs!$D$12*(Reservoir!$G$10-G10)+Inputs!$E$12*(Inputs!$D$27-G10)))</f>
        <v>21.601412347411596</v>
      </c>
      <c r="H11" s="23">
        <f t="shared" si="0"/>
        <v>0.26458991665982573</v>
      </c>
      <c r="J11" s="20">
        <v>6</v>
      </c>
      <c r="K11" s="21">
        <f>IF(K10="","",K10+Inputs!$B$5/Inputs!$B$13*(Inputs!$C$13*(IF(Inputs!$C$23&gt;0,10^(-Inputs!$C$23),0)-K10)+Inputs!$D$13*(Reservoir!$B$10-K10)+Inputs!$E$13*(IF(Inputs!$D$23&gt;0,10^(-Inputs!$D$23),0)-K10)))</f>
        <v>6.0374633641898386E-6</v>
      </c>
      <c r="L11" s="22">
        <f t="shared" si="6"/>
        <v>5.2191454915660573</v>
      </c>
      <c r="M11" s="8">
        <f>IF(M10="","",M10+Inputs!$B$5/Inputs!$B$13*(Inputs!$C$13*(Inputs!$C$24-M10)+Inputs!$D$13*(Reservoir!$D$10-M10)+Inputs!$E$13*(Inputs!$D$24-M10)))</f>
        <v>2.9575309231051268</v>
      </c>
      <c r="N11" s="8">
        <f>IF(N10="","",N10+Inputs!$B$5/Inputs!$B$13*(Inputs!$C$13*(Inputs!$C$25-N10)+Inputs!$D$13*(Reservoir!$E$10-N10)+Inputs!$E$13*(Inputs!$D$25-N10)))</f>
        <v>0.78326134482976073</v>
      </c>
      <c r="O11" s="8">
        <f>IF(O10="","",O10+Inputs!$B$5/Inputs!$B$13*(Inputs!$C$13*(Inputs!$C$26-O10)+Inputs!$D$13*(Reservoir!$F$10-O10)+Inputs!$E$13*(Inputs!$D$26-O10)))</f>
        <v>32.101869269023723</v>
      </c>
      <c r="P11" s="8">
        <f>IF(P10="","",P10+Inputs!$B$5/Inputs!$B$13*(Inputs!$C$13*(Inputs!$C$27-P10)+Inputs!$D$13*(Reservoir!$G$10-P10)+Inputs!$E$13*(Inputs!$D$27-P10)))</f>
        <v>21.455715474108054</v>
      </c>
      <c r="Q11" s="23">
        <f t="shared" si="1"/>
        <v>0.26483623170621345</v>
      </c>
      <c r="S11" s="20">
        <v>6</v>
      </c>
      <c r="T11" s="21">
        <f>IF(T10="","",T10+Inputs!$B$5/Inputs!$B$14*(Inputs!$C$14*(IF(Inputs!$C$23&gt;0,10^(-Inputs!$C$23),0)-T10)+Inputs!$D$14*(Reservoir!$B$10-T10)+Inputs!$E$14*(IF(Inputs!$D$23&gt;0,10^(-Inputs!$D$23),0)-T10)))</f>
        <v>8.264673699616287E-6</v>
      </c>
      <c r="U11" s="22">
        <f t="shared" si="7"/>
        <v>5.0827742882817066</v>
      </c>
      <c r="V11" s="8">
        <f>IF(V10="","",V10+Inputs!$B$5/Inputs!$B$14*(Inputs!$C$14*(Inputs!$C$24-V10)+Inputs!$D$14*(Reservoir!$D$10-V10)+Inputs!$E$14*(Inputs!$D$24-V10)))</f>
        <v>3.2163059561172651</v>
      </c>
      <c r="W11" s="8">
        <f>IF(W10="","",W10+Inputs!$B$5/Inputs!$B$14*(Inputs!$C$14*(Inputs!$C$25-W10)+Inputs!$D$14*(Reservoir!$E$10-W10)+Inputs!$E$14*(Inputs!$D$25-W10)))</f>
        <v>0.99611645613540833</v>
      </c>
      <c r="X11" s="8">
        <f>IF(X10="","",X10+Inputs!$B$5/Inputs!$B$14*(Inputs!$C$14*(Inputs!$C$26-X10)+Inputs!$D$14*(Reservoir!$F$10-X10)+Inputs!$E$14*(Inputs!$D$26-X10)))</f>
        <v>31.929389944004544</v>
      </c>
      <c r="Y11" s="8">
        <f>IF(Y10="","",Y10+Inputs!$B$5/Inputs!$B$14*(Inputs!$C$14*(Inputs!$C$27-Y10)+Inputs!$D$14*(Reservoir!$G$10-Y10)+Inputs!$E$14*(Inputs!$D$27-Y10)))</f>
        <v>21.529261575362995</v>
      </c>
      <c r="Z11" s="23">
        <f t="shared" si="2"/>
        <v>0.30970823974032724</v>
      </c>
      <c r="AB11" s="20">
        <v>6</v>
      </c>
      <c r="AC11" s="21">
        <f>IF(AC10="","",AC10+Inputs!$B$5/Inputs!$B$15*(Inputs!$C$15*(IF(Inputs!$C$23&gt;0,10^(-Inputs!$C$23),0)-AC10)+Inputs!$D$15*(Reservoir!$B$10-AC10)+Inputs!$E$15*(IF(Inputs!$D$23&gt;0,10^(-Inputs!$D$23),0)-AC10)))</f>
        <v>5.4158849464609536E-7</v>
      </c>
      <c r="AD11" s="22">
        <f t="shared" si="8"/>
        <v>6.2663305702549419</v>
      </c>
      <c r="AE11" s="8">
        <f>IF(AE10="","",AE10+Inputs!$B$5/Inputs!$B$15*(Inputs!$C$15*(Inputs!$C$24-AE10)+Inputs!$D$15*(Reservoir!$D$10-AE10)+Inputs!$E$15*(Inputs!$D$24-AE10)))</f>
        <v>0.96492697250040083</v>
      </c>
      <c r="AF11" s="8">
        <f>IF(AF10="","",AF10+Inputs!$B$5/Inputs!$B$15*(Inputs!$C$15*(Inputs!$C$25-AF10)+Inputs!$D$15*(Reservoir!$E$10-AF10)+Inputs!$E$15*(Inputs!$D$25-AF10)))</f>
        <v>0.52098861770633731</v>
      </c>
      <c r="AG11" s="8">
        <f>IF(AG10="","",AG10+Inputs!$B$5/Inputs!$B$15*(Inputs!$C$15*(Inputs!$C$26-AG10)+Inputs!$D$15*(Reservoir!$F$10-AG10)+Inputs!$E$15*(Inputs!$D$26-AG10)))</f>
        <v>41.15247250330966</v>
      </c>
      <c r="AH11" s="8">
        <f>IF(AH10="","",AH10+Inputs!$B$5/Inputs!$B$15*(Inputs!$C$15*(Inputs!$C$27-AH10)+Inputs!$D$15*(Reservoir!$G$10-AH10)+Inputs!$E$15*(Inputs!$D$27-AH10)))</f>
        <v>29.254432393679025</v>
      </c>
      <c r="AI11" s="23">
        <f t="shared" si="3"/>
        <v>0.53992543742072763</v>
      </c>
      <c r="AK11" s="20">
        <v>6</v>
      </c>
      <c r="AL11" s="21">
        <f>IF(AL10="","",AL10+Inputs!$B$5/Inputs!$B$16*(Inputs!$C$16*(IF(Inputs!$C$23&gt;0,10^(-Inputs!$C$23),0)-AL10)+Inputs!$D$16*(Reservoir!$B$10-AL10)+Inputs!$E$16*(IF(Inputs!$D$23&gt;0,10^(-Inputs!$D$23),0)-AL10)))</f>
        <v>5.4158849464609536E-7</v>
      </c>
      <c r="AM11" s="22">
        <f t="shared" si="9"/>
        <v>6.2663305702549419</v>
      </c>
      <c r="AN11" s="8">
        <f>IF(AN10="","",AN10+Inputs!$B$5/Inputs!$B$16*(Inputs!$C$16*(Inputs!$C$24-AN10)+Inputs!$D$16*(Reservoir!$D$10-AN10)+Inputs!$E$16*(Inputs!$D$24-AN10)))</f>
        <v>0.89803410261877836</v>
      </c>
      <c r="AO11" s="8">
        <f>IF(AO10="","",AO10+Inputs!$B$5/Inputs!$B$16*(Inputs!$C$16*(Inputs!$C$25-AO10)+Inputs!$D$16*(Reservoir!$E$10-AO10)+Inputs!$E$16*(Inputs!$D$25-AO10)))</f>
        <v>0.45947793275771909</v>
      </c>
      <c r="AP11" s="8">
        <f>IF(AP10="","",AP10+Inputs!$B$5/Inputs!$B$16*(Inputs!$C$16*(Inputs!$C$26-AP10)+Inputs!$D$16*(Reservoir!$F$10-AP10)+Inputs!$E$16*(Inputs!$D$26-AP10)))</f>
        <v>40.998695790938108</v>
      </c>
      <c r="AQ11" s="8">
        <f>IF(AQ10="","",AQ10+Inputs!$B$5/Inputs!$B$16*(Inputs!$C$16*(Inputs!$C$27-AQ10)+Inputs!$D$16*(Reservoir!$G$10-AQ10)+Inputs!$E$16*(Inputs!$D$27-AQ10)))</f>
        <v>28.869990612750158</v>
      </c>
      <c r="AR11" s="23">
        <f t="shared" si="4"/>
        <v>0.5116486461013281</v>
      </c>
    </row>
    <row r="12" spans="1:44" ht="18" customHeight="1" x14ac:dyDescent="0.25">
      <c r="A12" s="20">
        <v>7</v>
      </c>
      <c r="B12" s="21">
        <f>IF(B11="","",B11+Inputs!$B$5/Inputs!$B$12*(Inputs!$C$12*(IF(Inputs!$C$23&gt;0,10^(-Inputs!$C$23),0)-B11)+Inputs!$D$12*(Reservoir!$B$11-B11)+Inputs!$E$12*(IF(Inputs!$D$23&gt;0,10^(-Inputs!$D$23),0)-B11)))</f>
        <v>6.9171727638068878E-6</v>
      </c>
      <c r="C12" s="22">
        <f t="shared" si="5"/>
        <v>5.1600713772154911</v>
      </c>
      <c r="D12" s="8">
        <f>IF(D11="","",D11+Inputs!$B$5/Inputs!$B$12*(Inputs!$C$12*(Inputs!$C$24-D11)+Inputs!$D$12*(Reservoir!$D$11-D11)+Inputs!$E$12*(Inputs!$D$24-D11)))</f>
        <v>2.8797230911655607</v>
      </c>
      <c r="E12" s="8">
        <f>IF(E11="","",E11+Inputs!$B$5/Inputs!$B$12*(Inputs!$C$12*(Inputs!$C$25-E11)+Inputs!$D$12*(Reservoir!$E$11-E11)+Inputs!$E$12*(Inputs!$D$25-E11)))</f>
        <v>0.88434988145836868</v>
      </c>
      <c r="F12" s="8">
        <f>IF(F11="","",F11+Inputs!$B$5/Inputs!$B$12*(Inputs!$C$12*(Inputs!$C$26-F11)+Inputs!$D$12*(Reservoir!$F$11-F11)+Inputs!$E$12*(Inputs!$D$26-F11)))</f>
        <v>33.893903998776217</v>
      </c>
      <c r="G12" s="8">
        <f>IF(G11="","",G11+Inputs!$B$5/Inputs!$B$12*(Inputs!$C$12*(Inputs!$C$27-G11)+Inputs!$D$12*(Reservoir!$G$11-G11)+Inputs!$E$12*(Inputs!$D$27-G11)))</f>
        <v>22.107424931751243</v>
      </c>
      <c r="H12" s="23">
        <f t="shared" si="0"/>
        <v>0.30709545795267085</v>
      </c>
      <c r="J12" s="20">
        <v>7</v>
      </c>
      <c r="K12" s="21">
        <f>IF(K11="","",K11+Inputs!$B$5/Inputs!$B$13*(Inputs!$C$13*(IF(Inputs!$C$23&gt;0,10^(-Inputs!$C$23),0)-K11)+Inputs!$D$13*(Reservoir!$B$11-K11)+Inputs!$E$13*(IF(Inputs!$D$23&gt;0,10^(-Inputs!$D$23),0)-K11)))</f>
        <v>6.9171727638068878E-6</v>
      </c>
      <c r="L12" s="22">
        <f t="shared" si="6"/>
        <v>5.1600713772154911</v>
      </c>
      <c r="M12" s="8">
        <f>IF(M11="","",M11+Inputs!$B$5/Inputs!$B$13*(Inputs!$C$13*(Inputs!$C$24-M11)+Inputs!$D$13*(Reservoir!$D$11-M11)+Inputs!$E$13*(Inputs!$D$24-M11)))</f>
        <v>2.8797230911655607</v>
      </c>
      <c r="N12" s="8">
        <f>IF(N11="","",N11+Inputs!$B$5/Inputs!$B$13*(Inputs!$C$13*(Inputs!$C$25-N11)+Inputs!$D$13*(Reservoir!$E$11-N11)+Inputs!$E$13*(Inputs!$D$25-N11)))</f>
        <v>0.8850409009146083</v>
      </c>
      <c r="O12" s="8">
        <f>IF(O11="","",O11+Inputs!$B$5/Inputs!$B$13*(Inputs!$C$13*(Inputs!$C$26-O11)+Inputs!$D$13*(Reservoir!$F$11-O11)+Inputs!$E$13*(Inputs!$D$26-O11)))</f>
        <v>33.202884542536559</v>
      </c>
      <c r="P12" s="8">
        <f>IF(P11="","",P11+Inputs!$B$5/Inputs!$B$13*(Inputs!$C$13*(Inputs!$C$27-P11)+Inputs!$D$13*(Reservoir!$G$11-P11)+Inputs!$E$13*(Inputs!$D$27-P11)))</f>
        <v>21.96922104050331</v>
      </c>
      <c r="Q12" s="23">
        <f t="shared" si="1"/>
        <v>0.3073354183357922</v>
      </c>
      <c r="S12" s="20">
        <v>7</v>
      </c>
      <c r="T12" s="21">
        <f>IF(T11="","",T11+Inputs!$B$5/Inputs!$B$14*(Inputs!$C$14*(IF(Inputs!$C$23&gt;0,10^(-Inputs!$C$23),0)-T11)+Inputs!$D$14*(Reservoir!$B$11-T11)+Inputs!$E$14*(IF(Inputs!$D$23&gt;0,10^(-Inputs!$D$23),0)-T11)))</f>
        <v>9.4719446841227874E-6</v>
      </c>
      <c r="U12" s="22">
        <f t="shared" si="7"/>
        <v>5.0235608468806978</v>
      </c>
      <c r="V12" s="8">
        <f>IF(V11="","",V11+Inputs!$B$5/Inputs!$B$14*(Inputs!$C$14*(Inputs!$C$24-V11)+Inputs!$D$14*(Reservoir!$D$11-V11)+Inputs!$E$14*(Inputs!$D$24-V11)))</f>
        <v>3.1311224047375146</v>
      </c>
      <c r="W12" s="8">
        <f>IF(W11="","",W11+Inputs!$B$5/Inputs!$B$14*(Inputs!$C$14*(Inputs!$C$25-W11)+Inputs!$D$14*(Reservoir!$E$11-W11)+Inputs!$E$14*(Inputs!$D$25-W11)))</f>
        <v>1.1293346698928595</v>
      </c>
      <c r="X12" s="8">
        <f>IF(X11="","",X11+Inputs!$B$5/Inputs!$B$14*(Inputs!$C$14*(Inputs!$C$26-X11)+Inputs!$D$14*(Reservoir!$F$11-X11)+Inputs!$E$14*(Inputs!$D$26-X11)))</f>
        <v>33.105861235276478</v>
      </c>
      <c r="Y12" s="8">
        <f>IF(Y11="","",Y11+Inputs!$B$5/Inputs!$B$14*(Inputs!$C$14*(Inputs!$C$27-Y11)+Inputs!$D$14*(Reservoir!$G$11-Y11)+Inputs!$E$14*(Inputs!$D$27-Y11)))</f>
        <v>22.119136635695924</v>
      </c>
      <c r="Z12" s="23">
        <f t="shared" si="2"/>
        <v>0.36068046020306666</v>
      </c>
      <c r="AB12" s="20">
        <v>7</v>
      </c>
      <c r="AC12" s="21">
        <f>IF(AC11="","",AC11+Inputs!$B$5/Inputs!$B$15*(Inputs!$C$15*(IF(Inputs!$C$23&gt;0,10^(-Inputs!$C$23),0)-AC11)+Inputs!$D$15*(Reservoir!$B$11-AC11)+Inputs!$E$15*(IF(Inputs!$D$23&gt;0,10^(-Inputs!$D$23),0)-AC11)))</f>
        <v>6.2950615025593136E-7</v>
      </c>
      <c r="AD12" s="22">
        <f t="shared" si="8"/>
        <v>6.2010000224915194</v>
      </c>
      <c r="AE12" s="8">
        <f>IF(AE11="","",AE11+Inputs!$B$5/Inputs!$B$15*(Inputs!$C$15*(Inputs!$C$24-AE11)+Inputs!$D$15*(Reservoir!$D$11-AE11)+Inputs!$E$15*(Inputs!$D$24-AE11)))</f>
        <v>0.99786671778479574</v>
      </c>
      <c r="AF12" s="8">
        <f>IF(AF11="","",AF11+Inputs!$B$5/Inputs!$B$15*(Inputs!$C$15*(Inputs!$C$25-AF11)+Inputs!$D$15*(Reservoir!$E$11-AF11)+Inputs!$E$15*(Inputs!$D$25-AF11)))</f>
        <v>0.52843638790930103</v>
      </c>
      <c r="AG12" s="8">
        <f>IF(AG11="","",AG11+Inputs!$B$5/Inputs!$B$15*(Inputs!$C$15*(Inputs!$C$26-AG11)+Inputs!$D$15*(Reservoir!$F$11-AG11)+Inputs!$E$15*(Inputs!$D$26-AG11)))</f>
        <v>41.311906517659011</v>
      </c>
      <c r="AH12" s="8">
        <f>IF(AH11="","",AH11+Inputs!$B$5/Inputs!$B$15*(Inputs!$C$15*(Inputs!$C$27-AH11)+Inputs!$D$15*(Reservoir!$G$11-AH11)+Inputs!$E$15*(Inputs!$D$27-AH11)))</f>
        <v>29.099899081870738</v>
      </c>
      <c r="AI12" s="23">
        <f t="shared" si="3"/>
        <v>0.52956610185616582</v>
      </c>
      <c r="AK12" s="20">
        <v>7</v>
      </c>
      <c r="AL12" s="21">
        <f>IF(AL11="","",AL11+Inputs!$B$5/Inputs!$B$16*(Inputs!$C$16*(IF(Inputs!$C$23&gt;0,10^(-Inputs!$C$23),0)-AL11)+Inputs!$D$16*(Reservoir!$B$11-AL11)+Inputs!$E$16*(IF(Inputs!$D$23&gt;0,10^(-Inputs!$D$23),0)-AL11)))</f>
        <v>6.2950615025593136E-7</v>
      </c>
      <c r="AM12" s="22">
        <f t="shared" si="9"/>
        <v>6.2010000224915194</v>
      </c>
      <c r="AN12" s="8">
        <f>IF(AN11="","",AN11+Inputs!$B$5/Inputs!$B$16*(Inputs!$C$16*(Inputs!$C$24-AN11)+Inputs!$D$16*(Reservoir!$D$11-AN11)+Inputs!$E$16*(Inputs!$D$24-AN11)))</f>
        <v>0.93384068518381425</v>
      </c>
      <c r="AO12" s="8">
        <f>IF(AO11="","",AO11+Inputs!$B$5/Inputs!$B$16*(Inputs!$C$16*(Inputs!$C$25-AO11)+Inputs!$D$16*(Reservoir!$E$11-AO11)+Inputs!$E$16*(Inputs!$D$25-AO11)))</f>
        <v>0.46956187517276643</v>
      </c>
      <c r="AP12" s="8">
        <f>IF(AP11="","",AP11+Inputs!$B$5/Inputs!$B$16*(Inputs!$C$16*(Inputs!$C$26-AP11)+Inputs!$D$16*(Reservoir!$F$11-AP11)+Inputs!$E$16*(Inputs!$D$26-AP11)))</f>
        <v>41.164720235817668</v>
      </c>
      <c r="AQ12" s="8">
        <f>IF(AQ11="","",AQ11+Inputs!$B$5/Inputs!$B$16*(Inputs!$C$16*(Inputs!$C$27-AQ11)+Inputs!$D$16*(Reservoir!$G$11-AQ11)+Inputs!$E$16*(Inputs!$D$27-AQ11)))</f>
        <v>28.731933377267392</v>
      </c>
      <c r="AR12" s="23">
        <f t="shared" si="4"/>
        <v>0.50282867583600666</v>
      </c>
    </row>
    <row r="13" spans="1:44" ht="18" customHeight="1" x14ac:dyDescent="0.25">
      <c r="A13" s="20">
        <v>8</v>
      </c>
      <c r="B13" s="21">
        <f>IF(B12="","",B12+Inputs!$B$5/Inputs!$B$12*(Inputs!$C$12*(IF(Inputs!$C$23&gt;0,10^(-Inputs!$C$23),0)-B12)+Inputs!$D$12*(Reservoir!$B$12-B12)+Inputs!$E$12*(IF(Inputs!$D$23&gt;0,10^(-Inputs!$D$23),0)-B12)))</f>
        <v>7.7671740471451318E-6</v>
      </c>
      <c r="C13" s="22">
        <f t="shared" si="5"/>
        <v>5.1097369630483973</v>
      </c>
      <c r="D13" s="8">
        <f>IF(D12="","",D12+Inputs!$B$5/Inputs!$B$12*(Inputs!$C$12*(Inputs!$C$24-D12)+Inputs!$D$12*(Reservoir!$D$12-D12)+Inputs!$E$12*(Inputs!$D$24-D12)))</f>
        <v>2.8050958900828626</v>
      </c>
      <c r="E13" s="8">
        <f>IF(E12="","",E12+Inputs!$B$5/Inputs!$B$12*(Inputs!$C$12*(Inputs!$C$25-E12)+Inputs!$D$12*(Reservoir!$E$12-E12)+Inputs!$E$12*(Inputs!$D$25-E12)))</f>
        <v>0.98268671082411341</v>
      </c>
      <c r="F13" s="8">
        <f>IF(F12="","",F12+Inputs!$B$5/Inputs!$B$12*(Inputs!$C$12*(Inputs!$C$26-F12)+Inputs!$D$12*(Reservoir!$F$12-F12)+Inputs!$E$12*(Inputs!$D$26-F12)))</f>
        <v>34.921241295040879</v>
      </c>
      <c r="G13" s="8">
        <f>IF(G12="","",G12+Inputs!$B$5/Inputs!$B$12*(Inputs!$C$12*(Inputs!$C$27-G12)+Inputs!$D$12*(Reservoir!$G$12-G12)+Inputs!$E$12*(Inputs!$D$27-G12)))</f>
        <v>22.59379305303975</v>
      </c>
      <c r="H13" s="23">
        <f t="shared" si="0"/>
        <v>0.3503219673517417</v>
      </c>
      <c r="J13" s="20">
        <v>8</v>
      </c>
      <c r="K13" s="21">
        <f>IF(K12="","",K12+Inputs!$B$5/Inputs!$B$13*(Inputs!$C$13*(IF(Inputs!$C$23&gt;0,10^(-Inputs!$C$23),0)-K12)+Inputs!$D$13*(Reservoir!$B$12-K12)+Inputs!$E$13*(IF(Inputs!$D$23&gt;0,10^(-Inputs!$D$23),0)-K12)))</f>
        <v>7.7671740471451318E-6</v>
      </c>
      <c r="L13" s="22">
        <f t="shared" si="6"/>
        <v>5.1097369630483973</v>
      </c>
      <c r="M13" s="8">
        <f>IF(M12="","",M12+Inputs!$B$5/Inputs!$B$13*(Inputs!$C$13*(Inputs!$C$24-M12)+Inputs!$D$13*(Reservoir!$D$12-M12)+Inputs!$E$13*(Inputs!$D$24-M12)))</f>
        <v>2.8050958900828626</v>
      </c>
      <c r="N13" s="8">
        <f>IF(N12="","",N12+Inputs!$B$5/Inputs!$B$13*(Inputs!$C$13*(Inputs!$C$25-N12)+Inputs!$D$13*(Reservoir!$E$12-N12)+Inputs!$E$13*(Inputs!$D$25-N12)))</f>
        <v>0.98334219213688923</v>
      </c>
      <c r="O13" s="8">
        <f>IF(O12="","",O12+Inputs!$B$5/Inputs!$B$13*(Inputs!$C$13*(Inputs!$C$26-O12)+Inputs!$D$13*(Reservoir!$F$12-O12)+Inputs!$E$13*(Inputs!$D$26-O12)))</f>
        <v>34.265759982264974</v>
      </c>
      <c r="P13" s="8">
        <f>IF(P12="","",P12+Inputs!$B$5/Inputs!$B$13*(Inputs!$C$13*(Inputs!$C$27-P12)+Inputs!$D$13*(Reservoir!$G$12-P12)+Inputs!$E$13*(Inputs!$D$27-P12)))</f>
        <v>22.462696790484568</v>
      </c>
      <c r="Q13" s="23">
        <f t="shared" si="1"/>
        <v>0.35055564254091909</v>
      </c>
      <c r="S13" s="20">
        <v>8</v>
      </c>
      <c r="T13" s="21">
        <f>IF(T12="","",T12+Inputs!$B$5/Inputs!$B$14*(Inputs!$C$14*(IF(Inputs!$C$23&gt;0,10^(-Inputs!$C$23),0)-T12)+Inputs!$D$14*(Reservoir!$B$12-T12)+Inputs!$E$14*(IF(Inputs!$D$23&gt;0,10^(-Inputs!$D$23),0)-T12)))</f>
        <v>1.0638059817141832E-5</v>
      </c>
      <c r="U13" s="22">
        <f t="shared" si="7"/>
        <v>4.9731375719979933</v>
      </c>
      <c r="V13" s="8">
        <f>IF(V12="","",V12+Inputs!$B$5/Inputs!$B$14*(Inputs!$C$14*(Inputs!$C$24-V12)+Inputs!$D$14*(Reservoir!$D$12-V12)+Inputs!$E$14*(Inputs!$D$24-V12)))</f>
        <v>3.0490473584674698</v>
      </c>
      <c r="W13" s="8">
        <f>IF(W12="","",W12+Inputs!$B$5/Inputs!$B$14*(Inputs!$C$14*(Inputs!$C$25-W12)+Inputs!$D$14*(Reservoir!$E$12-W12)+Inputs!$E$14*(Inputs!$D$25-W12)))</f>
        <v>1.258042692161438</v>
      </c>
      <c r="X13" s="8">
        <f>IF(X12="","",X12+Inputs!$B$5/Inputs!$B$14*(Inputs!$C$14*(Inputs!$C$26-X12)+Inputs!$D$14*(Reservoir!$F$12-X12)+Inputs!$E$14*(Inputs!$D$26-X12)))</f>
        <v>34.244714705846661</v>
      </c>
      <c r="Y13" s="8">
        <f>IF(Y12="","",Y12+Inputs!$B$5/Inputs!$B$14*(Inputs!$C$14*(Inputs!$C$27-Y12)+Inputs!$D$14*(Reservoir!$G$12-Y12)+Inputs!$E$14*(Inputs!$D$27-Y12)))</f>
        <v>22.688002420292321</v>
      </c>
      <c r="Z13" s="23">
        <f t="shared" si="2"/>
        <v>0.41260188650981233</v>
      </c>
      <c r="AB13" s="20">
        <v>8</v>
      </c>
      <c r="AC13" s="21">
        <f>IF(AC12="","",AC12+Inputs!$B$5/Inputs!$B$15*(Inputs!$C$15*(IF(Inputs!$C$23&gt;0,10^(-Inputs!$C$23),0)-AC12)+Inputs!$D$15*(Reservoir!$B$12-AC12)+Inputs!$E$15*(IF(Inputs!$D$23&gt;0,10^(-Inputs!$D$23),0)-AC12)))</f>
        <v>7.2918998775541769E-7</v>
      </c>
      <c r="AD13" s="22">
        <f t="shared" si="8"/>
        <v>6.137159303116932</v>
      </c>
      <c r="AE13" s="8">
        <f>IF(AE12="","",AE12+Inputs!$B$5/Inputs!$B$15*(Inputs!$C$15*(Inputs!$C$24-AE12)+Inputs!$D$15*(Reservoir!$D$12-AE12)+Inputs!$E$15*(Inputs!$D$24-AE12)))</f>
        <v>1.0285738449141208</v>
      </c>
      <c r="AF13" s="8">
        <f>IF(AF12="","",AF12+Inputs!$B$5/Inputs!$B$15*(Inputs!$C$15*(Inputs!$C$25-AF12)+Inputs!$D$15*(Reservoir!$E$12-AF12)+Inputs!$E$15*(Inputs!$D$25-AF12)))</f>
        <v>0.53732108026822034</v>
      </c>
      <c r="AG13" s="8">
        <f>IF(AG12="","",AG12+Inputs!$B$5/Inputs!$B$15*(Inputs!$C$15*(Inputs!$C$26-AG12)+Inputs!$D$15*(Reservoir!$F$12-AG12)+Inputs!$E$15*(Inputs!$D$26-AG12)))</f>
        <v>41.482991454532488</v>
      </c>
      <c r="AH13" s="8">
        <f>IF(AH12="","",AH12+Inputs!$B$5/Inputs!$B$15*(Inputs!$C$15*(Inputs!$C$27-AH12)+Inputs!$D$15*(Reservoir!$G$12-AH12)+Inputs!$E$15*(Inputs!$D$27-AH12)))</f>
        <v>28.958367667569135</v>
      </c>
      <c r="AI13" s="23">
        <f t="shared" si="3"/>
        <v>0.522394267485076</v>
      </c>
      <c r="AK13" s="20">
        <v>8</v>
      </c>
      <c r="AL13" s="21">
        <f>IF(AL12="","",AL12+Inputs!$B$5/Inputs!$B$16*(Inputs!$C$16*(IF(Inputs!$C$23&gt;0,10^(-Inputs!$C$23),0)-AL12)+Inputs!$D$16*(Reservoir!$B$12-AL12)+Inputs!$E$16*(IF(Inputs!$D$23&gt;0,10^(-Inputs!$D$23),0)-AL12)))</f>
        <v>7.2918998775541769E-7</v>
      </c>
      <c r="AM13" s="22">
        <f t="shared" si="9"/>
        <v>6.137159303116932</v>
      </c>
      <c r="AN13" s="8">
        <f>IF(AN12="","",AN12+Inputs!$B$5/Inputs!$B$16*(Inputs!$C$16*(Inputs!$C$24-AN12)+Inputs!$D$16*(Reservoir!$D$12-AN12)+Inputs!$E$16*(Inputs!$D$24-AN12)))</f>
        <v>0.96729178513889569</v>
      </c>
      <c r="AO13" s="8">
        <f>IF(AO12="","",AO12+Inputs!$B$5/Inputs!$B$16*(Inputs!$C$16*(Inputs!$C$25-AO12)+Inputs!$D$16*(Reservoir!$E$12-AO12)+Inputs!$E$16*(Inputs!$D$25-AO12)))</f>
        <v>0.48096976093468008</v>
      </c>
      <c r="AP13" s="8">
        <f>IF(AP12="","",AP12+Inputs!$B$5/Inputs!$B$16*(Inputs!$C$16*(Inputs!$C$26-AP12)+Inputs!$D$16*(Reservoir!$F$12-AP12)+Inputs!$E$16*(Inputs!$D$26-AP12)))</f>
        <v>41.342113156198636</v>
      </c>
      <c r="AQ13" s="8">
        <f>IF(AQ12="","",AQ12+Inputs!$B$5/Inputs!$B$16*(Inputs!$C$16*(Inputs!$C$27-AQ12)+Inputs!$D$16*(Reservoir!$G$12-AQ12)+Inputs!$E$16*(Inputs!$D$27-AQ12)))</f>
        <v>28.606171921734504</v>
      </c>
      <c r="AR13" s="23">
        <f t="shared" si="4"/>
        <v>0.49723337706793047</v>
      </c>
    </row>
    <row r="14" spans="1:44" ht="18" customHeight="1" x14ac:dyDescent="0.25">
      <c r="A14" s="20">
        <v>9</v>
      </c>
      <c r="B14" s="21">
        <f>IF(B13="","",B13+Inputs!$B$5/Inputs!$B$12*(Inputs!$C$12*(IF(Inputs!$C$23&gt;0,10^(-Inputs!$C$23),0)-B13)+Inputs!$D$12*(Reservoir!$B$13-B13)+Inputs!$E$12*(IF(Inputs!$D$23&gt;0,10^(-Inputs!$D$23),0)-B13)))</f>
        <v>8.5886321505617143E-6</v>
      </c>
      <c r="C14" s="22">
        <f t="shared" si="5"/>
        <v>5.0660759976082916</v>
      </c>
      <c r="D14" s="8">
        <f>IF(D13="","",D13+Inputs!$B$5/Inputs!$B$12*(Inputs!$C$12*(Inputs!$C$24-D13)+Inputs!$D$12*(Reservoir!$D$13-D13)+Inputs!$E$12*(Inputs!$D$24-D13)))</f>
        <v>2.733507964756456</v>
      </c>
      <c r="E14" s="8">
        <f>IF(E13="","",E13+Inputs!$B$5/Inputs!$B$12*(Inputs!$C$12*(Inputs!$C$25-E13)+Inputs!$D$12*(Reservoir!$E$13-E13)+Inputs!$E$12*(Inputs!$D$25-E13)))</f>
        <v>1.0776810907616106</v>
      </c>
      <c r="F14" s="8">
        <f>IF(F13="","",F13+Inputs!$B$5/Inputs!$B$12*(Inputs!$C$12*(Inputs!$C$26-F13)+Inputs!$D$12*(Reservoir!$F$13-F13)+Inputs!$E$12*(Inputs!$D$26-F13)))</f>
        <v>35.91379354637624</v>
      </c>
      <c r="G14" s="8">
        <f>IF(G13="","",G13+Inputs!$B$5/Inputs!$B$12*(Inputs!$C$12*(Inputs!$C$27-G13)+Inputs!$D$12*(Reservoir!$G$13-G13)+Inputs!$E$12*(Inputs!$D$27-G13)))</f>
        <v>23.061363569054421</v>
      </c>
      <c r="H14" s="23">
        <f t="shared" si="0"/>
        <v>0.39424838144110819</v>
      </c>
      <c r="J14" s="20">
        <v>9</v>
      </c>
      <c r="K14" s="21">
        <f>IF(K13="","",K13+Inputs!$B$5/Inputs!$B$13*(Inputs!$C$13*(IF(Inputs!$C$23&gt;0,10^(-Inputs!$C$23),0)-K13)+Inputs!$D$13*(Reservoir!$B$13-K13)+Inputs!$E$13*(IF(Inputs!$D$23&gt;0,10^(-Inputs!$D$23),0)-K13)))</f>
        <v>8.5886321505617143E-6</v>
      </c>
      <c r="L14" s="22">
        <f t="shared" si="6"/>
        <v>5.0660759976082916</v>
      </c>
      <c r="M14" s="8">
        <f>IF(M13="","",M13+Inputs!$B$5/Inputs!$B$13*(Inputs!$C$13*(Inputs!$C$24-M13)+Inputs!$D$13*(Reservoir!$D$13-M13)+Inputs!$E$13*(Inputs!$D$24-M13)))</f>
        <v>2.733507964756456</v>
      </c>
      <c r="N14" s="8">
        <f>IF(N13="","",N13+Inputs!$B$5/Inputs!$B$13*(Inputs!$C$13*(Inputs!$C$25-N13)+Inputs!$D$13*(Reservoir!$E$13-N13)+Inputs!$E$13*(Inputs!$D$25-N13)))</f>
        <v>1.0783028616068722</v>
      </c>
      <c r="O14" s="8">
        <f>IF(O13="","",O13+Inputs!$B$5/Inputs!$B$13*(Inputs!$C$13*(Inputs!$C$26-O13)+Inputs!$D$13*(Reservoir!$F$13-O13)+Inputs!$E$13*(Inputs!$D$26-O13)))</f>
        <v>35.292022701114526</v>
      </c>
      <c r="P14" s="8">
        <f>IF(P13="","",P13+Inputs!$B$5/Inputs!$B$13*(Inputs!$C$13*(Inputs!$C$27-P13)+Inputs!$D$13*(Reservoir!$G$13-P13)+Inputs!$E$13*(Inputs!$D$27-P13)))</f>
        <v>22.937009400002076</v>
      </c>
      <c r="Q14" s="23">
        <f t="shared" si="1"/>
        <v>0.39447584404713609</v>
      </c>
      <c r="S14" s="20">
        <v>9</v>
      </c>
      <c r="T14" s="21">
        <f>IF(T13="","",T13+Inputs!$B$5/Inputs!$B$14*(Inputs!$C$14*(IF(Inputs!$C$23&gt;0,10^(-Inputs!$C$23),0)-T13)+Inputs!$D$14*(Reservoir!$B$13-T13)+Inputs!$E$14*(IF(Inputs!$D$23&gt;0,10^(-Inputs!$D$23),0)-T13)))</f>
        <v>1.1764546017887181E-5</v>
      </c>
      <c r="U14" s="22">
        <f t="shared" si="7"/>
        <v>4.9294248271560921</v>
      </c>
      <c r="V14" s="8">
        <f>IF(V13="","",V13+Inputs!$B$5/Inputs!$B$14*(Inputs!$C$14*(Inputs!$C$24-V13)+Inputs!$D$14*(Reservoir!$D$13-V13)+Inputs!$E$14*(Inputs!$D$24-V13)))</f>
        <v>2.9699616294453079</v>
      </c>
      <c r="W14" s="8">
        <f>IF(W13="","",W13+Inputs!$B$5/Inputs!$B$14*(Inputs!$C$14*(Inputs!$C$25-W13)+Inputs!$D$14*(Reservoir!$E$13-W13)+Inputs!$E$14*(Inputs!$D$25-W13)))</f>
        <v>1.3824067631485237</v>
      </c>
      <c r="X14" s="8">
        <f>IF(X13="","",X13+Inputs!$B$5/Inputs!$B$14*(Inputs!$C$14*(Inputs!$C$26-X13)+Inputs!$D$14*(Reservoir!$F$13-X13)+Inputs!$E$14*(Inputs!$D$26-X13)))</f>
        <v>35.347269679380844</v>
      </c>
      <c r="Y14" s="8">
        <f>IF(Y13="","",Y13+Inputs!$B$5/Inputs!$B$14*(Inputs!$C$14*(Inputs!$C$27-Y13)+Inputs!$D$14*(Reservoir!$G$13-Y13)+Inputs!$E$14*(Inputs!$D$27-Y13)))</f>
        <v>23.23665462442322</v>
      </c>
      <c r="Z14" s="23">
        <f t="shared" si="2"/>
        <v>0.46546283609957356</v>
      </c>
      <c r="AB14" s="20">
        <v>9</v>
      </c>
      <c r="AC14" s="21">
        <f>IF(AC13="","",AC13+Inputs!$B$5/Inputs!$B$15*(Inputs!$C$15*(IF(Inputs!$C$23&gt;0,10^(-Inputs!$C$23),0)-AC13)+Inputs!$D$15*(Reservoir!$B$13-AC13)+Inputs!$E$15*(IF(Inputs!$D$23&gt;0,10^(-Inputs!$D$23),0)-AC13)))</f>
        <v>8.3977283258351709E-7</v>
      </c>
      <c r="AD14" s="22">
        <f t="shared" si="8"/>
        <v>6.0758381792931173</v>
      </c>
      <c r="AE14" s="8">
        <f>IF(AE13="","",AE13+Inputs!$B$5/Inputs!$B$15*(Inputs!$C$15*(Inputs!$C$24-AE13)+Inputs!$D$15*(Reservoir!$D$13-AE13)+Inputs!$E$15*(Inputs!$D$24-AE13)))</f>
        <v>1.0571662577242273</v>
      </c>
      <c r="AF14" s="8">
        <f>IF(AF13="","",AF13+Inputs!$B$5/Inputs!$B$15*(Inputs!$C$15*(Inputs!$C$25-AF13)+Inputs!$D$15*(Reservoir!$E$13-AF13)+Inputs!$E$15*(Inputs!$D$25-AF13)))</f>
        <v>0.54753987332231968</v>
      </c>
      <c r="AG14" s="8">
        <f>IF(AG13="","",AG13+Inputs!$B$5/Inputs!$B$15*(Inputs!$C$15*(Inputs!$C$26-AG13)+Inputs!$D$15*(Reservoir!$F$13-AG13)+Inputs!$E$15*(Inputs!$D$26-AG13)))</f>
        <v>41.664793624418557</v>
      </c>
      <c r="AH14" s="8">
        <f>IF(AH13="","",AH13+Inputs!$B$5/Inputs!$B$15*(Inputs!$C$15*(Inputs!$C$27-AH13)+Inputs!$D$15*(Reservoir!$G$13-AH13)+Inputs!$E$15*(Inputs!$D$27-AH13)))</f>
        <v>28.829117497701457</v>
      </c>
      <c r="AI14" s="23">
        <f t="shared" si="3"/>
        <v>0.5179316586409165</v>
      </c>
      <c r="AK14" s="20">
        <v>9</v>
      </c>
      <c r="AL14" s="21">
        <f>IF(AL13="","",AL13+Inputs!$B$5/Inputs!$B$16*(Inputs!$C$16*(IF(Inputs!$C$23&gt;0,10^(-Inputs!$C$23),0)-AL13)+Inputs!$D$16*(Reservoir!$B$13-AL13)+Inputs!$E$16*(IF(Inputs!$D$23&gt;0,10^(-Inputs!$D$23),0)-AL13)))</f>
        <v>8.3977283258351709E-7</v>
      </c>
      <c r="AM14" s="22">
        <f t="shared" si="9"/>
        <v>6.0758381792931173</v>
      </c>
      <c r="AN14" s="8">
        <f>IF(AN13="","",AN13+Inputs!$B$5/Inputs!$B$16*(Inputs!$C$16*(Inputs!$C$24-AN13)+Inputs!$D$16*(Reservoir!$D$13-AN13)+Inputs!$E$16*(Inputs!$D$24-AN13)))</f>
        <v>0.9985105719393691</v>
      </c>
      <c r="AO14" s="8">
        <f>IF(AO13="","",AO13+Inputs!$B$5/Inputs!$B$16*(Inputs!$C$16*(Inputs!$C$25-AO13)+Inputs!$D$16*(Reservoir!$E$13-AO13)+Inputs!$E$16*(Inputs!$D$25-AO13)))</f>
        <v>0.49360361053164542</v>
      </c>
      <c r="AP14" s="8">
        <f>IF(AP13="","",AP13+Inputs!$B$5/Inputs!$B$16*(Inputs!$C$16*(Inputs!$C$26-AP13)+Inputs!$D$16*(Reservoir!$F$13-AP13)+Inputs!$E$16*(Inputs!$D$26-AP13)))</f>
        <v>41.529952967441872</v>
      </c>
      <c r="AQ14" s="8">
        <f>IF(AQ13="","",AQ13+Inputs!$B$5/Inputs!$B$16*(Inputs!$C$16*(Inputs!$C$27-AQ13)+Inputs!$D$16*(Reservoir!$G$13-AQ13)+Inputs!$E$16*(Inputs!$D$27-AQ13)))</f>
        <v>28.492015855259741</v>
      </c>
      <c r="AR14" s="23">
        <f t="shared" si="4"/>
        <v>0.49433989424161823</v>
      </c>
    </row>
    <row r="15" spans="1:44" ht="18" customHeight="1" x14ac:dyDescent="0.25">
      <c r="A15" s="20">
        <v>10</v>
      </c>
      <c r="B15" s="21">
        <f>IF(B14="","",B14+Inputs!$B$5/Inputs!$B$12*(Inputs!$C$12*(IF(Inputs!$C$23&gt;0,10^(-Inputs!$C$23),0)-B14)+Inputs!$D$12*(Reservoir!$B$14-B14)+Inputs!$E$12*(IF(Inputs!$D$23&gt;0,10^(-Inputs!$D$23),0)-B14)))</f>
        <v>9.382661488456937E-6</v>
      </c>
      <c r="C15" s="22">
        <f t="shared" si="5"/>
        <v>5.027673952047607</v>
      </c>
      <c r="D15" s="8">
        <f>IF(D14="","",D14+Inputs!$B$5/Inputs!$B$12*(Inputs!$C$12*(Inputs!$C$24-D14)+Inputs!$D$12*(Reservoir!$D$14-D14)+Inputs!$E$12*(Inputs!$D$24-D14)))</f>
        <v>2.6648245237404997</v>
      </c>
      <c r="E15" s="8">
        <f>IF(E14="","",E14+Inputs!$B$5/Inputs!$B$12*(Inputs!$C$12*(Inputs!$C$25-E14)+Inputs!$D$12*(Reservoir!$E$14-E14)+Inputs!$E$12*(Inputs!$D$25-E14)))</f>
        <v>1.169464755790351</v>
      </c>
      <c r="F15" s="8">
        <f>IF(F14="","",F14+Inputs!$B$5/Inputs!$B$12*(Inputs!$C$12*(Inputs!$C$26-F14)+Inputs!$D$12*(Reservoir!$F$14-F14)+Inputs!$E$12*(Inputs!$D$26-F14)))</f>
        <v>36.872926687927254</v>
      </c>
      <c r="G15" s="8">
        <f>IF(G14="","",G14+Inputs!$B$5/Inputs!$B$12*(Inputs!$C$12*(Inputs!$C$27-G14)+Inputs!$D$12*(Reservoir!$G$14-G14)+Inputs!$E$12*(Inputs!$D$27-G14)))</f>
        <v>23.510944634186007</v>
      </c>
      <c r="H15" s="23">
        <f t="shared" si="0"/>
        <v>0.43885244426857178</v>
      </c>
      <c r="J15" s="20">
        <v>10</v>
      </c>
      <c r="K15" s="21">
        <f>IF(K14="","",K14+Inputs!$B$5/Inputs!$B$13*(Inputs!$C$13*(IF(Inputs!$C$23&gt;0,10^(-Inputs!$C$23),0)-K14)+Inputs!$D$13*(Reservoir!$B$14-K14)+Inputs!$E$13*(IF(Inputs!$D$23&gt;0,10^(-Inputs!$D$23),0)-K14)))</f>
        <v>9.382661488456937E-6</v>
      </c>
      <c r="L15" s="22">
        <f t="shared" si="6"/>
        <v>5.027673952047607</v>
      </c>
      <c r="M15" s="8">
        <f>IF(M14="","",M14+Inputs!$B$5/Inputs!$B$13*(Inputs!$C$13*(Inputs!$C$24-M14)+Inputs!$D$13*(Reservoir!$D$14-M14)+Inputs!$E$13*(Inputs!$D$24-M14)))</f>
        <v>2.6648245237404997</v>
      </c>
      <c r="N15" s="8">
        <f>IF(N14="","",N14+Inputs!$B$5/Inputs!$B$13*(Inputs!$C$13*(Inputs!$C$25-N14)+Inputs!$D$13*(Reservoir!$E$14-N14)+Inputs!$E$13*(Inputs!$D$25-N14)))</f>
        <v>1.1700545498492847</v>
      </c>
      <c r="O15" s="8">
        <f>IF(O14="","",O14+Inputs!$B$5/Inputs!$B$13*(Inputs!$C$13*(Inputs!$C$26-O14)+Inputs!$D$13*(Reservoir!$F$14-O14)+Inputs!$E$13*(Inputs!$D$26-O14)))</f>
        <v>36.283132628993286</v>
      </c>
      <c r="P15" s="8">
        <f>IF(P14="","",P14+Inputs!$B$5/Inputs!$B$13*(Inputs!$C$13*(Inputs!$C$27-P14)+Inputs!$D$13*(Reservoir!$G$14-P14)+Inputs!$E$13*(Inputs!$D$27-P14)))</f>
        <v>23.392985822399211</v>
      </c>
      <c r="Q15" s="23">
        <f t="shared" si="1"/>
        <v>0.43907376993323727</v>
      </c>
      <c r="S15" s="20">
        <v>10</v>
      </c>
      <c r="T15" s="21">
        <f>IF(T14="","",T14+Inputs!$B$5/Inputs!$B$14*(Inputs!$C$14*(IF(Inputs!$C$23&gt;0,10^(-Inputs!$C$23),0)-T14)+Inputs!$D$14*(Reservoir!$B$14-T14)+Inputs!$E$14*(IF(Inputs!$D$23&gt;0,10^(-Inputs!$D$23),0)-T14)))</f>
        <v>1.2852870525206773E-5</v>
      </c>
      <c r="U15" s="22">
        <f t="shared" si="7"/>
        <v>4.8909998673494162</v>
      </c>
      <c r="V15" s="8">
        <f>IF(V14="","",V14+Inputs!$B$5/Inputs!$B$14*(Inputs!$C$14*(Inputs!$C$24-V14)+Inputs!$D$14*(Reservoir!$D$14-V14)+Inputs!$E$14*(Inputs!$D$24-V14)))</f>
        <v>2.8937507082907143</v>
      </c>
      <c r="W15" s="8">
        <f>IF(W14="","",W14+Inputs!$B$5/Inputs!$B$14*(Inputs!$C$14*(Inputs!$C$25-W14)+Inputs!$D$14*(Reservoir!$E$14-W14)+Inputs!$E$14*(Inputs!$D$25-W14)))</f>
        <v>1.5025866656290947</v>
      </c>
      <c r="X15" s="8">
        <f>IF(X14="","",X14+Inputs!$B$5/Inputs!$B$14*(Inputs!$C$14*(Inputs!$C$26-X14)+Inputs!$D$14*(Reservoir!$F$14-X14)+Inputs!$E$14*(Inputs!$D$26-X14)))</f>
        <v>36.41479632363405</v>
      </c>
      <c r="Y15" s="8">
        <f>IF(Y14="","",Y14+Inputs!$B$5/Inputs!$B$14*(Inputs!$C$14*(Inputs!$C$27-Y14)+Inputs!$D$14*(Reservoir!$G$14-Y14)+Inputs!$E$14*(Inputs!$D$27-Y14)))</f>
        <v>23.765857810924132</v>
      </c>
      <c r="Z15" s="23">
        <f t="shared" si="2"/>
        <v>0.5192522843533558</v>
      </c>
      <c r="AB15" s="20">
        <v>10</v>
      </c>
      <c r="AC15" s="21">
        <f>IF(AC14="","",AC14+Inputs!$B$5/Inputs!$B$15*(Inputs!$C$15*(IF(Inputs!$C$23&gt;0,10^(-Inputs!$C$23),0)-AC14)+Inputs!$D$15*(Reservoir!$B$14-AC14)+Inputs!$E$15*(IF(Inputs!$D$23&gt;0,10^(-Inputs!$D$23),0)-AC14)))</f>
        <v>9.6043406385904742E-7</v>
      </c>
      <c r="AD15" s="22">
        <f t="shared" si="8"/>
        <v>6.0175324451542984</v>
      </c>
      <c r="AE15" s="8">
        <f>IF(AE14="","",AE14+Inputs!$B$5/Inputs!$B$15*(Inputs!$C$15*(Inputs!$C$24-AE14)+Inputs!$D$15*(Reservoir!$D$14-AE14)+Inputs!$E$15*(Inputs!$D$24-AE14)))</f>
        <v>1.0837561009932792</v>
      </c>
      <c r="AF15" s="8">
        <f>IF(AF14="","",AF14+Inputs!$B$5/Inputs!$B$15*(Inputs!$C$15*(Inputs!$C$25-AF14)+Inputs!$D$15*(Reservoir!$E$14-AF14)+Inputs!$E$15*(Inputs!$D$25-AF14)))</f>
        <v>0.55899542844784345</v>
      </c>
      <c r="AG15" s="8">
        <f>IF(AG14="","",AG14+Inputs!$B$5/Inputs!$B$15*(Inputs!$C$15*(Inputs!$C$26-AG14)+Inputs!$D$15*(Reservoir!$F$14-AG14)+Inputs!$E$15*(Inputs!$D$26-AG14)))</f>
        <v>41.856430707308128</v>
      </c>
      <c r="AH15" s="8">
        <f>IF(AH14="","",AH14+Inputs!$B$5/Inputs!$B$15*(Inputs!$C$15*(Inputs!$C$27-AH14)+Inputs!$D$15*(Reservoir!$G$14-AH14)+Inputs!$E$15*(Inputs!$D$27-AH14)))</f>
        <v>28.711463653625781</v>
      </c>
      <c r="AI15" s="23">
        <f t="shared" si="3"/>
        <v>0.51579449281578715</v>
      </c>
      <c r="AK15" s="20">
        <v>10</v>
      </c>
      <c r="AL15" s="21">
        <f>IF(AL14="","",AL14+Inputs!$B$5/Inputs!$B$16*(Inputs!$C$16*(IF(Inputs!$C$23&gt;0,10^(-Inputs!$C$23),0)-AL14)+Inputs!$D$16*(Reservoir!$B$14-AL14)+Inputs!$E$16*(IF(Inputs!$D$23&gt;0,10^(-Inputs!$D$23),0)-AL14)))</f>
        <v>9.6043406385904742E-7</v>
      </c>
      <c r="AM15" s="22">
        <f t="shared" si="9"/>
        <v>6.0175324451542984</v>
      </c>
      <c r="AN15" s="8">
        <f>IF(AN14="","",AN14+Inputs!$B$5/Inputs!$B$16*(Inputs!$C$16*(Inputs!$C$24-AN14)+Inputs!$D$16*(Reservoir!$D$14-AN14)+Inputs!$E$16*(Inputs!$D$24-AN14)))</f>
        <v>1.0276142303134863</v>
      </c>
      <c r="AO15" s="8">
        <f>IF(AO14="","",AO14+Inputs!$B$5/Inputs!$B$16*(Inputs!$C$16*(Inputs!$C$25-AO14)+Inputs!$D$16*(Reservoir!$E$14-AO14)+Inputs!$E$16*(Inputs!$D$25-AO14)))</f>
        <v>0.50737071977676951</v>
      </c>
      <c r="AP15" s="8">
        <f>IF(AP14="","",AP14+Inputs!$B$5/Inputs!$B$16*(Inputs!$C$16*(Inputs!$C$26-AP14)+Inputs!$D$16*(Reservoir!$F$14-AP14)+Inputs!$E$16*(Inputs!$D$26-AP14)))</f>
        <v>41.727368935630444</v>
      </c>
      <c r="AQ15" s="8">
        <f>IF(AQ14="","",AQ14+Inputs!$B$5/Inputs!$B$16*(Inputs!$C$16*(Inputs!$C$27-AQ14)+Inputs!$D$16*(Reservoir!$G$14-AQ14)+Inputs!$E$16*(Inputs!$D$27-AQ14)))</f>
        <v>28.388809224431565</v>
      </c>
      <c r="AR15" s="23">
        <f t="shared" si="4"/>
        <v>0.49373656456858317</v>
      </c>
    </row>
    <row r="16" spans="1:44" ht="18" customHeight="1" x14ac:dyDescent="0.25">
      <c r="A16" s="20">
        <v>11</v>
      </c>
      <c r="B16" s="21">
        <f>IF(B15="","",B15+Inputs!$B$5/Inputs!$B$12*(Inputs!$C$12*(IF(Inputs!$C$23&gt;0,10^(-Inputs!$C$23),0)-B15)+Inputs!$D$12*(Reservoir!$B$15-B15)+Inputs!$E$12*(IF(Inputs!$D$23&gt;0,10^(-Inputs!$D$23),0)-B15)))</f>
        <v>1.0150328269529673E-5</v>
      </c>
      <c r="C16" s="22">
        <f t="shared" si="5"/>
        <v>4.9935199121015126</v>
      </c>
      <c r="D16" s="8">
        <f>IF(D15="","",D15+Inputs!$B$5/Inputs!$B$12*(Inputs!$C$12*(Inputs!$C$24-D15)+Inputs!$D$12*(Reservoir!$D$15-D15)+Inputs!$E$12*(Inputs!$D$24-D15)))</f>
        <v>2.5989170280092186</v>
      </c>
      <c r="E16" s="8">
        <f>IF(E15="","",E15+Inputs!$B$5/Inputs!$B$12*(Inputs!$C$12*(Inputs!$C$25-E15)+Inputs!$D$12*(Reservoir!$E$15-E15)+Inputs!$E$12*(Inputs!$D$25-E15)))</f>
        <v>1.2581637090217241</v>
      </c>
      <c r="F16" s="8">
        <f>IF(F15="","",F15+Inputs!$B$5/Inputs!$B$12*(Inputs!$C$12*(Inputs!$C$26-F15)+Inputs!$D$12*(Reservoir!$F$15-F15)+Inputs!$E$12*(Inputs!$D$26-F15)))</f>
        <v>37.799947415090223</v>
      </c>
      <c r="G16" s="8">
        <f>IF(G15="","",G15+Inputs!$B$5/Inputs!$B$12*(Inputs!$C$12*(Inputs!$C$27-G15)+Inputs!$D$12*(Reservoir!$G$15-G15)+Inputs!$E$12*(Inputs!$D$27-G15)))</f>
        <v>23.943307519998712</v>
      </c>
      <c r="H16" s="23">
        <f t="shared" si="0"/>
        <v>0.48411076439230644</v>
      </c>
      <c r="J16" s="20">
        <v>11</v>
      </c>
      <c r="K16" s="21">
        <f>IF(K15="","",K15+Inputs!$B$5/Inputs!$B$13*(Inputs!$C$13*(IF(Inputs!$C$23&gt;0,10^(-Inputs!$C$23),0)-K15)+Inputs!$D$13*(Reservoir!$B$15-K15)+Inputs!$E$13*(IF(Inputs!$D$23&gt;0,10^(-Inputs!$D$23),0)-K15)))</f>
        <v>1.0150328269529673E-5</v>
      </c>
      <c r="L16" s="22">
        <f t="shared" si="6"/>
        <v>4.9935199121015126</v>
      </c>
      <c r="M16" s="8">
        <f>IF(M15="","",M15+Inputs!$B$5/Inputs!$B$13*(Inputs!$C$13*(Inputs!$C$24-M15)+Inputs!$D$13*(Reservoir!$D$15-M15)+Inputs!$E$13*(Inputs!$D$24-M15)))</f>
        <v>2.5989170280092186</v>
      </c>
      <c r="N16" s="8">
        <f>IF(N15="","",N15+Inputs!$B$5/Inputs!$B$13*(Inputs!$C$13*(Inputs!$C$25-N15)+Inputs!$D$13*(Reservoir!$E$15-N15)+Inputs!$E$13*(Inputs!$D$25-N15)))</f>
        <v>1.2587231708147697</v>
      </c>
      <c r="O16" s="8">
        <f>IF(O15="","",O15+Inputs!$B$5/Inputs!$B$13*(Inputs!$C$13*(Inputs!$C$26-O15)+Inputs!$D$13*(Reservoir!$F$15-O15)+Inputs!$E$13*(Inputs!$D$26-O15)))</f>
        <v>37.240485622044289</v>
      </c>
      <c r="P16" s="8">
        <f>IF(P15="","",P15+Inputs!$B$5/Inputs!$B$13*(Inputs!$C$13*(Inputs!$C$27-P15)+Inputs!$D$13*(Reservoir!$G$15-P15)+Inputs!$E$13*(Inputs!$D$27-P15)))</f>
        <v>23.831415161389522</v>
      </c>
      <c r="Q16" s="23">
        <f t="shared" si="1"/>
        <v>0.48432603166979782</v>
      </c>
      <c r="S16" s="20">
        <v>11</v>
      </c>
      <c r="T16" s="21">
        <f>IF(T15="","",T15+Inputs!$B$5/Inputs!$B$14*(Inputs!$C$14*(IF(Inputs!$C$23&gt;0,10^(-Inputs!$C$23),0)-T15)+Inputs!$D$14*(Reservoir!$B$15-T15)+Inputs!$E$14*(IF(Inputs!$D$23&gt;0,10^(-Inputs!$D$23),0)-T15)))</f>
        <v>1.3904443293392898E-5</v>
      </c>
      <c r="U16" s="22">
        <f t="shared" si="7"/>
        <v>4.8568463947500211</v>
      </c>
      <c r="V16" s="8">
        <f>IF(V15="","",V15+Inputs!$B$5/Inputs!$B$14*(Inputs!$C$14*(Inputs!$C$24-V15)+Inputs!$D$14*(Reservoir!$D$15-V15)+Inputs!$E$14*(Inputs!$D$24-V15)))</f>
        <v>2.8203045794273489</v>
      </c>
      <c r="W16" s="8">
        <f>IF(W15="","",W15+Inputs!$B$5/Inputs!$B$14*(Inputs!$C$14*(Inputs!$C$25-W15)+Inputs!$D$14*(Reservoir!$E$15-W15)+Inputs!$E$14*(Inputs!$D$25-W15)))</f>
        <v>1.6187359825530341</v>
      </c>
      <c r="X16" s="8">
        <f>IF(X15="","",X15+Inputs!$B$5/Inputs!$B$14*(Inputs!$C$14*(Inputs!$C$26-X15)+Inputs!$D$14*(Reservoir!$F$15-X15)+Inputs!$E$14*(Inputs!$D$26-X15)))</f>
        <v>37.44851753928819</v>
      </c>
      <c r="Y16" s="8">
        <f>IF(Y15="","",Y15+Inputs!$B$5/Inputs!$B$14*(Inputs!$C$14*(Inputs!$C$27-Y15)+Inputs!$D$14*(Reservoir!$G$15-Y15)+Inputs!$E$14*(Inputs!$D$27-Y15)))</f>
        <v>24.276346643033616</v>
      </c>
      <c r="Z16" s="23">
        <f t="shared" si="2"/>
        <v>0.57395786056614906</v>
      </c>
      <c r="AB16" s="20">
        <v>11</v>
      </c>
      <c r="AC16" s="21">
        <f>IF(AC15="","",AC15+Inputs!$B$5/Inputs!$B$15*(Inputs!$C$15*(IF(Inputs!$C$23&gt;0,10^(-Inputs!$C$23),0)-AC15)+Inputs!$D$15*(Reservoir!$B$15-AC15)+Inputs!$E$15*(IF(Inputs!$D$23&gt;0,10^(-Inputs!$D$23),0)-AC15)))</f>
        <v>1.0903973372063243E-6</v>
      </c>
      <c r="AD16" s="22">
        <f t="shared" si="8"/>
        <v>5.9624152177364902</v>
      </c>
      <c r="AE16" s="8">
        <f>IF(AE15="","",AE15+Inputs!$B$5/Inputs!$B$15*(Inputs!$C$15*(Inputs!$C$24-AE15)+Inputs!$D$15*(Reservoir!$D$15-AE15)+Inputs!$E$15*(Inputs!$D$24-AE15)))</f>
        <v>1.1084500335832259</v>
      </c>
      <c r="AF16" s="8">
        <f>IF(AF15="","",AF15+Inputs!$B$5/Inputs!$B$15*(Inputs!$C$15*(Inputs!$C$25-AF15)+Inputs!$D$15*(Reservoir!$E$15-AF15)+Inputs!$E$15*(Inputs!$D$25-AF15)))</f>
        <v>0.57159562218638416</v>
      </c>
      <c r="AG16" s="8">
        <f>IF(AG15="","",AG15+Inputs!$B$5/Inputs!$B$15*(Inputs!$C$15*(Inputs!$C$26-AG15)+Inputs!$D$15*(Reservoir!$F$15-AG15)+Inputs!$E$15*(Inputs!$D$26-AG15)))</f>
        <v>42.057069205251295</v>
      </c>
      <c r="AH16" s="8">
        <f>IF(AH15="","",AH15+Inputs!$B$5/Inputs!$B$15*(Inputs!$C$15*(Inputs!$C$27-AH15)+Inputs!$D$15*(Reservoir!$G$15-AH15)+Inputs!$E$15*(Inputs!$D$27-AH15)))</f>
        <v>28.604755249755517</v>
      </c>
      <c r="AI16" s="23">
        <f t="shared" si="3"/>
        <v>0.51567107661011857</v>
      </c>
      <c r="AK16" s="20">
        <v>11</v>
      </c>
      <c r="AL16" s="21">
        <f>IF(AL15="","",AL15+Inputs!$B$5/Inputs!$B$16*(Inputs!$C$16*(IF(Inputs!$C$23&gt;0,10^(-Inputs!$C$23),0)-AL15)+Inputs!$D$16*(Reservoir!$B$15-AL15)+Inputs!$E$16*(IF(Inputs!$D$23&gt;0,10^(-Inputs!$D$23),0)-AL15)))</f>
        <v>1.0903973372063243E-6</v>
      </c>
      <c r="AM16" s="22">
        <f t="shared" si="9"/>
        <v>5.9624152177364902</v>
      </c>
      <c r="AN16" s="8">
        <f>IF(AN15="","",AN15+Inputs!$B$5/Inputs!$B$16*(Inputs!$C$16*(Inputs!$C$24-AN15)+Inputs!$D$16*(Reservoir!$D$15-AN15)+Inputs!$E$16*(Inputs!$D$24-AN15)))</f>
        <v>1.0547142430754242</v>
      </c>
      <c r="AO16" s="8">
        <f>IF(AO15="","",AO15+Inputs!$B$5/Inputs!$B$16*(Inputs!$C$16*(Inputs!$C$25-AO15)+Inputs!$D$16*(Reservoir!$E$15-AO15)+Inputs!$E$16*(Inputs!$D$25-AO15)))</f>
        <v>0.52218340102978478</v>
      </c>
      <c r="AP16" s="8">
        <f>IF(AP15="","",AP15+Inputs!$B$5/Inputs!$B$16*(Inputs!$C$16*(Inputs!$C$26-AP15)+Inputs!$D$16*(Reservoir!$F$15-AP15)+Inputs!$E$16*(Inputs!$D$26-AP15)))</f>
        <v>41.9335386523598</v>
      </c>
      <c r="AQ16" s="8">
        <f>IF(AQ15="","",AQ15+Inputs!$B$5/Inputs!$B$16*(Inputs!$C$16*(Inputs!$C$27-AQ15)+Inputs!$D$16*(Reservoir!$G$15-AQ15)+Inputs!$E$16*(Inputs!$D$27-AQ15)))</f>
        <v>28.295928867526769</v>
      </c>
      <c r="AR16" s="23">
        <f t="shared" si="4"/>
        <v>0.49509467086284781</v>
      </c>
    </row>
    <row r="17" spans="1:44" ht="18" customHeight="1" x14ac:dyDescent="0.25">
      <c r="A17" s="20">
        <v>12</v>
      </c>
      <c r="B17" s="21">
        <f>IF(B16="","",B16+Inputs!$B$5/Inputs!$B$12*(Inputs!$C$12*(IF(Inputs!$C$23&gt;0,10^(-Inputs!$C$23),0)-B16)+Inputs!$D$12*(Reservoir!$B$16-B16)+Inputs!$E$12*(IF(Inputs!$D$23&gt;0,10^(-Inputs!$D$23),0)-B16)))</f>
        <v>1.0892652703900678E-5</v>
      </c>
      <c r="C17" s="22">
        <f t="shared" si="5"/>
        <v>4.9628663429830677</v>
      </c>
      <c r="D17" s="8">
        <f>IF(D16="","",D16+Inputs!$B$5/Inputs!$B$12*(Inputs!$C$12*(Inputs!$C$24-D16)+Inputs!$D$12*(Reservoir!$D$16-D16)+Inputs!$E$12*(Inputs!$D$24-D16)))</f>
        <v>2.5356628946235293</v>
      </c>
      <c r="E17" s="8">
        <f>IF(E16="","",E16+Inputs!$B$5/Inputs!$B$12*(Inputs!$C$12*(Inputs!$C$25-E16)+Inputs!$D$12*(Reservoir!$E$16-E16)+Inputs!$E$12*(Inputs!$D$25-E16)))</f>
        <v>1.3438984853948681</v>
      </c>
      <c r="F17" s="8">
        <f>IF(F16="","",F16+Inputs!$B$5/Inputs!$B$12*(Inputs!$C$12*(Inputs!$C$26-F16)+Inputs!$D$12*(Reservoir!$F$16-F16)+Inputs!$E$12*(Inputs!$D$26-F16)))</f>
        <v>38.696105896664243</v>
      </c>
      <c r="G17" s="8">
        <f>IF(G16="","",G16+Inputs!$B$5/Inputs!$B$12*(Inputs!$C$12*(Inputs!$C$27-G16)+Inputs!$D$12*(Reservoir!$G$16-G16)+Inputs!$E$12*(Inputs!$D$27-G16)))</f>
        <v>24.359188348997439</v>
      </c>
      <c r="H17" s="23">
        <f t="shared" si="0"/>
        <v>0.52999887652431699</v>
      </c>
      <c r="J17" s="20">
        <v>12</v>
      </c>
      <c r="K17" s="21">
        <f>IF(K16="","",K16+Inputs!$B$5/Inputs!$B$13*(Inputs!$C$13*(IF(Inputs!$C$23&gt;0,10^(-Inputs!$C$23),0)-K16)+Inputs!$D$13*(Reservoir!$B$16-K16)+Inputs!$E$13*(IF(Inputs!$D$23&gt;0,10^(-Inputs!$D$23),0)-K16)))</f>
        <v>1.0892652703900678E-5</v>
      </c>
      <c r="L17" s="22">
        <f t="shared" si="6"/>
        <v>4.9628663429830677</v>
      </c>
      <c r="M17" s="8">
        <f>IF(M16="","",M16+Inputs!$B$5/Inputs!$B$13*(Inputs!$C$13*(Inputs!$C$24-M16)+Inputs!$D$13*(Reservoir!$D$16-M16)+Inputs!$E$13*(Inputs!$D$24-M16)))</f>
        <v>2.5356628946235293</v>
      </c>
      <c r="N17" s="8">
        <f>IF(N16="","",N16+Inputs!$B$5/Inputs!$B$13*(Inputs!$C$13*(Inputs!$C$25-N16)+Inputs!$D$13*(Reservoir!$E$16-N16)+Inputs!$E$13*(Inputs!$D$25-N16)))</f>
        <v>1.3444291748671287</v>
      </c>
      <c r="O17" s="8">
        <f>IF(O16="","",O16+Inputs!$B$5/Inputs!$B$13*(Inputs!$C$13*(Inputs!$C$26-O16)+Inputs!$D$13*(Reservoir!$F$16-O16)+Inputs!$E$13*(Inputs!$D$26-O16)))</f>
        <v>38.165416424403531</v>
      </c>
      <c r="P17" s="8">
        <f>IF(P16="","",P16+Inputs!$B$5/Inputs!$B$13*(Inputs!$C$13*(Inputs!$C$27-P16)+Inputs!$D$13*(Reservoir!$G$16-P16)+Inputs!$E$13*(Inputs!$D$27-P16)))</f>
        <v>24.253050454545292</v>
      </c>
      <c r="Q17" s="23">
        <f t="shared" si="1"/>
        <v>0.53020816675504356</v>
      </c>
      <c r="S17" s="20">
        <v>12</v>
      </c>
      <c r="T17" s="21">
        <f>IF(T16="","",T16+Inputs!$B$5/Inputs!$B$14*(Inputs!$C$14*(IF(Inputs!$C$23&gt;0,10^(-Inputs!$C$23),0)-T16)+Inputs!$D$14*(Reservoir!$B$16-T16)+Inputs!$E$14*(IF(Inputs!$D$23&gt;0,10^(-Inputs!$D$23),0)-T16)))</f>
        <v>1.4920619290824647E-5</v>
      </c>
      <c r="U17" s="22">
        <f t="shared" si="7"/>
        <v>4.826213150790549</v>
      </c>
      <c r="V17" s="8">
        <f>IF(V16="","",V16+Inputs!$B$5/Inputs!$B$14*(Inputs!$C$14*(Inputs!$C$24-V16)+Inputs!$D$14*(Reservoir!$D$16-V16)+Inputs!$E$14*(Inputs!$D$24-V16)))</f>
        <v>2.7495175436462214</v>
      </c>
      <c r="W17" s="8">
        <f>IF(W16="","",W16+Inputs!$B$5/Inputs!$B$14*(Inputs!$C$14*(Inputs!$C$25-W16)+Inputs!$D$14*(Reservoir!$E$16-W16)+Inputs!$E$14*(Inputs!$D$25-W16)))</f>
        <v>1.7310023442763547</v>
      </c>
      <c r="X17" s="8">
        <f>IF(X16="","",X16+Inputs!$B$5/Inputs!$B$14*(Inputs!$C$14*(Inputs!$C$26-X16)+Inputs!$D$14*(Reservoir!$F$16-X16)+Inputs!$E$14*(Inputs!$D$26-X16)))</f>
        <v>38.449610775569141</v>
      </c>
      <c r="Y17" s="8">
        <f>IF(Y16="","",Y16+Inputs!$B$5/Inputs!$B$14*(Inputs!$C$14*(Inputs!$C$27-Y16)+Inputs!$D$14*(Reservoir!$G$16-Y16)+Inputs!$E$14*(Inputs!$D$27-Y16)))</f>
        <v>24.768827068492037</v>
      </c>
      <c r="Z17" s="23">
        <f t="shared" si="2"/>
        <v>0.62956584811632743</v>
      </c>
      <c r="AB17" s="20">
        <v>12</v>
      </c>
      <c r="AC17" s="21">
        <f>IF(AC16="","",AC16+Inputs!$B$5/Inputs!$B$15*(Inputs!$C$15*(IF(Inputs!$C$23&gt;0,10^(-Inputs!$C$23),0)-AC16)+Inputs!$D$15*(Reservoir!$B$16-AC16)+Inputs!$E$15*(IF(Inputs!$D$23&gt;0,10^(-Inputs!$D$23),0)-AC16)))</f>
        <v>1.2289284151635833E-6</v>
      </c>
      <c r="AD17" s="22">
        <f t="shared" si="8"/>
        <v>5.910473413944211</v>
      </c>
      <c r="AE17" s="8">
        <f>IF(AE16="","",AE16+Inputs!$B$5/Inputs!$B$15*(Inputs!$C$15*(Inputs!$C$24-AE16)+Inputs!$D$15*(Reservoir!$D$16-AE16)+Inputs!$E$15*(Inputs!$D$24-AE16)))</f>
        <v>1.1313494887701583</v>
      </c>
      <c r="AF17" s="8">
        <f>IF(AF16="","",AF16+Inputs!$B$5/Inputs!$B$15*(Inputs!$C$15*(Inputs!$C$25-AF16)+Inputs!$D$15*(Reservoir!$E$16-AF16)+Inputs!$E$15*(Inputs!$D$25-AF16)))</f>
        <v>0.58525329121551473</v>
      </c>
      <c r="AG17" s="8">
        <f>IF(AG16="","",AG16+Inputs!$B$5/Inputs!$B$15*(Inputs!$C$15*(Inputs!$C$26-AG16)+Inputs!$D$15*(Reservoir!$F$16-AG16)+Inputs!$E$15*(Inputs!$D$26-AG16)))</f>
        <v>42.265922016519184</v>
      </c>
      <c r="AH17" s="8">
        <f>IF(AH16="","",AH16+Inputs!$B$5/Inputs!$B$15*(Inputs!$C$15*(Inputs!$C$27-AH16)+Inputs!$D$15*(Reservoir!$G$16-AH16)+Inputs!$E$15*(Inputs!$D$27-AH16)))</f>
        <v>28.508373811936085</v>
      </c>
      <c r="AI17" s="23">
        <f t="shared" si="3"/>
        <v>0.51730548077740202</v>
      </c>
      <c r="AK17" s="20">
        <v>12</v>
      </c>
      <c r="AL17" s="21">
        <f>IF(AL16="","",AL16+Inputs!$B$5/Inputs!$B$16*(Inputs!$C$16*(IF(Inputs!$C$23&gt;0,10^(-Inputs!$C$23),0)-AL16)+Inputs!$D$16*(Reservoir!$B$16-AL16)+Inputs!$E$16*(IF(Inputs!$D$23&gt;0,10^(-Inputs!$D$23),0)-AL16)))</f>
        <v>1.2289284151635833E-6</v>
      </c>
      <c r="AM17" s="22">
        <f t="shared" si="9"/>
        <v>5.910473413944211</v>
      </c>
      <c r="AN17" s="8">
        <f>IF(AN16="","",AN16+Inputs!$B$5/Inputs!$B$16*(Inputs!$C$16*(Inputs!$C$24-AN16)+Inputs!$D$16*(Reservoir!$D$16-AN16)+Inputs!$E$16*(Inputs!$D$24-AN16)))</f>
        <v>1.0799166607126911</v>
      </c>
      <c r="AO17" s="8">
        <f>IF(AO16="","",AO16+Inputs!$B$5/Inputs!$B$16*(Inputs!$C$16*(Inputs!$C$25-AO16)+Inputs!$D$16*(Reservoir!$E$16-AO16)+Inputs!$E$16*(Inputs!$D$25-AO16)))</f>
        <v>0.53795873667991245</v>
      </c>
      <c r="AP17" s="8">
        <f>IF(AP16="","",AP16+Inputs!$B$5/Inputs!$B$16*(Inputs!$C$16*(Inputs!$C$26-AP16)+Inputs!$D$16*(Reservoir!$F$16-AP16)+Inputs!$E$16*(Inputs!$D$26-AP16)))</f>
        <v>42.147685630180185</v>
      </c>
      <c r="AQ17" s="8">
        <f>IF(AQ16="","",AQ16+Inputs!$B$5/Inputs!$B$16*(Inputs!$C$16*(Inputs!$C$27-AQ16)+Inputs!$D$16*(Reservoir!$G$16-AQ16)+Inputs!$E$16*(Inputs!$D$27-AQ16)))</f>
        <v>28.212782846088569</v>
      </c>
      <c r="AR17" s="23">
        <f t="shared" si="4"/>
        <v>0.49814838149166674</v>
      </c>
    </row>
    <row r="18" spans="1:44" ht="18" customHeight="1" x14ac:dyDescent="0.25">
      <c r="A18" s="20">
        <v>13</v>
      </c>
      <c r="B18" s="21">
        <f>IF(B17="","",B17+Inputs!$B$5/Inputs!$B$12*(Inputs!$C$12*(IF(Inputs!$C$23&gt;0,10^(-Inputs!$C$23),0)-B17)+Inputs!$D$12*(Reservoir!$B$17-B17)+Inputs!$E$12*(IF(Inputs!$D$23&gt;0,10^(-Inputs!$D$23),0)-B17)))</f>
        <v>1.1610611106311522E-5</v>
      </c>
      <c r="C18" s="22">
        <f t="shared" si="5"/>
        <v>4.9351449212507141</v>
      </c>
      <c r="D18" s="8">
        <f>IF(D17="","",D17+Inputs!$B$5/Inputs!$B$12*(Inputs!$C$12*(Inputs!$C$24-D17)+Inputs!$D$12*(Reservoir!$D$17-D17)+Inputs!$E$12*(Inputs!$D$24-D17)))</f>
        <v>2.4749452145823585</v>
      </c>
      <c r="E18" s="8">
        <f>IF(E17="","",E17+Inputs!$B$5/Inputs!$B$12*(Inputs!$C$12*(Inputs!$C$25-E17)+Inputs!$D$12*(Reservoir!$E$17-E17)+Inputs!$E$12*(Inputs!$D$25-E17)))</f>
        <v>1.4267844024975327</v>
      </c>
      <c r="F18" s="8">
        <f>IF(F17="","",F17+Inputs!$B$5/Inputs!$B$12*(Inputs!$C$12*(Inputs!$C$26-F17)+Inputs!$D$12*(Reservoir!$F$17-F17)+Inputs!$E$12*(Inputs!$D$26-F17)))</f>
        <v>39.562598360388805</v>
      </c>
      <c r="G18" s="8">
        <f>IF(G17="","",G17+Inputs!$B$5/Inputs!$B$12*(Inputs!$C$12*(Inputs!$C$27-G17)+Inputs!$D$12*(Reservoir!$G$17-G17)+Inputs!$E$12*(Inputs!$D$27-G17)))</f>
        <v>24.759289745765404</v>
      </c>
      <c r="H18" s="23">
        <f t="shared" si="0"/>
        <v>0.57649130739982835</v>
      </c>
      <c r="J18" s="20">
        <v>13</v>
      </c>
      <c r="K18" s="21">
        <f>IF(K17="","",K17+Inputs!$B$5/Inputs!$B$13*(Inputs!$C$13*(IF(Inputs!$C$23&gt;0,10^(-Inputs!$C$23),0)-K17)+Inputs!$D$13*(Reservoir!$B$17-K17)+Inputs!$E$13*(IF(Inputs!$D$23&gt;0,10^(-Inputs!$D$23),0)-K17)))</f>
        <v>1.1610611106311522E-5</v>
      </c>
      <c r="L18" s="22">
        <f t="shared" si="6"/>
        <v>4.9351449212507141</v>
      </c>
      <c r="M18" s="8">
        <f>IF(M17="","",M17+Inputs!$B$5/Inputs!$B$13*(Inputs!$C$13*(Inputs!$C$24-M17)+Inputs!$D$13*(Reservoir!$D$17-M17)+Inputs!$E$13*(Inputs!$D$24-M17)))</f>
        <v>2.4749452145823585</v>
      </c>
      <c r="N18" s="8">
        <f>IF(N17="","",N17+Inputs!$B$5/Inputs!$B$13*(Inputs!$C$13*(Inputs!$C$25-N17)+Inputs!$D$13*(Reservoir!$E$17-N17)+Inputs!$E$13*(Inputs!$D$25-N17)))</f>
        <v>1.4272877993683628</v>
      </c>
      <c r="O18" s="8">
        <f>IF(O17="","",O17+Inputs!$B$5/Inputs!$B$13*(Inputs!$C$13*(Inputs!$C$26-O17)+Inputs!$D$13*(Reservoir!$F$17-O17)+Inputs!$E$13*(Inputs!$D$26-O17)))</f>
        <v>39.059201489558646</v>
      </c>
      <c r="P18" s="8">
        <f>IF(P17="","",P17+Inputs!$B$5/Inputs!$B$13*(Inputs!$C$13*(Inputs!$C$27-P17)+Inputs!$D$13*(Reservoir!$G$17-P17)+Inputs!$E$13*(Inputs!$D$27-P17)))</f>
        <v>24.658610371599369</v>
      </c>
      <c r="Q18" s="23">
        <f t="shared" si="1"/>
        <v>0.57669470457721406</v>
      </c>
      <c r="S18" s="20">
        <v>13</v>
      </c>
      <c r="T18" s="21">
        <f>IF(T17="","",T17+Inputs!$B$5/Inputs!$B$14*(Inputs!$C$14*(IF(Inputs!$C$23&gt;0,10^(-Inputs!$C$23),0)-T17)+Inputs!$D$14*(Reservoir!$B$17-T17)+Inputs!$E$14*(IF(Inputs!$D$23&gt;0,10^(-Inputs!$D$23),0)-T17)))</f>
        <v>1.5902700705383844E-5</v>
      </c>
      <c r="U18" s="22">
        <f t="shared" si="7"/>
        <v>4.7985291145572377</v>
      </c>
      <c r="V18" s="8">
        <f>IF(V17="","",V17+Inputs!$B$5/Inputs!$B$14*(Inputs!$C$14*(Inputs!$C$24-V17)+Inputs!$D$14*(Reservoir!$D$17-V17)+Inputs!$E$14*(Inputs!$D$24-V17)))</f>
        <v>2.6812880476308472</v>
      </c>
      <c r="W18" s="8">
        <f>IF(W17="","",W17+Inputs!$B$5/Inputs!$B$14*(Inputs!$C$14*(Inputs!$C$25-W17)+Inputs!$D$14*(Reservoir!$E$17-W17)+Inputs!$E$14*(Inputs!$D$25-W17)))</f>
        <v>1.8395276658337902</v>
      </c>
      <c r="X18" s="8">
        <f>IF(X17="","",X17+Inputs!$B$5/Inputs!$B$14*(Inputs!$C$14*(Inputs!$C$26-X17)+Inputs!$D$14*(Reservoir!$F$17-X17)+Inputs!$E$14*(Inputs!$D$26-X17)))</f>
        <v>39.419209775461283</v>
      </c>
      <c r="Y18" s="8">
        <f>IF(Y17="","",Y17+Inputs!$B$5/Inputs!$B$14*(Inputs!$C$14*(Inputs!$C$27-Y17)+Inputs!$D$14*(Reservoir!$G$17-Y17)+Inputs!$E$14*(Inputs!$D$27-Y17)))</f>
        <v>25.243977456804881</v>
      </c>
      <c r="Z18" s="23">
        <f t="shared" si="2"/>
        <v>0.68606118893461454</v>
      </c>
      <c r="AB18" s="20">
        <v>13</v>
      </c>
      <c r="AC18" s="21">
        <f>IF(AC17="","",AC17+Inputs!$B$5/Inputs!$B$15*(Inputs!$C$15*(IF(Inputs!$C$23&gt;0,10^(-Inputs!$C$23),0)-AC17)+Inputs!$D$15*(Reservoir!$B$17-AC17)+Inputs!$E$15*(IF(Inputs!$D$23&gt;0,10^(-Inputs!$D$23),0)-AC17)))</f>
        <v>1.3753331001587371E-6</v>
      </c>
      <c r="AD18" s="22">
        <f t="shared" si="8"/>
        <v>5.8615921047130062</v>
      </c>
      <c r="AE18" s="8">
        <f>IF(AE17="","",AE17+Inputs!$B$5/Inputs!$B$15*(Inputs!$C$15*(Inputs!$C$24-AE17)+Inputs!$D$15*(Reservoir!$D$17-AE17)+Inputs!$E$15*(Inputs!$D$24-AE17)))</f>
        <v>1.1525509223623336</v>
      </c>
      <c r="AF18" s="8">
        <f>IF(AF17="","",AF17+Inputs!$B$5/Inputs!$B$15*(Inputs!$C$15*(Inputs!$C$25-AF17)+Inputs!$D$15*(Reservoir!$E$17-AF17)+Inputs!$E$15*(Inputs!$D$25-AF17)))</f>
        <v>0.59988598937210758</v>
      </c>
      <c r="AG18" s="8">
        <f>IF(AG17="","",AG17+Inputs!$B$5/Inputs!$B$15*(Inputs!$C$15*(Inputs!$C$26-AG17)+Inputs!$D$15*(Reservoir!$F$17-AG17)+Inputs!$E$15*(Inputs!$D$26-AG17)))</f>
        <v>42.482246125649944</v>
      </c>
      <c r="AH18" s="8">
        <f>IF(AH17="","",AH17+Inputs!$B$5/Inputs!$B$15*(Inputs!$C$15*(Inputs!$C$27-AH17)+Inputs!$D$15*(Reservoir!$G$17-AH17)+Inputs!$E$15*(Inputs!$D$27-AH17)))</f>
        <v>28.421731731855232</v>
      </c>
      <c r="AI18" s="23">
        <f t="shared" si="3"/>
        <v>0.52048545338243912</v>
      </c>
      <c r="AK18" s="20">
        <v>13</v>
      </c>
      <c r="AL18" s="21">
        <f>IF(AL17="","",AL17+Inputs!$B$5/Inputs!$B$16*(Inputs!$C$16*(IF(Inputs!$C$23&gt;0,10^(-Inputs!$C$23),0)-AL17)+Inputs!$D$16*(Reservoir!$B$17-AL17)+Inputs!$E$16*(IF(Inputs!$D$23&gt;0,10^(-Inputs!$D$23),0)-AL17)))</f>
        <v>1.3753331001587371E-6</v>
      </c>
      <c r="AM18" s="22">
        <f t="shared" si="9"/>
        <v>5.8615921047130062</v>
      </c>
      <c r="AN18" s="8">
        <f>IF(AN17="","",AN17+Inputs!$B$5/Inputs!$B$16*(Inputs!$C$16*(Inputs!$C$24-AN17)+Inputs!$D$16*(Reservoir!$D$17-AN17)+Inputs!$E$16*(Inputs!$D$24-AN17)))</f>
        <v>1.1033223583644722</v>
      </c>
      <c r="AO18" s="8">
        <f>IF(AO17="","",AO17+Inputs!$B$5/Inputs!$B$16*(Inputs!$C$16*(Inputs!$C$25-AO17)+Inputs!$D$16*(Reservoir!$E$17-AO17)+Inputs!$E$16*(Inputs!$D$25-AO17)))</f>
        <v>0.55461834431660262</v>
      </c>
      <c r="AP18" s="8">
        <f>IF(AP17="","",AP17+Inputs!$B$5/Inputs!$B$16*(Inputs!$C$16*(Inputs!$C$26-AP17)+Inputs!$D$16*(Reservoir!$F$17-AP17)+Inputs!$E$16*(Inputs!$D$26-AP17)))</f>
        <v>42.369077013011186</v>
      </c>
      <c r="AQ18" s="8">
        <f>IF(AQ17="","",AQ17+Inputs!$B$5/Inputs!$B$16*(Inputs!$C$16*(Inputs!$C$27-AQ17)+Inputs!$D$16*(Reservoir!$G$17-AQ17)+Inputs!$E$16*(Inputs!$D$27-AQ17)))</f>
        <v>28.138808950258323</v>
      </c>
      <c r="AR18" s="23">
        <f t="shared" si="4"/>
        <v>0.50268023675215834</v>
      </c>
    </row>
    <row r="19" spans="1:44" ht="18" customHeight="1" x14ac:dyDescent="0.25">
      <c r="A19" s="20">
        <v>14</v>
      </c>
      <c r="B19" s="21">
        <f>IF(B18="","",B18+Inputs!$B$5/Inputs!$B$12*(Inputs!$C$12*(IF(Inputs!$C$23&gt;0,10^(-Inputs!$C$23),0)-B18)+Inputs!$D$12*(Reservoir!$B$18-B18)+Inputs!$E$12*(IF(Inputs!$D$23&gt;0,10^(-Inputs!$D$23),0)-B18)))</f>
        <v>1.2305137900356956E-5</v>
      </c>
      <c r="C19" s="22">
        <f t="shared" si="5"/>
        <v>4.9099135149129465</v>
      </c>
      <c r="D19" s="8">
        <f>IF(D18="","",D18+Inputs!$B$5/Inputs!$B$12*(Inputs!$C$12*(Inputs!$C$24-D18)+Inputs!$D$12*(Reservoir!$D$18-D18)+Inputs!$E$12*(Inputs!$D$24-D18)))</f>
        <v>2.4166524841765664</v>
      </c>
      <c r="E19" s="8">
        <f>IF(E18="","",E18+Inputs!$B$5/Inputs!$B$12*(Inputs!$C$12*(Inputs!$C$25-E18)+Inputs!$D$12*(Reservoir!$E$18-E18)+Inputs!$E$12*(Inputs!$D$25-E18)))</f>
        <v>1.5069317995647518</v>
      </c>
      <c r="F19" s="8">
        <f>IF(F18="","",F18+Inputs!$B$5/Inputs!$B$12*(Inputs!$C$12*(Inputs!$C$26-F18)+Inputs!$D$12*(Reservoir!$F$18-F18)+Inputs!$E$12*(Inputs!$D$26-F18)))</f>
        <v>40.400569556943957</v>
      </c>
      <c r="G19" s="8">
        <f>IF(G18="","",G18+Inputs!$B$5/Inputs!$B$12*(Inputs!$C$12*(Inputs!$C$27-G18)+Inputs!$D$12*(Reservoir!$G$18-G18)+Inputs!$E$12*(Inputs!$D$27-G18)))</f>
        <v>25.14428240943494</v>
      </c>
      <c r="H19" s="23">
        <f t="shared" si="0"/>
        <v>0.62356164547101334</v>
      </c>
      <c r="J19" s="20">
        <v>14</v>
      </c>
      <c r="K19" s="21">
        <f>IF(K18="","",K18+Inputs!$B$5/Inputs!$B$13*(Inputs!$C$13*(IF(Inputs!$C$23&gt;0,10^(-Inputs!$C$23),0)-K18)+Inputs!$D$13*(Reservoir!$B$18-K18)+Inputs!$E$13*(IF(Inputs!$D$23&gt;0,10^(-Inputs!$D$23),0)-K18)))</f>
        <v>1.2305137900356956E-5</v>
      </c>
      <c r="L19" s="22">
        <f t="shared" si="6"/>
        <v>4.9099135149129465</v>
      </c>
      <c r="M19" s="8">
        <f>IF(M18="","",M18+Inputs!$B$5/Inputs!$B$13*(Inputs!$C$13*(Inputs!$C$24-M18)+Inputs!$D$13*(Reservoir!$D$18-M18)+Inputs!$E$13*(Inputs!$D$24-M18)))</f>
        <v>2.4166524841765664</v>
      </c>
      <c r="N19" s="8">
        <f>IF(N18="","",N18+Inputs!$B$5/Inputs!$B$13*(Inputs!$C$13*(Inputs!$C$25-N18)+Inputs!$D$13*(Reservoir!$E$18-N18)+Inputs!$E$13*(Inputs!$D$25-N18)))</f>
        <v>1.5074093074536534</v>
      </c>
      <c r="O19" s="8">
        <f>IF(O18="","",O18+Inputs!$B$5/Inputs!$B$13*(Inputs!$C$13*(Inputs!$C$26-O18)+Inputs!$D$13*(Reservoir!$F$18-O18)+Inputs!$E$13*(Inputs!$D$26-O18)))</f>
        <v>39.923061668042209</v>
      </c>
      <c r="P19" s="8">
        <f>IF(P18="","",P18+Inputs!$B$5/Inputs!$B$13*(Inputs!$C$13*(Inputs!$C$27-P18)+Inputs!$D$13*(Reservoir!$G$18-P18)+Inputs!$E$13*(Inputs!$D$27-P18)))</f>
        <v>25.048780831654586</v>
      </c>
      <c r="Q19" s="23">
        <f t="shared" si="1"/>
        <v>0.62375923610186668</v>
      </c>
      <c r="S19" s="20">
        <v>14</v>
      </c>
      <c r="T19" s="21">
        <f>IF(T18="","",T18+Inputs!$B$5/Inputs!$B$14*(Inputs!$C$14*(IF(Inputs!$C$23&gt;0,10^(-Inputs!$C$23),0)-T18)+Inputs!$D$14*(Reservoir!$B$18-T18)+Inputs!$E$14*(IF(Inputs!$D$23&gt;0,10^(-Inputs!$D$23),0)-T18)))</f>
        <v>1.6851939060426799E-5</v>
      </c>
      <c r="U19" s="22">
        <f t="shared" si="7"/>
        <v>4.7733501200275201</v>
      </c>
      <c r="V19" s="8">
        <f>IF(V18="","",V18+Inputs!$B$5/Inputs!$B$14*(Inputs!$C$14*(Inputs!$C$24-V18)+Inputs!$D$14*(Reservoir!$D$18-V18)+Inputs!$E$14*(Inputs!$D$24-V18)))</f>
        <v>2.6155185201754998</v>
      </c>
      <c r="W19" s="8">
        <f>IF(W18="","",W18+Inputs!$B$5/Inputs!$B$14*(Inputs!$C$14*(Inputs!$C$25-W18)+Inputs!$D$14*(Reservoir!$E$18-W18)+Inputs!$E$14*(Inputs!$D$25-W18)))</f>
        <v>1.9444483746535546</v>
      </c>
      <c r="X19" s="8">
        <f>IF(X18="","",X18+Inputs!$B$5/Inputs!$B$14*(Inputs!$C$14*(Inputs!$C$26-X18)+Inputs!$D$14*(Reservoir!$F$18-X18)+Inputs!$E$14*(Inputs!$D$26-X18)))</f>
        <v>40.358406253231266</v>
      </c>
      <c r="Y19" s="8">
        <f>IF(Y18="","",Y18+Inputs!$B$5/Inputs!$B$14*(Inputs!$C$14*(Inputs!$C$27-Y18)+Inputs!$D$14*(Reservoir!$G$18-Y18)+Inputs!$E$14*(Inputs!$D$27-Y18)))</f>
        <v>25.702449691502228</v>
      </c>
      <c r="Z19" s="23">
        <f t="shared" si="2"/>
        <v>0.74342749235172045</v>
      </c>
      <c r="AB19" s="20">
        <v>14</v>
      </c>
      <c r="AC19" s="21">
        <f>IF(AC18="","",AC18+Inputs!$B$5/Inputs!$B$15*(Inputs!$C$15*(IF(Inputs!$C$23&gt;0,10^(-Inputs!$C$23),0)-AC18)+Inputs!$D$15*(Reservoir!$B$18-AC18)+Inputs!$E$15*(IF(Inputs!$D$23&gt;0,10^(-Inputs!$D$23),0)-AC18)))</f>
        <v>1.5289552652698161E-6</v>
      </c>
      <c r="AD19" s="22">
        <f t="shared" si="8"/>
        <v>5.815605221147969</v>
      </c>
      <c r="AE19" s="8">
        <f>IF(AE18="","",AE18+Inputs!$B$5/Inputs!$B$15*(Inputs!$C$15*(Inputs!$C$24-AE18)+Inputs!$D$15*(Reservoir!$D$18-AE18)+Inputs!$E$15*(Inputs!$D$24-AE18)))</f>
        <v>1.1721460491766771</v>
      </c>
      <c r="AF19" s="8">
        <f>IF(AF18="","",AF18+Inputs!$B$5/Inputs!$B$15*(Inputs!$C$15*(Inputs!$C$25-AF18)+Inputs!$D$15*(Reservoir!$E$18-AF18)+Inputs!$E$15*(Inputs!$D$25-AF18)))</f>
        <v>0.61541575616610944</v>
      </c>
      <c r="AG19" s="8">
        <f>IF(AG18="","",AG18+Inputs!$B$5/Inputs!$B$15*(Inputs!$C$15*(Inputs!$C$26-AG18)+Inputs!$D$15*(Reservoir!$F$18-AG18)+Inputs!$E$15*(Inputs!$D$26-AG18)))</f>
        <v>42.70534040392581</v>
      </c>
      <c r="AH19" s="8">
        <f>IF(AH18="","",AH18+Inputs!$B$5/Inputs!$B$15*(Inputs!$C$15*(Inputs!$C$27-AH18)+Inputs!$D$15*(Reservoir!$G$18-AH18)+Inputs!$E$15*(Inputs!$D$27-AH18)))</f>
        <v>28.344270793941764</v>
      </c>
      <c r="AI19" s="23">
        <f t="shared" si="3"/>
        <v>0.52503334085234632</v>
      </c>
      <c r="AK19" s="20">
        <v>14</v>
      </c>
      <c r="AL19" s="21">
        <f>IF(AL18="","",AL18+Inputs!$B$5/Inputs!$B$16*(Inputs!$C$16*(IF(Inputs!$C$23&gt;0,10^(-Inputs!$C$23),0)-AL18)+Inputs!$D$16*(Reservoir!$B$18-AL18)+Inputs!$E$16*(IF(Inputs!$D$23&gt;0,10^(-Inputs!$D$23),0)-AL18)))</f>
        <v>1.5289552652698161E-6</v>
      </c>
      <c r="AM19" s="22">
        <f t="shared" si="9"/>
        <v>5.815605221147969</v>
      </c>
      <c r="AN19" s="8">
        <f>IF(AN18="","",AN18+Inputs!$B$5/Inputs!$B$16*(Inputs!$C$16*(Inputs!$C$24-AN18)+Inputs!$D$16*(Reservoir!$D$18-AN18)+Inputs!$E$16*(Inputs!$D$24-AN18)))</f>
        <v>1.125027280778724</v>
      </c>
      <c r="AO19" s="8">
        <f>IF(AO18="","",AO18+Inputs!$B$5/Inputs!$B$16*(Inputs!$C$16*(Inputs!$C$25-AO18)+Inputs!$D$16*(Reservoir!$E$18-AO18)+Inputs!$E$16*(Inputs!$D$25-AO18)))</f>
        <v>0.57208815304155469</v>
      </c>
      <c r="AP19" s="8">
        <f>IF(AP18="","",AP18+Inputs!$B$5/Inputs!$B$16*(Inputs!$C$16*(Inputs!$C$26-AP18)+Inputs!$D$16*(Reservoir!$F$18-AP18)+Inputs!$E$16*(Inputs!$D$26-AP18)))</f>
        <v>42.597021396114428</v>
      </c>
      <c r="AQ19" s="8">
        <f>IF(AQ18="","",AQ18+Inputs!$B$5/Inputs!$B$16*(Inputs!$C$16*(Inputs!$C$27-AQ18)+Inputs!$D$16*(Reservoir!$G$18-AQ18)+Inputs!$E$16*(Inputs!$D$27-AQ18)))</f>
        <v>28.073473274413292</v>
      </c>
      <c r="AR19" s="23">
        <f t="shared" si="4"/>
        <v>0.50851047153769047</v>
      </c>
    </row>
    <row r="20" spans="1:44" ht="18" customHeight="1" x14ac:dyDescent="0.25">
      <c r="A20" s="20">
        <v>15</v>
      </c>
      <c r="B20" s="21">
        <f>IF(B19="","",B19+Inputs!$B$5/Inputs!$B$12*(Inputs!$C$12*(IF(Inputs!$C$23&gt;0,10^(-Inputs!$C$23),0)-B19)+Inputs!$D$12*(Reservoir!$B$19-B19)+Inputs!$E$12*(IF(Inputs!$D$23&gt;0,10^(-Inputs!$D$23),0)-B19)))</f>
        <v>1.2977127528470507E-5</v>
      </c>
      <c r="C20" s="22">
        <f t="shared" si="5"/>
        <v>4.8868214274578872</v>
      </c>
      <c r="D20" s="8">
        <f>IF(D19="","",D19+Inputs!$B$5/Inputs!$B$12*(Inputs!$C$12*(Inputs!$C$24-D19)+Inputs!$D$12*(Reservoir!$D$19-D19)+Inputs!$E$12*(Inputs!$D$24-D19)))</f>
        <v>2.3606783491962728</v>
      </c>
      <c r="E20" s="8">
        <f>IF(E19="","",E19+Inputs!$B$5/Inputs!$B$12*(Inputs!$C$12*(Inputs!$C$25-E19)+Inputs!$D$12*(Reservoir!$E$19-E19)+Inputs!$E$12*(Inputs!$D$25-E19)))</f>
        <v>1.5844462652196589</v>
      </c>
      <c r="F20" s="8">
        <f>IF(F19="","",F19+Inputs!$B$5/Inputs!$B$12*(Inputs!$C$12*(Inputs!$C$26-F19)+Inputs!$D$12*(Reservoir!$F$19-F19)+Inputs!$E$12*(Inputs!$D$26-F19)))</f>
        <v>41.21111510819847</v>
      </c>
      <c r="G20" s="8">
        <f>IF(G19="","",G19+Inputs!$B$5/Inputs!$B$12*(Inputs!$C$12*(Inputs!$C$27-G19)+Inputs!$D$12*(Reservoir!$G$19-G19)+Inputs!$E$12*(Inputs!$D$27-G19)))</f>
        <v>25.514806611263744</v>
      </c>
      <c r="H20" s="23">
        <f t="shared" si="0"/>
        <v>0.67118261399699231</v>
      </c>
      <c r="J20" s="20">
        <v>15</v>
      </c>
      <c r="K20" s="21">
        <f>IF(K19="","",K19+Inputs!$B$5/Inputs!$B$13*(Inputs!$C$13*(IF(Inputs!$C$23&gt;0,10^(-Inputs!$C$23),0)-K19)+Inputs!$D$13*(Reservoir!$B$19-K19)+Inputs!$E$13*(IF(Inputs!$D$23&gt;0,10^(-Inputs!$D$23),0)-K19)))</f>
        <v>1.2977127528470507E-5</v>
      </c>
      <c r="L20" s="22">
        <f t="shared" si="6"/>
        <v>4.8868214274578872</v>
      </c>
      <c r="M20" s="8">
        <f>IF(M19="","",M19+Inputs!$B$5/Inputs!$B$13*(Inputs!$C$13*(Inputs!$C$24-M19)+Inputs!$D$13*(Reservoir!$D$19-M19)+Inputs!$E$13*(Inputs!$D$24-M19)))</f>
        <v>2.3606783491962728</v>
      </c>
      <c r="N20" s="8">
        <f>IF(N19="","",N19+Inputs!$B$5/Inputs!$B$13*(Inputs!$C$13*(Inputs!$C$25-N19)+Inputs!$D$13*(Reservoir!$E$19-N19)+Inputs!$E$13*(Inputs!$D$25-N19)))</f>
        <v>1.5848992155599886</v>
      </c>
      <c r="O20" s="8">
        <f>IF(O19="","",O19+Inputs!$B$5/Inputs!$B$13*(Inputs!$C$13*(Inputs!$C$26-O19)+Inputs!$D$13*(Reservoir!$F$19-O19)+Inputs!$E$13*(Inputs!$D$26-O19)))</f>
        <v>40.758164767868813</v>
      </c>
      <c r="P20" s="8">
        <f>IF(P19="","",P19+Inputs!$B$5/Inputs!$B$13*(Inputs!$C$13*(Inputs!$C$27-P19)+Inputs!$D$13*(Reservoir!$G$19-P19)+Inputs!$E$13*(Inputs!$D$27-P19)))</f>
        <v>25.424216543197808</v>
      </c>
      <c r="Q20" s="23">
        <f t="shared" si="1"/>
        <v>0.67137448695608637</v>
      </c>
      <c r="S20" s="20">
        <v>15</v>
      </c>
      <c r="T20" s="21">
        <f>IF(T19="","",T19+Inputs!$B$5/Inputs!$B$14*(Inputs!$C$14*(IF(Inputs!$C$23&gt;0,10^(-Inputs!$C$23),0)-T19)+Inputs!$D$14*(Reservoir!$B$19-T19)+Inputs!$E$14*(IF(Inputs!$D$23&gt;0,10^(-Inputs!$D$23),0)-T19)))</f>
        <v>1.7769537244941801E-5</v>
      </c>
      <c r="U20" s="22">
        <f t="shared" si="7"/>
        <v>4.7503238819631335</v>
      </c>
      <c r="V20" s="8">
        <f>IF(V19="","",V19+Inputs!$B$5/Inputs!$B$14*(Inputs!$C$14*(Inputs!$C$24-V19)+Inputs!$D$14*(Reservoir!$D$19-V19)+Inputs!$E$14*(Inputs!$D$24-V19)))</f>
        <v>2.5521152148379791</v>
      </c>
      <c r="W20" s="8">
        <f>IF(W19="","",W19+Inputs!$B$5/Inputs!$B$14*(Inputs!$C$14*(Inputs!$C$25-W19)+Inputs!$D$14*(Reservoir!$E$19-W19)+Inputs!$E$14*(Inputs!$D$25-W19)))</f>
        <v>2.0458956290990726</v>
      </c>
      <c r="X20" s="8">
        <f>IF(X19="","",X19+Inputs!$B$5/Inputs!$B$14*(Inputs!$C$14*(Inputs!$C$26-X19)+Inputs!$D$14*(Reservoir!$F$19-X19)+Inputs!$E$14*(Inputs!$D$26-X19)))</f>
        <v>41.268251506870435</v>
      </c>
      <c r="Y20" s="8">
        <f>IF(Y19="","",Y19+Inputs!$B$5/Inputs!$B$14*(Inputs!$C$14*(Inputs!$C$27-Y19)+Inputs!$D$14*(Reservoir!$G$19-Y19)+Inputs!$E$14*(Inputs!$D$27-Y19)))</f>
        <v>26.144870219155749</v>
      </c>
      <c r="Z20" s="23">
        <f t="shared" si="2"/>
        <v>0.80164704837941891</v>
      </c>
      <c r="AB20" s="20">
        <v>15</v>
      </c>
      <c r="AC20" s="21">
        <f>IF(AC19="","",AC19+Inputs!$B$5/Inputs!$B$15*(Inputs!$C$15*(IF(Inputs!$C$23&gt;0,10^(-Inputs!$C$23),0)-AC19)+Inputs!$D$15*(Reservoir!$B$19-AC19)+Inputs!$E$15*(IF(Inputs!$D$23&gt;0,10^(-Inputs!$D$23),0)-AC19)))</f>
        <v>1.6891749782094472E-6</v>
      </c>
      <c r="AD20" s="22">
        <f t="shared" si="8"/>
        <v>5.7723253604143387</v>
      </c>
      <c r="AE20" s="8">
        <f>IF(AE19="","",AE19+Inputs!$B$5/Inputs!$B$15*(Inputs!$C$15*(Inputs!$C$24-AE19)+Inputs!$D$15*(Reservoir!$D$19-AE19)+Inputs!$E$15*(Inputs!$D$24-AE19)))</f>
        <v>1.1902220684178921</v>
      </c>
      <c r="AF20" s="8">
        <f>IF(AF19="","",AF19+Inputs!$B$5/Inputs!$B$15*(Inputs!$C$15*(Inputs!$C$25-AF19)+Inputs!$D$15*(Reservoir!$E$19-AF19)+Inputs!$E$15*(Inputs!$D$25-AF19)))</f>
        <v>0.6317688962486564</v>
      </c>
      <c r="AG20" s="8">
        <f>IF(AG19="","",AG19+Inputs!$B$5/Inputs!$B$15*(Inputs!$C$15*(Inputs!$C$26-AG19)+Inputs!$D$15*(Reservoir!$F$19-AG19)+Inputs!$E$15*(Inputs!$D$26-AG19)))</f>
        <v>42.934543515083476</v>
      </c>
      <c r="AH20" s="8">
        <f>IF(AH19="","",AH19+Inputs!$B$5/Inputs!$B$15*(Inputs!$C$15*(Inputs!$C$27-AH19)+Inputs!$D$15*(Reservoir!$G$19-AH19)+Inputs!$E$15*(Inputs!$D$27-AH19)))</f>
        <v>28.275460771372575</v>
      </c>
      <c r="AI20" s="23">
        <f t="shared" si="3"/>
        <v>0.53079917858390746</v>
      </c>
      <c r="AK20" s="20">
        <v>15</v>
      </c>
      <c r="AL20" s="21">
        <f>IF(AL19="","",AL19+Inputs!$B$5/Inputs!$B$16*(Inputs!$C$16*(IF(Inputs!$C$23&gt;0,10^(-Inputs!$C$23),0)-AL19)+Inputs!$D$16*(Reservoir!$B$19-AL19)+Inputs!$E$16*(IF(Inputs!$D$23&gt;0,10^(-Inputs!$D$23),0)-AL19)))</f>
        <v>1.6891749782094472E-6</v>
      </c>
      <c r="AM20" s="22">
        <f t="shared" si="9"/>
        <v>5.7723253604143387</v>
      </c>
      <c r="AN20" s="8">
        <f>IF(AN19="","",AN19+Inputs!$B$5/Inputs!$B$16*(Inputs!$C$16*(Inputs!$C$24-AN19)+Inputs!$D$16*(Reservoir!$D$19-AN19)+Inputs!$E$16*(Inputs!$D$24-AN19)))</f>
        <v>1.145122675808423</v>
      </c>
      <c r="AO20" s="8">
        <f>IF(AO19="","",AO19+Inputs!$B$5/Inputs!$B$16*(Inputs!$C$16*(Inputs!$C$25-AO19)+Inputs!$D$16*(Reservoir!$E$19-AO19)+Inputs!$E$16*(Inputs!$D$25-AO19)))</f>
        <v>0.59029819040086828</v>
      </c>
      <c r="AP20" s="8">
        <f>IF(AP19="","",AP19+Inputs!$B$5/Inputs!$B$16*(Inputs!$C$16*(Inputs!$C$26-AP19)+Inputs!$D$16*(Reservoir!$F$19-AP19)+Inputs!$E$16*(Inputs!$D$26-AP19)))</f>
        <v>42.830866750464011</v>
      </c>
      <c r="AQ20" s="8">
        <f>IF(AQ19="","",AQ19+Inputs!$B$5/Inputs!$B$16*(Inputs!$C$16*(Inputs!$C$27-AQ19)+Inputs!$D$16*(Reservoir!$G$19-AQ19)+Inputs!$E$16*(Inputs!$D$27-AQ19)))</f>
        <v>28.016268859823896</v>
      </c>
      <c r="AR20" s="23">
        <f t="shared" si="4"/>
        <v>0.51548904136767282</v>
      </c>
    </row>
    <row r="21" spans="1:44" ht="18" customHeight="1" x14ac:dyDescent="0.25">
      <c r="A21" s="20">
        <v>16</v>
      </c>
      <c r="B21" s="21">
        <f>IF(B20="","",B20+Inputs!$B$5/Inputs!$B$12*(Inputs!$C$12*(IF(Inputs!$C$23&gt;0,10^(-Inputs!$C$23),0)-B20)+Inputs!$D$12*(Reservoir!$B$20-B20)+Inputs!$E$12*(IF(Inputs!$D$23&gt;0,10^(-Inputs!$D$23),0)-B20)))</f>
        <v>1.3627436272156685E-5</v>
      </c>
      <c r="C21" s="22">
        <f t="shared" si="5"/>
        <v>4.8655858402461769</v>
      </c>
      <c r="D21" s="8">
        <f>IF(D20="","",D20+Inputs!$B$5/Inputs!$B$12*(Inputs!$C$12*(Inputs!$C$24-D20)+Inputs!$D$12*(Reservoir!$D$20-D20)+Inputs!$E$12*(Inputs!$D$24-D20)))</f>
        <v>2.306921361373655</v>
      </c>
      <c r="E21" s="8">
        <f>IF(E20="","",E20+Inputs!$B$5/Inputs!$B$12*(Inputs!$C$12*(Inputs!$C$25-E20)+Inputs!$D$12*(Reservoir!$E$20-E20)+Inputs!$E$12*(Inputs!$D$25-E20)))</f>
        <v>1.6594288544936808</v>
      </c>
      <c r="F21" s="8">
        <f>IF(F20="","",F20+Inputs!$B$5/Inputs!$B$12*(Inputs!$C$12*(Inputs!$C$26-F20)+Inputs!$D$12*(Reservoir!$F$20-F20)+Inputs!$E$12*(Inputs!$D$26-F20)))</f>
        <v>41.995283745214493</v>
      </c>
      <c r="G21" s="8">
        <f>IF(G20="","",G20+Inputs!$B$5/Inputs!$B$12*(Inputs!$C$12*(Inputs!$C$27-G20)+Inputs!$D$12*(Reservoir!$G$20-G20)+Inputs!$E$12*(Inputs!$D$27-G20)))</f>
        <v>25.871473620907402</v>
      </c>
      <c r="H21" s="23">
        <f t="shared" si="0"/>
        <v>0.7193261470800959</v>
      </c>
      <c r="J21" s="20">
        <v>16</v>
      </c>
      <c r="K21" s="21">
        <f>IF(K20="","",K20+Inputs!$B$5/Inputs!$B$13*(Inputs!$C$13*(IF(Inputs!$C$23&gt;0,10^(-Inputs!$C$23),0)-K20)+Inputs!$D$13*(Reservoir!$B$20-K20)+Inputs!$E$13*(IF(Inputs!$D$23&gt;0,10^(-Inputs!$D$23),0)-K20)))</f>
        <v>1.3627436272156685E-5</v>
      </c>
      <c r="L21" s="22">
        <f t="shared" si="6"/>
        <v>4.8655858402461769</v>
      </c>
      <c r="M21" s="8">
        <f>IF(M20="","",M20+Inputs!$B$5/Inputs!$B$13*(Inputs!$C$13*(Inputs!$C$24-M20)+Inputs!$D$13*(Reservoir!$D$20-M20)+Inputs!$E$13*(Inputs!$D$24-M20)))</f>
        <v>2.306921361373655</v>
      </c>
      <c r="N21" s="8">
        <f>IF(N20="","",N20+Inputs!$B$5/Inputs!$B$13*(Inputs!$C$13*(Inputs!$C$25-N20)+Inputs!$D$13*(Reservoir!$E$20-N20)+Inputs!$E$13*(Inputs!$D$25-N20)))</f>
        <v>1.6598585102450794</v>
      </c>
      <c r="O21" s="8">
        <f>IF(O20="","",O20+Inputs!$B$5/Inputs!$B$13*(Inputs!$C$13*(Inputs!$C$26-O20)+Inputs!$D$13*(Reservoir!$F$20-O20)+Inputs!$E$13*(Inputs!$D$26-O20)))</f>
        <v>41.565627993816079</v>
      </c>
      <c r="P21" s="8">
        <f>IF(P20="","",P20+Inputs!$B$5/Inputs!$B$13*(Inputs!$C$13*(Inputs!$C$27-P20)+Inputs!$D$13*(Reservoir!$G$20-P20)+Inputs!$E$13*(Inputs!$D$27-P20)))</f>
        <v>25.785542470627714</v>
      </c>
      <c r="Q21" s="23">
        <f t="shared" si="1"/>
        <v>0.71951239345961826</v>
      </c>
      <c r="S21" s="20">
        <v>16</v>
      </c>
      <c r="T21" s="21">
        <f>IF(T20="","",T20+Inputs!$B$5/Inputs!$B$14*(Inputs!$C$14*(IF(Inputs!$C$23&gt;0,10^(-Inputs!$C$23),0)-T20)+Inputs!$D$14*(Reservoir!$B$20-T20)+Inputs!$E$14*(IF(Inputs!$D$23&gt;0,10^(-Inputs!$D$23),0)-T20)))</f>
        <v>1.8656651461375837E-5</v>
      </c>
      <c r="U21" s="22">
        <f t="shared" si="7"/>
        <v>4.7291663017655816</v>
      </c>
      <c r="V21" s="8">
        <f>IF(V20="","",V20+Inputs!$B$5/Inputs!$B$14*(Inputs!$C$14*(Inputs!$C$24-V20)+Inputs!$D$14*(Reservoir!$D$20-V20)+Inputs!$E$14*(Inputs!$D$24-V20)))</f>
        <v>2.4909880587780262</v>
      </c>
      <c r="W21" s="8">
        <f>IF(W20="","",W20+Inputs!$B$5/Inputs!$B$14*(Inputs!$C$14*(Inputs!$C$25-W20)+Inputs!$D$14*(Reservoir!$E$20-W20)+Inputs!$E$14*(Inputs!$D$25-W20)))</f>
        <v>2.1439955282071184</v>
      </c>
      <c r="X21" s="8">
        <f>IF(X20="","",X20+Inputs!$B$5/Inputs!$B$14*(Inputs!$C$14*(Inputs!$C$26-X20)+Inputs!$D$14*(Reservoir!$F$20-X20)+Inputs!$E$14*(Inputs!$D$26-X20)))</f>
        <v>42.149757967966735</v>
      </c>
      <c r="Y21" s="8">
        <f>IF(Y20="","",Y20+Inputs!$B$5/Inputs!$B$14*(Inputs!$C$14*(Inputs!$C$27-Y20)+Inputs!$D$14*(Reservoir!$G$20-Y20)+Inputs!$E$14*(Inputs!$D$27-Y20)))</f>
        <v>26.57184105684717</v>
      </c>
      <c r="Z21" s="23">
        <f t="shared" si="2"/>
        <v>0.86070084545442271</v>
      </c>
      <c r="AB21" s="20">
        <v>16</v>
      </c>
      <c r="AC21" s="21">
        <f>IF(AC20="","",AC20+Inputs!$B$5/Inputs!$B$15*(Inputs!$C$15*(IF(Inputs!$C$23&gt;0,10^(-Inputs!$C$23),0)-AC20)+Inputs!$D$15*(Reservoir!$B$20-AC20)+Inputs!$E$15*(IF(Inputs!$D$23&gt;0,10^(-Inputs!$D$23),0)-AC20)))</f>
        <v>1.8554067141844165E-6</v>
      </c>
      <c r="AD21" s="22">
        <f t="shared" si="8"/>
        <v>5.7315608761486105</v>
      </c>
      <c r="AE21" s="8">
        <f>IF(AE20="","",AE20+Inputs!$B$5/Inputs!$B$15*(Inputs!$C$15*(Inputs!$C$24-AE20)+Inputs!$D$15*(Reservoir!$D$20-AE20)+Inputs!$E$15*(Inputs!$D$24-AE20)))</f>
        <v>1.2068618784788874</v>
      </c>
      <c r="AF21" s="8">
        <f>IF(AF20="","",AF20+Inputs!$B$5/Inputs!$B$15*(Inputs!$C$15*(Inputs!$C$25-AF20)+Inputs!$D$15*(Reservoir!$E$20-AF20)+Inputs!$E$15*(Inputs!$D$25-AF20)))</f>
        <v>0.64887576932331836</v>
      </c>
      <c r="AG21" s="8">
        <f>IF(AG20="","",AG20+Inputs!$B$5/Inputs!$B$15*(Inputs!$C$15*(Inputs!$C$26-AG20)+Inputs!$D$15*(Reservoir!$F$20-AG20)+Inputs!$E$15*(Inputs!$D$26-AG20)))</f>
        <v>43.169231921303272</v>
      </c>
      <c r="AH21" s="8">
        <f>IF(AH20="","",AH20+Inputs!$B$5/Inputs!$B$15*(Inputs!$C$15*(Inputs!$C$27-AH20)+Inputs!$D$15*(Reservoir!$G$20-AH20)+Inputs!$E$15*(Inputs!$D$27-AH20)))</f>
        <v>28.21479808796526</v>
      </c>
      <c r="AI21" s="23">
        <f t="shared" si="3"/>
        <v>0.53765536959469851</v>
      </c>
      <c r="AK21" s="20">
        <v>16</v>
      </c>
      <c r="AL21" s="21">
        <f>IF(AL20="","",AL20+Inputs!$B$5/Inputs!$B$16*(Inputs!$C$16*(IF(Inputs!$C$23&gt;0,10^(-Inputs!$C$23),0)-AL20)+Inputs!$D$16*(Reservoir!$B$20-AL20)+Inputs!$E$16*(IF(Inputs!$D$23&gt;0,10^(-Inputs!$D$23),0)-AL20)))</f>
        <v>1.8554067141844165E-6</v>
      </c>
      <c r="AM21" s="22">
        <f t="shared" si="9"/>
        <v>5.7315608761486105</v>
      </c>
      <c r="AN21" s="8">
        <f>IF(AN20="","",AN20+Inputs!$B$5/Inputs!$B$16*(Inputs!$C$16*(Inputs!$C$24-AN20)+Inputs!$D$16*(Reservoir!$D$20-AN20)+Inputs!$E$16*(Inputs!$D$24-AN20)))</f>
        <v>1.1636953169812525</v>
      </c>
      <c r="AO21" s="8">
        <f>IF(AO20="","",AO20+Inputs!$B$5/Inputs!$B$16*(Inputs!$C$16*(Inputs!$C$25-AO20)+Inputs!$D$16*(Reservoir!$E$20-AO20)+Inputs!$E$16*(Inputs!$D$25-AO20)))</f>
        <v>0.60918237944043541</v>
      </c>
      <c r="AP21" s="8">
        <f>IF(AP20="","",AP20+Inputs!$B$5/Inputs!$B$16*(Inputs!$C$16*(Inputs!$C$26-AP20)+Inputs!$D$16*(Reservoir!$F$20-AP20)+Inputs!$E$16*(Inputs!$D$26-AP20)))</f>
        <v>43.069998446596067</v>
      </c>
      <c r="AQ21" s="8">
        <f>IF(AQ20="","",AQ20+Inputs!$B$5/Inputs!$B$16*(Inputs!$C$16*(Inputs!$C$27-AQ20)+Inputs!$D$16*(Reservoir!$G$20-AQ20)+Inputs!$E$16*(Inputs!$D$27-AQ20)))</f>
        <v>27.966714401197237</v>
      </c>
      <c r="AR21" s="23">
        <f t="shared" si="4"/>
        <v>0.52348958576263616</v>
      </c>
    </row>
    <row r="22" spans="1:44" ht="18" customHeight="1" x14ac:dyDescent="0.25">
      <c r="A22" s="20">
        <v>17</v>
      </c>
      <c r="B22" s="21">
        <f>IF(B21="","",B21+Inputs!$B$5/Inputs!$B$12*(Inputs!$C$12*(IF(Inputs!$C$23&gt;0,10^(-Inputs!$C$23),0)-B21)+Inputs!$D$12*(Reservoir!$B$21-B21)+Inputs!$E$12*(IF(Inputs!$D$23&gt;0,10^(-Inputs!$D$23),0)-B21)))</f>
        <v>1.4256883986747502E-5</v>
      </c>
      <c r="C22" s="22">
        <f t="shared" si="5"/>
        <v>4.8459753843885531</v>
      </c>
      <c r="D22" s="8">
        <f>IF(D21="","",D21+Inputs!$B$5/Inputs!$B$12*(Inputs!$C$12*(Inputs!$C$24-D21)+Inputs!$D$12*(Reservoir!$D$21-D21)+Inputs!$E$12*(Inputs!$D$24-D21)))</f>
        <v>2.2552847464730656</v>
      </c>
      <c r="E22" s="8">
        <f>IF(E21="","",E21+Inputs!$B$5/Inputs!$B$12*(Inputs!$C$12*(Inputs!$C$25-E21)+Inputs!$D$12*(Reservoir!$E$21-E21)+Inputs!$E$12*(Inputs!$D$25-E21)))</f>
        <v>1.7319762956375524</v>
      </c>
      <c r="F22" s="8">
        <f>IF(F21="","",F21+Inputs!$B$5/Inputs!$B$12*(Inputs!$C$12*(Inputs!$C$26-F21)+Inputs!$D$12*(Reservoir!$F$21-F21)+Inputs!$E$12*(Inputs!$D$26-F21)))</f>
        <v>42.754079441253538</v>
      </c>
      <c r="G22" s="8">
        <f>IF(G21="","",G21+Inputs!$B$5/Inputs!$B$12*(Inputs!$C$12*(Inputs!$C$27-G21)+Inputs!$D$12*(Reservoir!$G$21-G21)+Inputs!$E$12*(Inputs!$D$27-G21)))</f>
        <v>26.214867064806317</v>
      </c>
      <c r="H22" s="23">
        <f t="shared" si="0"/>
        <v>0.76796346818117278</v>
      </c>
      <c r="J22" s="20">
        <v>17</v>
      </c>
      <c r="K22" s="21">
        <f>IF(K21="","",K21+Inputs!$B$5/Inputs!$B$13*(Inputs!$C$13*(IF(Inputs!$C$23&gt;0,10^(-Inputs!$C$23),0)-K21)+Inputs!$D$13*(Reservoir!$B$21-K21)+Inputs!$E$13*(IF(Inputs!$D$23&gt;0,10^(-Inputs!$D$23),0)-K21)))</f>
        <v>1.4256883986747502E-5</v>
      </c>
      <c r="L22" s="22">
        <f t="shared" si="6"/>
        <v>4.8459753843885531</v>
      </c>
      <c r="M22" s="8">
        <f>IF(M21="","",M21+Inputs!$B$5/Inputs!$B$13*(Inputs!$C$13*(Inputs!$C$24-M21)+Inputs!$D$13*(Reservoir!$D$21-M21)+Inputs!$E$13*(Inputs!$D$24-M21)))</f>
        <v>2.2552847464730656</v>
      </c>
      <c r="N22" s="8">
        <f>IF(N21="","",N21+Inputs!$B$5/Inputs!$B$13*(Inputs!$C$13*(Inputs!$C$25-N21)+Inputs!$D$13*(Reservoir!$E$21-N21)+Inputs!$E$13*(Inputs!$D$25-N21)))</f>
        <v>1.7323838548074504</v>
      </c>
      <c r="O22" s="8">
        <f>IF(O21="","",O21+Inputs!$B$5/Inputs!$B$13*(Inputs!$C$13*(Inputs!$C$26-O21)+Inputs!$D$13*(Reservoir!$F$21-O21)+Inputs!$E$13*(Inputs!$D$26-O21)))</f>
        <v>42.346520271355615</v>
      </c>
      <c r="P22" s="8">
        <f>IF(P21="","",P21+Inputs!$B$5/Inputs!$B$13*(Inputs!$C$13*(Inputs!$C$27-P21)+Inputs!$D$13*(Reservoir!$G$21-P21)+Inputs!$E$13*(Inputs!$D$27-P21)))</f>
        <v>26.133355230826727</v>
      </c>
      <c r="Q22" s="23">
        <f t="shared" si="1"/>
        <v>0.7681441811357278</v>
      </c>
      <c r="S22" s="20">
        <v>17</v>
      </c>
      <c r="T22" s="21">
        <f>IF(T21="","",T21+Inputs!$B$5/Inputs!$B$14*(Inputs!$C$14*(IF(Inputs!$C$23&gt;0,10^(-Inputs!$C$23),0)-T21)+Inputs!$D$14*(Reservoir!$B$21-T21)+Inputs!$E$14*(IF(Inputs!$D$23&gt;0,10^(-Inputs!$D$23),0)-T21)))</f>
        <v>1.9514393094473516E-5</v>
      </c>
      <c r="U22" s="22">
        <f t="shared" si="7"/>
        <v>4.7096449509069345</v>
      </c>
      <c r="V22" s="8">
        <f>IF(V21="","",V21+Inputs!$B$5/Inputs!$B$14*(Inputs!$C$14*(Inputs!$C$24-V21)+Inputs!$D$14*(Reservoir!$D$21-V21)+Inputs!$E$14*(Inputs!$D$24-V21)))</f>
        <v>2.4320505075418972</v>
      </c>
      <c r="W22" s="8">
        <f>IF(W21="","",W21+Inputs!$B$5/Inputs!$B$14*(Inputs!$C$14*(Inputs!$C$25-W21)+Inputs!$D$14*(Reservoir!$E$21-W21)+Inputs!$E$14*(Inputs!$D$25-W21)))</f>
        <v>2.238869312977037</v>
      </c>
      <c r="X22" s="8">
        <f>IF(X21="","",X21+Inputs!$B$5/Inputs!$B$14*(Inputs!$C$14*(Inputs!$C$26-X21)+Inputs!$D$14*(Reservoir!$F$21-X21)+Inputs!$E$14*(Inputs!$D$26-X21)))</f>
        <v>43.003900691421883</v>
      </c>
      <c r="Y22" s="8">
        <f>IF(Y21="","",Y21+Inputs!$B$5/Inputs!$B$14*(Inputs!$C$14*(Inputs!$C$27-Y21)+Inputs!$D$14*(Reservoir!$G$21-Y21)+Inputs!$E$14*(Inputs!$D$27-Y21)))</f>
        <v>26.983940759716951</v>
      </c>
      <c r="Z22" s="23">
        <f t="shared" si="2"/>
        <v>0.92056859264813917</v>
      </c>
      <c r="AB22" s="20">
        <v>17</v>
      </c>
      <c r="AC22" s="21">
        <f>IF(AC21="","",AC21+Inputs!$B$5/Inputs!$B$15*(Inputs!$C$15*(IF(Inputs!$C$23&gt;0,10^(-Inputs!$C$23),0)-AC21)+Inputs!$D$15*(Reservoir!$B$21-AC21)+Inputs!$E$15*(IF(Inputs!$D$23&gt;0,10^(-Inputs!$D$23),0)-AC21)))</f>
        <v>2.0270976534832453E-6</v>
      </c>
      <c r="AD22" s="22">
        <f t="shared" si="8"/>
        <v>5.6931253290833324</v>
      </c>
      <c r="AE22" s="8">
        <f>IF(AE21="","",AE21+Inputs!$B$5/Inputs!$B$15*(Inputs!$C$15*(Inputs!$C$24-AE21)+Inputs!$D$15*(Reservoir!$D$21-AE21)+Inputs!$E$15*(Inputs!$D$24-AE21)))</f>
        <v>1.222144281656991</v>
      </c>
      <c r="AF22" s="8">
        <f>IF(AF21="","",AF21+Inputs!$B$5/Inputs!$B$15*(Inputs!$C$15*(Inputs!$C$25-AF21)+Inputs!$D$15*(Reservoir!$E$21-AF21)+Inputs!$E$15*(Inputs!$D$25-AF21)))</f>
        <v>0.66667059001300844</v>
      </c>
      <c r="AG22" s="8">
        <f>IF(AG21="","",AG21+Inputs!$B$5/Inputs!$B$15*(Inputs!$C$15*(Inputs!$C$26-AG21)+Inputs!$D$15*(Reservoir!$F$21-AG21)+Inputs!$E$15*(Inputs!$D$26-AG21)))</f>
        <v>43.408817984754634</v>
      </c>
      <c r="AH22" s="8">
        <f>IF(AH21="","",AH21+Inputs!$B$5/Inputs!$B$15*(Inputs!$C$15*(Inputs!$C$27-AH21)+Inputs!$D$15*(Reservoir!$G$21-AH21)+Inputs!$E$15*(Inputs!$D$27-AH21)))</f>
        <v>28.161804542883758</v>
      </c>
      <c r="AI22" s="23">
        <f t="shared" si="3"/>
        <v>0.5454925412809134</v>
      </c>
      <c r="AK22" s="20">
        <v>17</v>
      </c>
      <c r="AL22" s="21">
        <f>IF(AL21="","",AL21+Inputs!$B$5/Inputs!$B$16*(Inputs!$C$16*(IF(Inputs!$C$23&gt;0,10^(-Inputs!$C$23),0)-AL21)+Inputs!$D$16*(Reservoir!$B$21-AL21)+Inputs!$E$16*(IF(Inputs!$D$23&gt;0,10^(-Inputs!$D$23),0)-AL21)))</f>
        <v>2.0270976534832453E-6</v>
      </c>
      <c r="AM22" s="22">
        <f t="shared" si="9"/>
        <v>5.6931253290833324</v>
      </c>
      <c r="AN22" s="8">
        <f>IF(AN21="","",AN21+Inputs!$B$5/Inputs!$B$16*(Inputs!$C$16*(Inputs!$C$24-AN21)+Inputs!$D$16*(Reservoir!$D$21-AN21)+Inputs!$E$16*(Inputs!$D$24-AN21)))</f>
        <v>1.1808277156521119</v>
      </c>
      <c r="AO22" s="8">
        <f>IF(AO21="","",AO21+Inputs!$B$5/Inputs!$B$16*(Inputs!$C$16*(Inputs!$C$25-AO21)+Inputs!$D$16*(Reservoir!$E$21-AO21)+Inputs!$E$16*(Inputs!$D$25-AO21)))</f>
        <v>0.62867834541082046</v>
      </c>
      <c r="AP22" s="8">
        <f>IF(AP21="","",AP21+Inputs!$B$5/Inputs!$B$16*(Inputs!$C$16*(Inputs!$C$26-AP21)+Inputs!$D$16*(Reservoir!$F$21-AP21)+Inputs!$E$16*(Inputs!$D$26-AP21)))</f>
        <v>43.313837373249171</v>
      </c>
      <c r="AQ22" s="8">
        <f>IF(AQ21="","",AQ21+Inputs!$B$5/Inputs!$B$16*(Inputs!$C$16*(Inputs!$C$27-AQ21)+Inputs!$D$16*(Reservoir!$G$21-AQ21)+Inputs!$E$16*(Inputs!$D$27-AQ21)))</f>
        <v>27.924353014120079</v>
      </c>
      <c r="AR22" s="23">
        <f t="shared" si="4"/>
        <v>0.53240480137581536</v>
      </c>
    </row>
    <row r="23" spans="1:44" ht="18" customHeight="1" x14ac:dyDescent="0.25">
      <c r="A23" s="20">
        <v>18</v>
      </c>
      <c r="B23" s="21">
        <f>IF(B22="","",B22+Inputs!$B$5/Inputs!$B$12*(Inputs!$C$12*(IF(Inputs!$C$23&gt;0,10^(-Inputs!$C$23),0)-B22)+Inputs!$D$12*(Reservoir!$B$22-B22)+Inputs!$E$12*(IF(Inputs!$D$23&gt;0,10^(-Inputs!$D$23),0)-B22)))</f>
        <v>1.4866255754755889E-5</v>
      </c>
      <c r="C23" s="22">
        <f t="shared" si="5"/>
        <v>4.8277983999923881</v>
      </c>
      <c r="D23" s="8">
        <f>IF(D22="","",D22+Inputs!$B$5/Inputs!$B$12*(Inputs!$C$12*(Inputs!$C$24-D22)+Inputs!$D$12*(Reservoir!$D$22-D22)+Inputs!$E$12*(Inputs!$D$24-D22)))</f>
        <v>2.2056761834686545</v>
      </c>
      <c r="E23" s="8">
        <f>IF(E22="","",E22+Inputs!$B$5/Inputs!$B$12*(Inputs!$C$12*(Inputs!$C$25-E22)+Inputs!$D$12*(Reservoir!$E$22-E22)+Inputs!$E$12*(Inputs!$D$25-E22)))</f>
        <v>1.8021811872100495</v>
      </c>
      <c r="F23" s="8">
        <f>IF(F22="","",F22+Inputs!$B$5/Inputs!$B$12*(Inputs!$C$12*(Inputs!$C$26-F22)+Inputs!$D$12*(Reservoir!$F$22-F22)+Inputs!$E$12*(Inputs!$D$26-F22)))</f>
        <v>43.488463444777622</v>
      </c>
      <c r="G23" s="8">
        <f>IF(G22="","",G22+Inputs!$B$5/Inputs!$B$12*(Inputs!$C$12*(Inputs!$C$27-G22)+Inputs!$D$12*(Reservoir!$G$22-G22)+Inputs!$E$12*(Inputs!$D$27-G22)))</f>
        <v>26.545544219940801</v>
      </c>
      <c r="H23" s="23">
        <f t="shared" si="0"/>
        <v>0.81706517063440054</v>
      </c>
      <c r="J23" s="20">
        <v>18</v>
      </c>
      <c r="K23" s="21">
        <f>IF(K22="","",K22+Inputs!$B$5/Inputs!$B$13*(Inputs!$C$13*(IF(Inputs!$C$23&gt;0,10^(-Inputs!$C$23),0)-K22)+Inputs!$D$13*(Reservoir!$B$22-K22)+Inputs!$E$13*(IF(Inputs!$D$23&gt;0,10^(-Inputs!$D$23),0)-K22)))</f>
        <v>1.4866255754755889E-5</v>
      </c>
      <c r="L23" s="22">
        <f t="shared" si="6"/>
        <v>4.8277983999923881</v>
      </c>
      <c r="M23" s="8">
        <f>IF(M22="","",M22+Inputs!$B$5/Inputs!$B$13*(Inputs!$C$13*(Inputs!$C$24-M22)+Inputs!$D$13*(Reservoir!$D$22-M22)+Inputs!$E$13*(Inputs!$D$24-M22)))</f>
        <v>2.2056761834686545</v>
      </c>
      <c r="N23" s="8">
        <f>IF(N22="","",N22+Inputs!$B$5/Inputs!$B$13*(Inputs!$C$13*(Inputs!$C$25-N22)+Inputs!$D$13*(Reservoir!$E$22-N22)+Inputs!$E$13*(Inputs!$D$25-N22)))</f>
        <v>1.802567786194067</v>
      </c>
      <c r="O23" s="8">
        <f>IF(O22="","",O22+Inputs!$B$5/Inputs!$B$13*(Inputs!$C$13*(Inputs!$C$26-O22)+Inputs!$D$13*(Reservoir!$F$22-O22)+Inputs!$E$13*(Inputs!$D$26-O22)))</f>
        <v>43.101864460760162</v>
      </c>
      <c r="P23" s="8">
        <f>IF(P22="","",P22+Inputs!$B$5/Inputs!$B$13*(Inputs!$C$13*(Inputs!$C$27-P22)+Inputs!$D$13*(Reservoir!$G$22-P22)+Inputs!$E$13*(Inputs!$D$27-P22)))</f>
        <v>26.468224423137304</v>
      </c>
      <c r="Q23" s="23">
        <f t="shared" si="1"/>
        <v>0.81724044522226391</v>
      </c>
      <c r="S23" s="20">
        <v>18</v>
      </c>
      <c r="T23" s="21">
        <f>IF(T22="","",T22+Inputs!$B$5/Inputs!$B$14*(Inputs!$C$14*(IF(Inputs!$C$23&gt;0,10^(-Inputs!$C$23),0)-T22)+Inputs!$D$14*(Reservoir!$B$22-T22)+Inputs!$E$14*(IF(Inputs!$D$23&gt;0,10^(-Inputs!$D$23),0)-T22)))</f>
        <v>2.0343830504336124E-5</v>
      </c>
      <c r="U23" s="22">
        <f t="shared" si="7"/>
        <v>4.6915672711639527</v>
      </c>
      <c r="V23" s="8">
        <f>IF(V22="","",V22+Inputs!$B$5/Inputs!$B$14*(Inputs!$C$14*(Inputs!$C$24-V22)+Inputs!$D$14*(Reservoir!$D$22-V22)+Inputs!$E$14*(Inputs!$D$24-V22)))</f>
        <v>2.3752194055626386</v>
      </c>
      <c r="W23" s="8">
        <f>IF(W22="","",W22+Inputs!$B$5/Inputs!$B$14*(Inputs!$C$14*(Inputs!$C$25-W22)+Inputs!$D$14*(Reservoir!$E$22-W22)+Inputs!$E$14*(Inputs!$D$25-W22)))</f>
        <v>2.3306335595515462</v>
      </c>
      <c r="X23" s="8">
        <f>IF(X22="","",X22+Inputs!$B$5/Inputs!$B$14*(Inputs!$C$14*(Inputs!$C$26-X22)+Inputs!$D$14*(Reservoir!$F$22-X22)+Inputs!$E$14*(Inputs!$D$26-X22)))</f>
        <v>43.831618787338009</v>
      </c>
      <c r="Y23" s="8">
        <f>IF(Y22="","",Y22+Inputs!$B$5/Inputs!$B$14*(Inputs!$C$14*(Inputs!$C$27-Y22)+Inputs!$D$14*(Reservoir!$G$22-Y22)+Inputs!$E$14*(Inputs!$D$27-Y22)))</f>
        <v>27.381725350159478</v>
      </c>
      <c r="Z23" s="23">
        <f t="shared" si="2"/>
        <v>0.98122874631847712</v>
      </c>
      <c r="AB23" s="20">
        <v>18</v>
      </c>
      <c r="AC23" s="21">
        <f>IF(AC22="","",AC22+Inputs!$B$5/Inputs!$B$15*(Inputs!$C$15*(IF(Inputs!$C$23&gt;0,10^(-Inputs!$C$23),0)-AC22)+Inputs!$D$15*(Reservoir!$B$22-AC22)+Inputs!$E$15*(IF(Inputs!$D$23&gt;0,10^(-Inputs!$D$23),0)-AC22)))</f>
        <v>2.2037260598372221E-6</v>
      </c>
      <c r="AD23" s="22">
        <f t="shared" si="8"/>
        <v>5.6568423926220897</v>
      </c>
      <c r="AE23" s="8">
        <f>IF(AE22="","",AE22+Inputs!$B$5/Inputs!$B$15*(Inputs!$C$15*(Inputs!$C$24-AE22)+Inputs!$D$15*(Reservoir!$D$22-AE22)+Inputs!$E$15*(Inputs!$D$24-AE22)))</f>
        <v>1.2361441792573236</v>
      </c>
      <c r="AF23" s="8">
        <f>IF(AF22="","",AF22+Inputs!$B$5/Inputs!$B$15*(Inputs!$C$15*(Inputs!$C$25-AF22)+Inputs!$D$15*(Reservoir!$E$22-AF22)+Inputs!$E$15*(Inputs!$D$25-AF22)))</f>
        <v>0.68509123721773646</v>
      </c>
      <c r="AG23" s="8">
        <f>IF(AG22="","",AG22+Inputs!$B$5/Inputs!$B$15*(Inputs!$C$15*(Inputs!$C$26-AG22)+Inputs!$D$15*(Reservoir!$F$22-AG22)+Inputs!$E$15*(Inputs!$D$26-AG22)))</f>
        <v>43.652748160196559</v>
      </c>
      <c r="AH23" s="8">
        <f>IF(AH22="","",AH22+Inputs!$B$5/Inputs!$B$15*(Inputs!$C$15*(Inputs!$C$27-AH22)+Inputs!$D$15*(Reservoir!$G$22-AH22)+Inputs!$E$15*(Inputs!$D$27-AH22)))</f>
        <v>28.11602609522755</v>
      </c>
      <c r="AI23" s="23">
        <f t="shared" si="3"/>
        <v>0.55421628699440206</v>
      </c>
      <c r="AK23" s="20">
        <v>18</v>
      </c>
      <c r="AL23" s="21">
        <f>IF(AL22="","",AL22+Inputs!$B$5/Inputs!$B$16*(Inputs!$C$16*(IF(Inputs!$C$23&gt;0,10^(-Inputs!$C$23),0)-AL22)+Inputs!$D$16*(Reservoir!$B$22-AL22)+Inputs!$E$16*(IF(Inputs!$D$23&gt;0,10^(-Inputs!$D$23),0)-AL22)))</f>
        <v>2.2037260598372221E-6</v>
      </c>
      <c r="AM23" s="22">
        <f t="shared" si="9"/>
        <v>5.6568423926220897</v>
      </c>
      <c r="AN23" s="8">
        <f>IF(AN22="","",AN22+Inputs!$B$5/Inputs!$B$16*(Inputs!$C$16*(Inputs!$C$24-AN22)+Inputs!$D$16*(Reservoir!$D$22-AN22)+Inputs!$E$16*(Inputs!$D$24-AN22)))</f>
        <v>1.1965983232240822</v>
      </c>
      <c r="AO23" s="8">
        <f>IF(AO22="","",AO22+Inputs!$B$5/Inputs!$B$16*(Inputs!$C$16*(Inputs!$C$25-AO22)+Inputs!$D$16*(Reservoir!$E$22-AO22)+Inputs!$E$16*(Inputs!$D$25-AO22)))</f>
        <v>0.64872723166992796</v>
      </c>
      <c r="AP23" s="8">
        <f>IF(AP22="","",AP22+Inputs!$B$5/Inputs!$B$16*(Inputs!$C$16*(Inputs!$C$26-AP22)+Inputs!$D$16*(Reservoir!$F$22-AP22)+Inputs!$E$16*(Inputs!$D$26-AP22)))</f>
        <v>43.561838146327041</v>
      </c>
      <c r="AQ23" s="8">
        <f>IF(AQ22="","",AQ22+Inputs!$B$5/Inputs!$B$16*(Inputs!$C$16*(Inputs!$C$27-AQ22)+Inputs!$D$16*(Reservoir!$G$22-AQ22)+Inputs!$E$16*(Inputs!$D$27-AQ22)))</f>
        <v>27.888751060553744</v>
      </c>
      <c r="AR23" s="23">
        <f t="shared" si="4"/>
        <v>0.54214285535852569</v>
      </c>
    </row>
    <row r="24" spans="1:44" ht="18" customHeight="1" x14ac:dyDescent="0.25">
      <c r="A24" s="20">
        <v>19</v>
      </c>
      <c r="B24" s="21">
        <f>IF(B23="","",B23+Inputs!$B$5/Inputs!$B$12*(Inputs!$C$12*(IF(Inputs!$C$23&gt;0,10^(-Inputs!$C$23),0)-B23)+Inputs!$D$12*(Reservoir!$B$23-B23)+Inputs!$E$12*(IF(Inputs!$D$23&gt;0,10^(-Inputs!$D$23),0)-B23)))</f>
        <v>1.545630346170316E-5</v>
      </c>
      <c r="C24" s="22">
        <f t="shared" si="5"/>
        <v>4.8108943641137936</v>
      </c>
      <c r="D24" s="8">
        <f>IF(D23="","",D23+Inputs!$B$5/Inputs!$B$12*(Inputs!$C$12*(Inputs!$C$24-D23)+Inputs!$D$12*(Reservoir!$D$23-D23)+Inputs!$E$12*(Inputs!$D$24-D23)))</f>
        <v>2.1580075942766475</v>
      </c>
      <c r="E24" s="8">
        <f>IF(E23="","",E23+Inputs!$B$5/Inputs!$B$12*(Inputs!$C$12*(Inputs!$C$25-E23)+Inputs!$D$12*(Reservoir!$E$23-E23)+Inputs!$E$12*(Inputs!$D$25-E23)))</f>
        <v>1.870132185907966</v>
      </c>
      <c r="F24" s="8">
        <f>IF(F23="","",F23+Inputs!$B$5/Inputs!$B$12*(Inputs!$C$12*(Inputs!$C$26-F23)+Inputs!$D$12*(Reservoir!$F$23-F23)+Inputs!$E$12*(Inputs!$D$26-F23)))</f>
        <v>44.199356217200375</v>
      </c>
      <c r="G24" s="8">
        <f>IF(G23="","",G23+Inputs!$B$5/Inputs!$B$12*(Inputs!$C$12*(Inputs!$C$27-G23)+Inputs!$D$12*(Reservoir!$G$23-G23)+Inputs!$E$12*(Inputs!$D$27-G23)))</f>
        <v>26.864037246051687</v>
      </c>
      <c r="H24" s="23">
        <f t="shared" si="0"/>
        <v>0.86660129967467714</v>
      </c>
      <c r="J24" s="20">
        <v>19</v>
      </c>
      <c r="K24" s="21">
        <f>IF(K23="","",K23+Inputs!$B$5/Inputs!$B$13*(Inputs!$C$13*(IF(Inputs!$C$23&gt;0,10^(-Inputs!$C$23),0)-K23)+Inputs!$D$13*(Reservoir!$B$23-K23)+Inputs!$E$13*(IF(Inputs!$D$23&gt;0,10^(-Inputs!$D$23),0)-K23)))</f>
        <v>1.545630346170316E-5</v>
      </c>
      <c r="L24" s="22">
        <f t="shared" si="6"/>
        <v>4.8108943641137936</v>
      </c>
      <c r="M24" s="8">
        <f>IF(M23="","",M23+Inputs!$B$5/Inputs!$B$13*(Inputs!$C$13*(Inputs!$C$24-M23)+Inputs!$D$13*(Reservoir!$D$23-M23)+Inputs!$E$13*(Inputs!$D$24-M23)))</f>
        <v>2.1580075942766475</v>
      </c>
      <c r="N24" s="8">
        <f>IF(N23="","",N23+Inputs!$B$5/Inputs!$B$13*(Inputs!$C$13*(Inputs!$C$25-N23)+Inputs!$D$13*(Reservoir!$E$23-N23)+Inputs!$E$13*(Inputs!$D$25-N23)))</f>
        <v>1.8704989026585199</v>
      </c>
      <c r="O24" s="8">
        <f>IF(O23="","",O23+Inputs!$B$5/Inputs!$B$13*(Inputs!$C$13*(Inputs!$C$26-O23)+Inputs!$D$13*(Reservoir!$F$23-O23)+Inputs!$E$13*(Inputs!$D$26-O23)))</f>
        <v>43.832639466646675</v>
      </c>
      <c r="P24" s="8">
        <f>IF(P23="","",P23+Inputs!$B$5/Inputs!$B$13*(Inputs!$C$13*(Inputs!$C$27-P23)+Inputs!$D$13*(Reservoir!$G$23-P23)+Inputs!$E$13*(Inputs!$D$27-P23)))</f>
        <v>26.790693895940944</v>
      </c>
      <c r="Q24" s="23">
        <f t="shared" si="1"/>
        <v>0.86677123269600964</v>
      </c>
      <c r="S24" s="20">
        <v>19</v>
      </c>
      <c r="T24" s="21">
        <f>IF(T23="","",T23+Inputs!$B$5/Inputs!$B$14*(Inputs!$C$14*(IF(Inputs!$C$23&gt;0,10^(-Inputs!$C$23),0)-T23)+Inputs!$D$14*(Reservoir!$B$23-T23)+Inputs!$E$14*(IF(Inputs!$D$23&gt;0,10^(-Inputs!$D$23),0)-T23)))</f>
        <v>2.114599074677932E-5</v>
      </c>
      <c r="U24" s="22">
        <f t="shared" si="7"/>
        <v>4.6747719621709338</v>
      </c>
      <c r="V24" s="8">
        <f>IF(V23="","",V23+Inputs!$B$5/Inputs!$B$14*(Inputs!$C$14*(Inputs!$C$24-V23)+Inputs!$D$14*(Reservoir!$D$23-V23)+Inputs!$E$14*(Inputs!$D$24-V23)))</f>
        <v>2.320414852154316</v>
      </c>
      <c r="W24" s="8">
        <f>IF(W23="","",W23+Inputs!$B$5/Inputs!$B$14*(Inputs!$C$14*(Inputs!$C$25-W23)+Inputs!$D$14*(Reservoir!$E$23-W23)+Inputs!$E$14*(Inputs!$D$25-W23)))</f>
        <v>2.4194003646159854</v>
      </c>
      <c r="X24" s="8">
        <f>IF(X23="","",X23+Inputs!$B$5/Inputs!$B$14*(Inputs!$C$14*(Inputs!$C$26-X23)+Inputs!$D$14*(Reservoir!$F$23-X23)+Inputs!$E$14*(Inputs!$D$26-X23)))</f>
        <v>44.633816797309898</v>
      </c>
      <c r="Y24" s="8">
        <f>IF(Y23="","",Y23+Inputs!$B$5/Inputs!$B$14*(Inputs!$C$14*(Inputs!$C$27-Y23)+Inputs!$D$14*(Reservoir!$G$23-Y23)+Inputs!$E$14*(Inputs!$D$27-Y23)))</f>
        <v>27.765729210170612</v>
      </c>
      <c r="Z24" s="23">
        <f t="shared" si="2"/>
        <v>1.0426585411525742</v>
      </c>
      <c r="AB24" s="20">
        <v>19</v>
      </c>
      <c r="AC24" s="21">
        <f>IF(AC23="","",AC23+Inputs!$B$5/Inputs!$B$15*(Inputs!$C$15*(IF(Inputs!$C$23&gt;0,10^(-Inputs!$C$23),0)-AC23)+Inputs!$D$15*(Reservoir!$B$23-AC23)+Inputs!$E$15*(IF(Inputs!$D$23&gt;0,10^(-Inputs!$D$23),0)-AC23)))</f>
        <v>2.3847997357839146E-6</v>
      </c>
      <c r="AD24" s="22">
        <f t="shared" si="8"/>
        <v>5.6225480850916592</v>
      </c>
      <c r="AE24" s="8">
        <f>IF(AE23="","",AE23+Inputs!$B$5/Inputs!$B$15*(Inputs!$C$15*(Inputs!$C$24-AE23)+Inputs!$D$15*(Reservoir!$D$23-AE23)+Inputs!$E$15*(Inputs!$D$24-AE23)))</f>
        <v>1.2489327575326763</v>
      </c>
      <c r="AF24" s="8">
        <f>IF(AF23="","",AF23+Inputs!$B$5/Inputs!$B$15*(Inputs!$C$15*(Inputs!$C$25-AF23)+Inputs!$D$15*(Reservoir!$E$23-AF23)+Inputs!$E$15*(Inputs!$D$25-AF23)))</f>
        <v>0.70407907251998114</v>
      </c>
      <c r="AG24" s="8">
        <f>IF(AG23="","",AG23+Inputs!$B$5/Inputs!$B$15*(Inputs!$C$15*(Inputs!$C$26-AG23)+Inputs!$D$15*(Reservoir!$F$23-AG23)+Inputs!$E$15*(Inputs!$D$26-AG23)))</f>
        <v>43.900501274342311</v>
      </c>
      <c r="AH24" s="8">
        <f>IF(AH23="","",AH23+Inputs!$B$5/Inputs!$B$15*(Inputs!$C$15*(Inputs!$C$27-AH23)+Inputs!$D$15*(Reservoir!$G$23-AH23)+Inputs!$E$15*(Inputs!$D$27-AH23)))</f>
        <v>28.077031705711356</v>
      </c>
      <c r="AI24" s="23">
        <f t="shared" si="3"/>
        <v>0.56374457974096337</v>
      </c>
      <c r="AK24" s="20">
        <v>19</v>
      </c>
      <c r="AL24" s="21">
        <f>IF(AL23="","",AL23+Inputs!$B$5/Inputs!$B$16*(Inputs!$C$16*(IF(Inputs!$C$23&gt;0,10^(-Inputs!$C$23),0)-AL23)+Inputs!$D$16*(Reservoir!$B$23-AL23)+Inputs!$E$16*(IF(Inputs!$D$23&gt;0,10^(-Inputs!$D$23),0)-AL23)))</f>
        <v>2.3847997357839146E-6</v>
      </c>
      <c r="AM24" s="22">
        <f t="shared" si="9"/>
        <v>5.6225480850916592</v>
      </c>
      <c r="AN24" s="8">
        <f>IF(AN23="","",AN23+Inputs!$B$5/Inputs!$B$16*(Inputs!$C$16*(Inputs!$C$24-AN23)+Inputs!$D$16*(Reservoir!$D$23-AN23)+Inputs!$E$16*(Inputs!$D$24-AN23)))</f>
        <v>1.2110817239008596</v>
      </c>
      <c r="AO24" s="8">
        <f>IF(AO23="","",AO23+Inputs!$B$5/Inputs!$B$16*(Inputs!$C$16*(Inputs!$C$25-AO23)+Inputs!$D$16*(Reservoir!$E$23-AO23)+Inputs!$E$16*(Inputs!$D$25-AO23)))</f>
        <v>0.66927352435279308</v>
      </c>
      <c r="AP24" s="8">
        <f>IF(AP23="","",AP23+Inputs!$B$5/Inputs!$B$16*(Inputs!$C$16*(Inputs!$C$26-AP23)+Inputs!$D$16*(Reservoir!$F$23-AP23)+Inputs!$E$16*(Inputs!$D$26-AP23)))</f>
        <v>43.813487403924341</v>
      </c>
      <c r="AQ24" s="8">
        <f>IF(AQ23="","",AQ23+Inputs!$B$5/Inputs!$B$16*(Inputs!$C$16*(Inputs!$C$27-AQ23)+Inputs!$D$16*(Reservoir!$G$23-AQ23)+Inputs!$E$16*(Inputs!$D$27-AQ23)))</f>
        <v>27.859497029666425</v>
      </c>
      <c r="AR24" s="23">
        <f t="shared" si="4"/>
        <v>0.55262457614923144</v>
      </c>
    </row>
    <row r="25" spans="1:44" ht="18" customHeight="1" x14ac:dyDescent="0.25">
      <c r="A25" s="20">
        <v>20</v>
      </c>
      <c r="B25" s="21">
        <f>IF(B24="","",B24+Inputs!$B$5/Inputs!$B$12*(Inputs!$C$12*(IF(Inputs!$C$23&gt;0,10^(-Inputs!$C$23),0)-B24)+Inputs!$D$12*(Reservoir!$B$24-B24)+Inputs!$E$12*(IF(Inputs!$D$23&gt;0,10^(-Inputs!$D$23),0)-B24)))</f>
        <v>1.6027747298111793E-5</v>
      </c>
      <c r="C25" s="22">
        <f t="shared" si="5"/>
        <v>4.7951275135004297</v>
      </c>
      <c r="D25" s="8">
        <f>IF(D24="","",D24+Inputs!$B$5/Inputs!$B$12*(Inputs!$C$12*(Inputs!$C$24-D24)+Inputs!$D$12*(Reservoir!$D$24-D24)+Inputs!$E$12*(Inputs!$D$24-D24)))</f>
        <v>2.1121949435351102</v>
      </c>
      <c r="E25" s="8">
        <f>IF(E24="","",E24+Inputs!$B$5/Inputs!$B$12*(Inputs!$C$12*(Inputs!$C$25-E24)+Inputs!$D$12*(Reservoir!$E$24-E24)+Inputs!$E$12*(Inputs!$D$25-E24)))</f>
        <v>1.9359141855786182</v>
      </c>
      <c r="F25" s="8">
        <f>IF(F24="","",F24+Inputs!$B$5/Inputs!$B$12*(Inputs!$C$12*(Inputs!$C$26-F24)+Inputs!$D$12*(Reservoir!$F$24-F24)+Inputs!$E$12*(Inputs!$D$26-F24)))</f>
        <v>44.88763927991554</v>
      </c>
      <c r="G25" s="8">
        <f>IF(G24="","",G24+Inputs!$B$5/Inputs!$B$12*(Inputs!$C$12*(Inputs!$C$27-G24)+Inputs!$D$12*(Reservoir!$G$24-G24)+Inputs!$E$12*(Inputs!$D$27-G24)))</f>
        <v>27.170854359274795</v>
      </c>
      <c r="H25" s="23">
        <f t="shared" si="0"/>
        <v>0.91654143548821454</v>
      </c>
      <c r="J25" s="20">
        <v>20</v>
      </c>
      <c r="K25" s="21">
        <f>IF(K24="","",K24+Inputs!$B$5/Inputs!$B$13*(Inputs!$C$13*(IF(Inputs!$C$23&gt;0,10^(-Inputs!$C$23),0)-K24)+Inputs!$D$13*(Reservoir!$B$24-K24)+Inputs!$E$13*(IF(Inputs!$D$23&gt;0,10^(-Inputs!$D$23),0)-K24)))</f>
        <v>1.6027747298111793E-5</v>
      </c>
      <c r="L25" s="22">
        <f t="shared" si="6"/>
        <v>4.7951275135004297</v>
      </c>
      <c r="M25" s="8">
        <f>IF(M24="","",M24+Inputs!$B$5/Inputs!$B$13*(Inputs!$C$13*(Inputs!$C$24-M24)+Inputs!$D$13*(Reservoir!$D$24-M24)+Inputs!$E$13*(Inputs!$D$24-M24)))</f>
        <v>2.1121949435351102</v>
      </c>
      <c r="N25" s="8">
        <f>IF(N24="","",N24+Inputs!$B$5/Inputs!$B$13*(Inputs!$C$13*(Inputs!$C$25-N24)+Inputs!$D$13*(Reservoir!$E$24-N24)+Inputs!$E$13*(Inputs!$D$25-N24)))</f>
        <v>1.9362620426105723</v>
      </c>
      <c r="O25" s="8">
        <f>IF(O24="","",O24+Inputs!$B$5/Inputs!$B$13*(Inputs!$C$13*(Inputs!$C$26-O24)+Inputs!$D$13*(Reservoir!$F$24-O24)+Inputs!$E$13*(Inputs!$D$26-O24)))</f>
        <v>44.539782247961739</v>
      </c>
      <c r="P25" s="8">
        <f>IF(P24="","",P24+Inputs!$B$5/Inputs!$B$13*(Inputs!$C$13*(Inputs!$C$27-P24)+Inputs!$D$13*(Reservoir!$G$24-P24)+Inputs!$E$13*(Inputs!$D$27-P24)))</f>
        <v>27.101282952884034</v>
      </c>
      <c r="Q25" s="23">
        <f t="shared" si="1"/>
        <v>0.91670612532094942</v>
      </c>
      <c r="S25" s="20">
        <v>20</v>
      </c>
      <c r="T25" s="21">
        <f>IF(T24="","",T24+Inputs!$B$5/Inputs!$B$14*(Inputs!$C$14*(IF(Inputs!$C$23&gt;0,10^(-Inputs!$C$23),0)-T24)+Inputs!$D$14*(Reservoir!$B$24-T24)+Inputs!$E$14*(IF(Inputs!$D$23&gt;0,10^(-Inputs!$D$23),0)-T24)))</f>
        <v>2.1921861223943427E-5</v>
      </c>
      <c r="U25" s="22">
        <f t="shared" si="7"/>
        <v>4.659122575873206</v>
      </c>
      <c r="V25" s="8">
        <f>IF(V24="","",V24+Inputs!$B$5/Inputs!$B$14*(Inputs!$C$14*(Inputs!$C$24-V24)+Inputs!$D$14*(Reservoir!$D$24-V24)+Inputs!$E$14*(Inputs!$D$24-V24)))</f>
        <v>2.2675600727868424</v>
      </c>
      <c r="W25" s="8">
        <f>IF(W24="","",W24+Inputs!$B$5/Inputs!$B$14*(Inputs!$C$14*(Inputs!$C$25-W24)+Inputs!$D$14*(Reservoir!$E$24-W24)+Inputs!$E$14*(Inputs!$D$25-W24)))</f>
        <v>2.5052775233298066</v>
      </c>
      <c r="X25" s="8">
        <f>IF(X24="","",X24+Inputs!$B$5/Inputs!$B$14*(Inputs!$C$14*(Inputs!$C$26-X24)+Inputs!$D$14*(Reservoir!$F$24-X24)+Inputs!$E$14*(Inputs!$D$26-X24)))</f>
        <v>45.411366017273828</v>
      </c>
      <c r="Y25" s="8">
        <f>IF(Y24="","",Y24+Inputs!$B$5/Inputs!$B$14*(Inputs!$C$14*(Inputs!$C$27-Y24)+Inputs!$D$14*(Reservoir!$G$24-Y24)+Inputs!$E$14*(Inputs!$D$27-Y24)))</f>
        <v>28.136465938295583</v>
      </c>
      <c r="Z25" s="23">
        <f t="shared" si="2"/>
        <v>1.1048340255218942</v>
      </c>
      <c r="AB25" s="20">
        <v>20</v>
      </c>
      <c r="AC25" s="21">
        <f>IF(AC24="","",AC24+Inputs!$B$5/Inputs!$B$15*(Inputs!$C$15*(IF(Inputs!$C$23&gt;0,10^(-Inputs!$C$23),0)-AC24)+Inputs!$D$15*(Reservoir!$B$24-AC24)+Inputs!$E$15*(IF(Inputs!$D$23&gt;0,10^(-Inputs!$D$23),0)-AC24)))</f>
        <v>2.5698545514372572E-6</v>
      </c>
      <c r="AD25" s="22">
        <f t="shared" si="8"/>
        <v>5.5900914561612121</v>
      </c>
      <c r="AE25" s="8">
        <f>IF(AE24="","",AE24+Inputs!$B$5/Inputs!$B$15*(Inputs!$C$15*(Inputs!$C$24-AE24)+Inputs!$D$15*(Reservoir!$D$24-AE24)+Inputs!$E$15*(Inputs!$D$24-AE24)))</f>
        <v>1.2605776648882516</v>
      </c>
      <c r="AF25" s="8">
        <f>IF(AF24="","",AF24+Inputs!$B$5/Inputs!$B$15*(Inputs!$C$15*(Inputs!$C$25-AF24)+Inputs!$D$15*(Reservoir!$E$24-AF24)+Inputs!$E$15*(Inputs!$D$25-AF24)))</f>
        <v>0.72357876721504388</v>
      </c>
      <c r="AG25" s="8">
        <f>IF(AG24="","",AG24+Inputs!$B$5/Inputs!$B$15*(Inputs!$C$15*(Inputs!$C$26-AG24)+Inputs!$D$15*(Reservoir!$F$24-AG24)+Inputs!$E$15*(Inputs!$D$26-AG24)))</f>
        <v>44.151586887898823</v>
      </c>
      <c r="AH25" s="8">
        <f>IF(AH24="","",AH24+Inputs!$B$5/Inputs!$B$15*(Inputs!$C$15*(Inputs!$C$27-AH24)+Inputs!$D$15*(Reservoir!$G$24-AH24)+Inputs!$E$15*(Inputs!$D$27-AH24)))</f>
        <v>28.044412232772348</v>
      </c>
      <c r="AI25" s="23">
        <f t="shared" si="3"/>
        <v>0.57400570180591615</v>
      </c>
      <c r="AK25" s="20">
        <v>20</v>
      </c>
      <c r="AL25" s="21">
        <f>IF(AL24="","",AL24+Inputs!$B$5/Inputs!$B$16*(Inputs!$C$16*(IF(Inputs!$C$23&gt;0,10^(-Inputs!$C$23),0)-AL24)+Inputs!$D$16*(Reservoir!$B$24-AL24)+Inputs!$E$16*(IF(Inputs!$D$23&gt;0,10^(-Inputs!$D$23),0)-AL24)))</f>
        <v>2.5698545514372572E-6</v>
      </c>
      <c r="AM25" s="22">
        <f t="shared" si="9"/>
        <v>5.5900914561612121</v>
      </c>
      <c r="AN25" s="8">
        <f>IF(AN24="","",AN24+Inputs!$B$5/Inputs!$B$16*(Inputs!$C$16*(Inputs!$C$24-AN24)+Inputs!$D$16*(Reservoir!$D$24-AN24)+Inputs!$E$16*(Inputs!$D$24-AN24)))</f>
        <v>1.2243488184120843</v>
      </c>
      <c r="AO25" s="8">
        <f>IF(AO24="","",AO24+Inputs!$B$5/Inputs!$B$16*(Inputs!$C$16*(Inputs!$C$25-AO24)+Inputs!$D$16*(Reservoir!$E$24-AO24)+Inputs!$E$16*(Inputs!$D$25-AO24)))</f>
        <v>0.69026488539787811</v>
      </c>
      <c r="AP25" s="8">
        <f>IF(AP24="","",AP24+Inputs!$B$5/Inputs!$B$16*(Inputs!$C$16*(Inputs!$C$26-AP24)+Inputs!$D$16*(Reservoir!$F$24-AP24)+Inputs!$E$16*(Inputs!$D$26-AP24)))</f>
        <v>44.068302183355911</v>
      </c>
      <c r="AQ25" s="8">
        <f>IF(AQ24="","",AQ24+Inputs!$B$5/Inputs!$B$16*(Inputs!$C$16*(Inputs!$C$27-AQ24)+Inputs!$D$16*(Reservoir!$G$24-AQ24)+Inputs!$E$16*(Inputs!$D$27-AQ24)))</f>
        <v>27.836200471415058</v>
      </c>
      <c r="AR25" s="23">
        <f t="shared" si="4"/>
        <v>0.56378123212722597</v>
      </c>
    </row>
    <row r="26" spans="1:44" ht="18" customHeight="1" x14ac:dyDescent="0.25">
      <c r="A26" s="20">
        <v>21</v>
      </c>
      <c r="B26" s="21">
        <f>IF(B25="","",B25+Inputs!$B$5/Inputs!$B$12*(Inputs!$C$12*(IF(Inputs!$C$23&gt;0,10^(-Inputs!$C$23),0)-B25)+Inputs!$D$12*(Reservoir!$B$25-B25)+Inputs!$E$12*(IF(Inputs!$D$23&gt;0,10^(-Inputs!$D$23),0)-B25)))</f>
        <v>1.658127719117779E-5</v>
      </c>
      <c r="C26" s="22">
        <f t="shared" si="5"/>
        <v>4.7803820204855043</v>
      </c>
      <c r="D26" s="8">
        <f>IF(D25="","",D25+Inputs!$B$5/Inputs!$B$12*(Inputs!$C$12*(Inputs!$C$24-D25)+Inputs!$D$12*(Reservoir!$D$25-D25)+Inputs!$E$12*(Inputs!$D$24-D25)))</f>
        <v>2.0681580479484478</v>
      </c>
      <c r="E26" s="8">
        <f>IF(E25="","",E25+Inputs!$B$5/Inputs!$B$12*(Inputs!$C$12*(Inputs!$C$25-E25)+Inputs!$D$12*(Reservoir!$E$25-E25)+Inputs!$E$12*(Inputs!$D$25-E25)))</f>
        <v>1.9996084878349889</v>
      </c>
      <c r="F26" s="8">
        <f>IF(F25="","",F25+Inputs!$B$5/Inputs!$B$12*(Inputs!$C$12*(Inputs!$C$26-F25)+Inputs!$D$12*(Reservoir!$F$25-F25)+Inputs!$E$12*(Inputs!$D$26-F25)))</f>
        <v>45.554156974913489</v>
      </c>
      <c r="G26" s="8">
        <f>IF(G25="","",G25+Inputs!$B$5/Inputs!$B$12*(Inputs!$C$12*(Inputs!$C$27-G25)+Inputs!$D$12*(Reservoir!$G$25-G25)+Inputs!$E$12*(Inputs!$D$27-G25)))</f>
        <v>27.466480949995958</v>
      </c>
      <c r="H26" s="23">
        <f t="shared" si="0"/>
        <v>0.96685477679935627</v>
      </c>
      <c r="J26" s="20">
        <v>21</v>
      </c>
      <c r="K26" s="21">
        <f>IF(K25="","",K25+Inputs!$B$5/Inputs!$B$13*(Inputs!$C$13*(IF(Inputs!$C$23&gt;0,10^(-Inputs!$C$23),0)-K25)+Inputs!$D$13*(Reservoir!$B$25-K25)+Inputs!$E$13*(IF(Inputs!$D$23&gt;0,10^(-Inputs!$D$23),0)-K25)))</f>
        <v>1.658127719117779E-5</v>
      </c>
      <c r="L26" s="22">
        <f t="shared" si="6"/>
        <v>4.7803820204855043</v>
      </c>
      <c r="M26" s="8">
        <f>IF(M25="","",M25+Inputs!$B$5/Inputs!$B$13*(Inputs!$C$13*(Inputs!$C$24-M25)+Inputs!$D$13*(Reservoir!$D$25-M25)+Inputs!$E$13*(Inputs!$D$24-M25)))</f>
        <v>2.0681580479484478</v>
      </c>
      <c r="N26" s="8">
        <f>IF(N25="","",N25+Inputs!$B$5/Inputs!$B$13*(Inputs!$C$13*(Inputs!$C$25-N25)+Inputs!$D$13*(Reservoir!$E$25-N25)+Inputs!$E$13*(Inputs!$D$25-N25)))</f>
        <v>1.9999384550767283</v>
      </c>
      <c r="O26" s="8">
        <f>IF(O25="","",O25+Inputs!$B$5/Inputs!$B$13*(Inputs!$C$13*(Inputs!$C$26-O25)+Inputs!$D$13*(Reservoir!$F$25-O25)+Inputs!$E$13*(Inputs!$D$26-O25)))</f>
        <v>45.224189733174455</v>
      </c>
      <c r="P26" s="8">
        <f>IF(P25="","",P25+Inputs!$B$5/Inputs!$B$13*(Inputs!$C$13*(Inputs!$C$27-P25)+Inputs!$D$13*(Reservoir!$G$25-P25)+Inputs!$E$13*(Inputs!$D$27-P25)))</f>
        <v>27.400487501648151</v>
      </c>
      <c r="Q26" s="23">
        <f t="shared" si="1"/>
        <v>0.96701432323347269</v>
      </c>
      <c r="S26" s="20">
        <v>21</v>
      </c>
      <c r="T26" s="21">
        <f>IF(T25="","",T25+Inputs!$B$5/Inputs!$B$14*(Inputs!$C$14*(IF(Inputs!$C$23&gt;0,10^(-Inputs!$C$23),0)-T25)+Inputs!$D$14*(Reservoir!$B$25-T25)+Inputs!$E$14*(IF(Inputs!$D$23&gt;0,10^(-Inputs!$D$23),0)-T25)))</f>
        <v>2.2672391267990988E-5</v>
      </c>
      <c r="U26" s="22">
        <f t="shared" si="7"/>
        <v>4.6445026722102716</v>
      </c>
      <c r="V26" s="8">
        <f>IF(V25="","",V25+Inputs!$B$5/Inputs!$B$14*(Inputs!$C$14*(Inputs!$C$24-V25)+Inputs!$D$14*(Reservoir!$D$25-V25)+Inputs!$E$14*(Inputs!$D$24-V25)))</f>
        <v>2.2165812954361335</v>
      </c>
      <c r="W26" s="8">
        <f>IF(W25="","",W25+Inputs!$B$5/Inputs!$B$14*(Inputs!$C$14*(Inputs!$C$25-W25)+Inputs!$D$14*(Reservoir!$E$25-W25)+Inputs!$E$14*(Inputs!$D$25-W25)))</f>
        <v>2.5883687000915239</v>
      </c>
      <c r="X26" s="8">
        <f>IF(X25="","",X25+Inputs!$B$5/Inputs!$B$14*(Inputs!$C$14*(Inputs!$C$26-X25)+Inputs!$D$14*(Reservoir!$F$25-X25)+Inputs!$E$14*(Inputs!$D$26-X25)))</f>
        <v>46.165105768982365</v>
      </c>
      <c r="Y26" s="8">
        <f>IF(Y25="","",Y25+Inputs!$B$5/Inputs!$B$14*(Inputs!$C$14*(Inputs!$C$27-Y25)+Inputs!$D$14*(Reservoir!$G$25-Y25)+Inputs!$E$14*(Inputs!$D$27-Y25)))</f>
        <v>28.494429172569177</v>
      </c>
      <c r="Z26" s="23">
        <f t="shared" si="2"/>
        <v>1.1677301010438408</v>
      </c>
      <c r="AB26" s="20">
        <v>21</v>
      </c>
      <c r="AC26" s="21">
        <f>IF(AC25="","",AC25+Inputs!$B$5/Inputs!$B$15*(Inputs!$C$15*(IF(Inputs!$C$23&gt;0,10^(-Inputs!$C$23),0)-AC25)+Inputs!$D$15*(Reservoir!$B$25-AC25)+Inputs!$E$15*(IF(Inputs!$D$23&gt;0,10^(-Inputs!$D$23),0)-AC25)))</f>
        <v>2.7584530432352612E-6</v>
      </c>
      <c r="AD26" s="22">
        <f t="shared" si="8"/>
        <v>5.559334404578232</v>
      </c>
      <c r="AE26" s="8">
        <f>IF(AE25="","",AE25+Inputs!$B$5/Inputs!$B$15*(Inputs!$C$15*(Inputs!$C$24-AE25)+Inputs!$D$15*(Reservoir!$D$25-AE25)+Inputs!$E$15*(Inputs!$D$24-AE25)))</f>
        <v>1.271143180759613</v>
      </c>
      <c r="AF26" s="8">
        <f>IF(AF25="","",AF25+Inputs!$B$5/Inputs!$B$15*(Inputs!$C$15*(Inputs!$C$25-AF25)+Inputs!$D$15*(Reservoir!$E$25-AF25)+Inputs!$E$15*(Inputs!$D$25-AF25)))</f>
        <v>0.74353813756338449</v>
      </c>
      <c r="AG26" s="8">
        <f>IF(AG25="","",AG25+Inputs!$B$5/Inputs!$B$15*(Inputs!$C$15*(Inputs!$C$26-AG25)+Inputs!$D$15*(Reservoir!$F$25-AG25)+Inputs!$E$15*(Inputs!$D$26-AG25)))</f>
        <v>44.405543736382477</v>
      </c>
      <c r="AH26" s="8">
        <f>IF(AH25="","",AH25+Inputs!$B$5/Inputs!$B$15*(Inputs!$C$15*(Inputs!$C$27-AH25)+Inputs!$D$15*(Reservoir!$G$25-AH25)+Inputs!$E$15*(Inputs!$D$27-AH25)))</f>
        <v>28.017779380565973</v>
      </c>
      <c r="AI26" s="23">
        <f t="shared" si="3"/>
        <v>0.58493657427250567</v>
      </c>
      <c r="AK26" s="20">
        <v>21</v>
      </c>
      <c r="AL26" s="21">
        <f>IF(AL25="","",AL25+Inputs!$B$5/Inputs!$B$16*(Inputs!$C$16*(IF(Inputs!$C$23&gt;0,10^(-Inputs!$C$23),0)-AL25)+Inputs!$D$16*(Reservoir!$B$25-AL25)+Inputs!$E$16*(IF(Inputs!$D$23&gt;0,10^(-Inputs!$D$23),0)-AL25)))</f>
        <v>2.7584530432352612E-6</v>
      </c>
      <c r="AM26" s="22">
        <f t="shared" si="9"/>
        <v>5.559334404578232</v>
      </c>
      <c r="AN26" s="8">
        <f>IF(AN25="","",AN25+Inputs!$B$5/Inputs!$B$16*(Inputs!$C$16*(Inputs!$C$24-AN25)+Inputs!$D$16*(Reservoir!$D$25-AN25)+Inputs!$E$16*(Inputs!$D$24-AN25)))</f>
        <v>1.2364669991324242</v>
      </c>
      <c r="AO26" s="8">
        <f>IF(AO25="","",AO25+Inputs!$B$5/Inputs!$B$16*(Inputs!$C$16*(Inputs!$C$25-AO25)+Inputs!$D$16*(Reservoir!$E$25-AO25)+Inputs!$E$16*(Inputs!$D$25-AO25)))</f>
        <v>0.71165199353838304</v>
      </c>
      <c r="AP26" s="8">
        <f>IF(AP25="","",AP25+Inputs!$B$5/Inputs!$B$16*(Inputs!$C$16*(Inputs!$C$26-AP25)+Inputs!$D$16*(Reservoir!$F$25-AP25)+Inputs!$E$16*(Inputs!$D$26-AP25)))</f>
        <v>44.325828376319976</v>
      </c>
      <c r="AQ26" s="8">
        <f>IF(AQ25="","",AQ25+Inputs!$B$5/Inputs!$B$16*(Inputs!$C$16*(Inputs!$C$27-AQ25)+Inputs!$D$16*(Reservoir!$G$25-AQ25)+Inputs!$E$16*(Inputs!$D$27-AQ25)))</f>
        <v>27.818490980409706</v>
      </c>
      <c r="AR26" s="23">
        <f t="shared" si="4"/>
        <v>0.5755527596270007</v>
      </c>
    </row>
  </sheetData>
  <mergeCells count="6">
    <mergeCell ref="A3:H3"/>
    <mergeCell ref="S3:Z3"/>
    <mergeCell ref="AK3:AR3"/>
    <mergeCell ref="J3:Q3"/>
    <mergeCell ref="A1:AQ1"/>
    <mergeCell ref="AB3:AI3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6"/>
  <sheetViews>
    <sheetView showGridLines="0" workbookViewId="0">
      <selection sqref="A1:AH26"/>
    </sheetView>
  </sheetViews>
  <sheetFormatPr defaultRowHeight="15" x14ac:dyDescent="0.25"/>
  <cols>
    <col min="1" max="1" width="8" customWidth="1"/>
    <col min="2" max="3" width="14" customWidth="1"/>
    <col min="4" max="4" width="10" customWidth="1"/>
    <col min="5" max="6" width="16" hidden="1" customWidth="1"/>
    <col min="8" max="8" width="8" customWidth="1"/>
    <col min="9" max="10" width="14" customWidth="1"/>
    <col min="11" max="11" width="10" customWidth="1"/>
    <col min="12" max="13" width="16" hidden="1" customWidth="1"/>
    <col min="15" max="15" width="8" customWidth="1"/>
    <col min="16" max="17" width="14" customWidth="1"/>
    <col min="18" max="18" width="10" customWidth="1"/>
    <col min="19" max="20" width="16" hidden="1" customWidth="1"/>
    <col min="22" max="22" width="8" customWidth="1"/>
    <col min="23" max="24" width="14" customWidth="1"/>
    <col min="25" max="25" width="10" customWidth="1"/>
    <col min="26" max="27" width="16" hidden="1" customWidth="1"/>
    <col min="29" max="29" width="8" customWidth="1"/>
    <col min="30" max="31" width="14" customWidth="1"/>
    <col min="32" max="32" width="10" customWidth="1"/>
    <col min="33" max="34" width="16" hidden="1" customWidth="1"/>
  </cols>
  <sheetData>
    <row r="1" spans="1:34" ht="18" customHeight="1" x14ac:dyDescent="0.25">
      <c r="A1" s="31" t="s">
        <v>96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</row>
    <row r="2" spans="1:34" ht="18" customHeight="1" x14ac:dyDescent="0.25"/>
    <row r="3" spans="1:34" ht="18" customHeight="1" x14ac:dyDescent="0.25">
      <c r="A3" s="29" t="s">
        <v>49</v>
      </c>
      <c r="B3" s="30"/>
      <c r="C3" s="30"/>
      <c r="D3" s="30"/>
      <c r="E3" s="30"/>
      <c r="F3" s="30"/>
      <c r="H3" s="29" t="s">
        <v>51</v>
      </c>
      <c r="I3" s="30"/>
      <c r="J3" s="30"/>
      <c r="K3" s="30"/>
      <c r="L3" s="30"/>
      <c r="M3" s="30"/>
      <c r="O3" s="29" t="s">
        <v>52</v>
      </c>
      <c r="P3" s="30"/>
      <c r="Q3" s="30"/>
      <c r="R3" s="30"/>
      <c r="S3" s="30"/>
      <c r="T3" s="30"/>
      <c r="V3" s="29" t="s">
        <v>54</v>
      </c>
      <c r="W3" s="30"/>
      <c r="X3" s="30"/>
      <c r="Y3" s="30"/>
      <c r="Z3" s="30"/>
      <c r="AA3" s="30"/>
      <c r="AC3" s="29" t="s">
        <v>56</v>
      </c>
      <c r="AD3" s="30"/>
      <c r="AE3" s="30"/>
      <c r="AF3" s="30"/>
      <c r="AG3" s="30"/>
      <c r="AH3" s="30"/>
    </row>
    <row r="4" spans="1:34" ht="18" customHeight="1" x14ac:dyDescent="0.25">
      <c r="A4" s="10" t="s">
        <v>92</v>
      </c>
      <c r="B4" s="10" t="s">
        <v>75</v>
      </c>
      <c r="C4" s="10" t="s">
        <v>78</v>
      </c>
      <c r="D4" s="10" t="s">
        <v>97</v>
      </c>
      <c r="E4" s="10" t="s">
        <v>98</v>
      </c>
      <c r="F4" s="10" t="s">
        <v>99</v>
      </c>
      <c r="H4" s="10" t="s">
        <v>92</v>
      </c>
      <c r="I4" s="10" t="s">
        <v>75</v>
      </c>
      <c r="J4" s="10" t="s">
        <v>78</v>
      </c>
      <c r="K4" s="10" t="s">
        <v>97</v>
      </c>
      <c r="L4" s="10" t="s">
        <v>98</v>
      </c>
      <c r="M4" s="10" t="s">
        <v>99</v>
      </c>
      <c r="O4" s="10" t="s">
        <v>92</v>
      </c>
      <c r="P4" s="10" t="s">
        <v>75</v>
      </c>
      <c r="Q4" s="10" t="s">
        <v>78</v>
      </c>
      <c r="R4" s="10" t="s">
        <v>97</v>
      </c>
      <c r="S4" s="10" t="s">
        <v>98</v>
      </c>
      <c r="T4" s="10" t="s">
        <v>99</v>
      </c>
      <c r="V4" s="10" t="s">
        <v>92</v>
      </c>
      <c r="W4" s="10" t="s">
        <v>75</v>
      </c>
      <c r="X4" s="10" t="s">
        <v>78</v>
      </c>
      <c r="Y4" s="10" t="s">
        <v>97</v>
      </c>
      <c r="Z4" s="10" t="s">
        <v>98</v>
      </c>
      <c r="AA4" s="10" t="s">
        <v>99</v>
      </c>
      <c r="AC4" s="10" t="s">
        <v>92</v>
      </c>
      <c r="AD4" s="10" t="s">
        <v>75</v>
      </c>
      <c r="AE4" s="10" t="s">
        <v>78</v>
      </c>
      <c r="AF4" s="10" t="s">
        <v>97</v>
      </c>
      <c r="AG4" s="10" t="s">
        <v>98</v>
      </c>
      <c r="AH4" s="10" t="s">
        <v>99</v>
      </c>
    </row>
    <row r="5" spans="1:34" ht="18" customHeight="1" x14ac:dyDescent="0.25">
      <c r="A5" s="20">
        <v>0</v>
      </c>
      <c r="B5" s="21">
        <f>IF(Inputs!$G$35="", "", Inputs!$G$35)</f>
        <v>974582.6792047983</v>
      </c>
      <c r="C5" s="21">
        <f>IF(Inputs!$H$35="", "", Inputs!$H$35)</f>
        <v>17543033.873371836</v>
      </c>
      <c r="D5" s="23">
        <f t="shared" ref="D5:D26" si="0">IF(B5&lt;&gt;0,C5/B5,"")</f>
        <v>18.000559878291611</v>
      </c>
      <c r="E5" s="21">
        <f>IF(B5="","",B5*Inputs!$B$12*1000000)</f>
        <v>3411039377216794</v>
      </c>
      <c r="F5" s="21">
        <f>IF(C5="","",C5*Inputs!$B$12*1000000)</f>
        <v>6.1400618556801424E+16</v>
      </c>
      <c r="H5" s="20">
        <v>0</v>
      </c>
      <c r="I5" s="21">
        <f>IF(Inputs!$G$36="", "", Inputs!$G$36)</f>
        <v>1954522.2981748674</v>
      </c>
      <c r="J5" s="21">
        <f>IF(Inputs!$H$36="", "", Inputs!$H$36)</f>
        <v>16068873.068391385</v>
      </c>
      <c r="K5" s="23">
        <f t="shared" ref="K5:K26" si="1">IF(I5&lt;&gt;0,J5/I5,"")</f>
        <v>8.2213812978222336</v>
      </c>
      <c r="L5" s="21">
        <f>IF(I5="","",I5*Inputs!$B$13*1000000)</f>
        <v>6840828043612036</v>
      </c>
      <c r="M5" s="21">
        <f>IF(J5="","",J5*Inputs!$B$13*1000000)</f>
        <v>5.624105573936984E+16</v>
      </c>
      <c r="O5" s="20">
        <v>0</v>
      </c>
      <c r="P5" s="21">
        <f>IF(Inputs!$G$37="", "", Inputs!$G$37)</f>
        <v>1404076.3592878305</v>
      </c>
      <c r="Q5" s="21">
        <f>IF(Inputs!$H$37="", "", Inputs!$H$37)</f>
        <v>13068242.528229246</v>
      </c>
      <c r="R5" s="23">
        <f t="shared" ref="R5:R26" si="2">IF(P5&lt;&gt;0,Q5/P5,"")</f>
        <v>9.3073588496694466</v>
      </c>
      <c r="S5" s="21">
        <f>IF(P5="","",P5*Inputs!$B$14*1000000)</f>
        <v>4759818857985745</v>
      </c>
      <c r="T5" s="21">
        <f>IF(Q5="","",Q5*Inputs!$B$14*1000000)</f>
        <v>4.4301342170697144E+16</v>
      </c>
      <c r="V5" s="20">
        <v>0</v>
      </c>
      <c r="W5" s="21">
        <f>IF(Inputs!$G$38="", "", Inputs!$G$38)</f>
        <v>967106.57720874401</v>
      </c>
      <c r="X5" s="21">
        <f>IF(Inputs!$H$38="", "", Inputs!$H$38)</f>
        <v>7753954.5278627677</v>
      </c>
      <c r="Y5" s="23">
        <f t="shared" ref="Y5:Y26" si="3">IF(W5&lt;&gt;0,X5/W5,"")</f>
        <v>8.0176835837909142</v>
      </c>
      <c r="Z5" s="21">
        <f>IF(W5="","",W5*Inputs!$B$15*1000000)</f>
        <v>3384873020230604</v>
      </c>
      <c r="AA5" s="21">
        <f>IF(X5="","",X5*Inputs!$B$15*1000000)</f>
        <v>2.7138840847519688E+16</v>
      </c>
      <c r="AC5" s="20">
        <v>0</v>
      </c>
      <c r="AD5" s="21">
        <f>IF(Inputs!$G$39="", "", Inputs!$G$39)</f>
        <v>1462050.7937607011</v>
      </c>
      <c r="AE5" s="21">
        <f>IF(Inputs!$H$39="", "", Inputs!$H$39)</f>
        <v>7043007.9040707704</v>
      </c>
      <c r="AF5" s="23">
        <f t="shared" ref="AF5:AF26" si="4">IF(AD5&lt;&gt;0,AE5/AD5,"")</f>
        <v>4.8172115046390953</v>
      </c>
      <c r="AG5" s="21">
        <f>IF(AD5="","",AD5*Inputs!$B$16*1000000)</f>
        <v>5117177778162454</v>
      </c>
      <c r="AH5" s="21">
        <f>IF(AE5="","",AE5*Inputs!$B$16*1000000)</f>
        <v>2.4650527664247696E+16</v>
      </c>
    </row>
    <row r="6" spans="1:34" ht="18" customHeight="1" x14ac:dyDescent="0.25">
      <c r="A6" s="20">
        <v>1</v>
      </c>
      <c r="B6" s="21">
        <f>IF(B5="","",B5+Inputs!$B$5/Inputs!$B$12*(Inputs!$C$12*(Inputs!$C$28-B5)+Inputs!$D$12*(Reservoir!$H$5-B5)+Inputs!$E$12*(Inputs!$D$28-B5)))</f>
        <v>960330.78686121199</v>
      </c>
      <c r="C6" s="21">
        <f>IF(C5="","",C5+Inputs!$B$5/Inputs!$B$12*(Inputs!$C$12*(Inputs!$C$29-C5)+Inputs!$D$12*(Reservoir!$I$5-C5)+Inputs!$E$12*(Inputs!$D$29-C5)))</f>
        <v>17035801.740172811</v>
      </c>
      <c r="D6" s="23">
        <f t="shared" si="0"/>
        <v>17.739514314493015</v>
      </c>
      <c r="E6" s="21">
        <f>IF(B6="","",B6*Inputs!$B$12*1000000)</f>
        <v>3361157754014242</v>
      </c>
      <c r="F6" s="21">
        <f>IF(C6="","",C6*Inputs!$B$12*1000000)</f>
        <v>5.9625306090604832E+16</v>
      </c>
      <c r="H6" s="20">
        <v>1</v>
      </c>
      <c r="I6" s="21">
        <f>IF(I5="","",I5+Inputs!$B$5/Inputs!$B$13*(Inputs!$C$13*(Inputs!$C$28-I5)+Inputs!$D$13*(Reservoir!$H$5-I5)+Inputs!$E$13*(Inputs!$D$28-I5)))</f>
        <v>1889873.5111413919</v>
      </c>
      <c r="J6" s="21">
        <f>IF(J5="","",J5+Inputs!$B$5/Inputs!$B$13*(Inputs!$C$13*(Inputs!$C$29-J5)+Inputs!$D$13*(Reservoir!$I$5-J5)+Inputs!$E$13*(Inputs!$D$29-J5)))</f>
        <v>15637454.919448497</v>
      </c>
      <c r="K6" s="23">
        <f t="shared" si="1"/>
        <v>8.2743394344969854</v>
      </c>
      <c r="L6" s="21">
        <f>IF(I6="","",I6*Inputs!$B$13*1000000)</f>
        <v>6614557288994872</v>
      </c>
      <c r="M6" s="21">
        <f>IF(J6="","",J6*Inputs!$B$13*1000000)</f>
        <v>5.4731092218069744E+16</v>
      </c>
      <c r="O6" s="20">
        <v>1</v>
      </c>
      <c r="P6" s="21">
        <f>IF(P5="","",P5+Inputs!$B$5/Inputs!$B$14*(Inputs!$C$14*(Inputs!$C$28-P5)+Inputs!$D$14*(Reservoir!$H$5-P5)+Inputs!$E$14*(Inputs!$D$28-P5)))</f>
        <v>1369449.2575240072</v>
      </c>
      <c r="Q6" s="21">
        <f>IF(Q5="","",Q5+Inputs!$B$5/Inputs!$B$14*(Inputs!$C$14*(Inputs!$C$29-Q5)+Inputs!$D$14*(Reservoir!$I$5-Q5)+Inputs!$E$14*(Inputs!$D$29-Q5)))</f>
        <v>12791371.695973534</v>
      </c>
      <c r="R6" s="23">
        <f t="shared" si="2"/>
        <v>9.3405225682480566</v>
      </c>
      <c r="S6" s="21">
        <f>IF(P6="","",P6*Inputs!$B$14*1000000)</f>
        <v>4642432983006385</v>
      </c>
      <c r="T6" s="21">
        <f>IF(Q6="","",Q6*Inputs!$B$14*1000000)</f>
        <v>4.336275004935028E+16</v>
      </c>
      <c r="V6" s="20">
        <v>1</v>
      </c>
      <c r="W6" s="21">
        <f>IF(W5="","",W5+Inputs!$B$5/Inputs!$B$15*(Inputs!$C$15*(Inputs!$C$28-W5)+Inputs!$D$15*(Reservoir!$H$5-W5)+Inputs!$E$15*(Inputs!$D$28-W5)))</f>
        <v>961528.65505817265</v>
      </c>
      <c r="X6" s="21">
        <f>IF(X5="","",X5+Inputs!$B$5/Inputs!$B$15*(Inputs!$C$15*(Inputs!$C$29-X5)+Inputs!$D$15*(Reservoir!$I$5-X5)+Inputs!$E$15*(Inputs!$D$29-X5)))</f>
        <v>7816623.2283858899</v>
      </c>
      <c r="Y6" s="23">
        <f t="shared" si="3"/>
        <v>8.1293710668591395</v>
      </c>
      <c r="Z6" s="21">
        <f>IF(W6="","",W6*Inputs!$B$15*1000000)</f>
        <v>3365350292703604</v>
      </c>
      <c r="AA6" s="21">
        <f>IF(X6="","",X6*Inputs!$B$15*1000000)</f>
        <v>2.7358181299350616E+16</v>
      </c>
      <c r="AC6" s="20">
        <v>1</v>
      </c>
      <c r="AD6" s="21">
        <f>IF(AD5="","",AD5+Inputs!$B$5/Inputs!$B$16*(Inputs!$C$16*(Inputs!$C$28-AD5)+Inputs!$D$16*(Reservoir!$H$5-AD5)+Inputs!$E$16*(Inputs!$D$28-AD5)))</f>
        <v>1435260.9766150459</v>
      </c>
      <c r="AE6" s="21">
        <f>IF(AE5="","",AE5+Inputs!$B$5/Inputs!$B$16*(Inputs!$C$16*(Inputs!$C$29-AE5)+Inputs!$D$16*(Reservoir!$I$5-AE5)+Inputs!$E$16*(Inputs!$D$29-AE5)))</f>
        <v>7136145.7456135489</v>
      </c>
      <c r="AF6" s="23">
        <f t="shared" si="4"/>
        <v>4.9720196270113934</v>
      </c>
      <c r="AG6" s="21">
        <f>IF(AD6="","",AD6*Inputs!$B$16*1000000)</f>
        <v>5023413418152660</v>
      </c>
      <c r="AH6" s="21">
        <f>IF(AE6="","",AE6*Inputs!$B$16*1000000)</f>
        <v>2.4976510109647424E+16</v>
      </c>
    </row>
    <row r="7" spans="1:34" ht="18" customHeight="1" x14ac:dyDescent="0.25">
      <c r="A7" s="20">
        <v>2</v>
      </c>
      <c r="B7" s="21">
        <f>IF(B6="","",B6+Inputs!$B$5/Inputs!$B$12*(Inputs!$C$12*(Inputs!$C$28-B6)+Inputs!$D$12*(Reservoir!$H$6-B6)+Inputs!$E$12*(Inputs!$D$28-B6)))</f>
        <v>946057.4658580597</v>
      </c>
      <c r="C7" s="21">
        <f>IF(C6="","",C6+Inputs!$B$5/Inputs!$B$12*(Inputs!$C$12*(Inputs!$C$29-C6)+Inputs!$D$12*(Reservoir!$I$6-C6)+Inputs!$E$12*(Inputs!$D$29-C6)))</f>
        <v>16549215.647663383</v>
      </c>
      <c r="D7" s="23">
        <f t="shared" si="0"/>
        <v>17.492822841003107</v>
      </c>
      <c r="E7" s="21">
        <f>IF(B7="","",B7*Inputs!$B$12*1000000)</f>
        <v>3311201130503209</v>
      </c>
      <c r="F7" s="21">
        <f>IF(C7="","",C7*Inputs!$B$12*1000000)</f>
        <v>5.792225476682184E+16</v>
      </c>
      <c r="H7" s="20">
        <v>2</v>
      </c>
      <c r="I7" s="21">
        <f>IF(I6="","",I6+Inputs!$B$5/Inputs!$B$13*(Inputs!$C$13*(Inputs!$C$28-I6)+Inputs!$D$13*(Reservoir!$H$6-I6)+Inputs!$E$13*(Inputs!$D$28-I6)))</f>
        <v>1827795.1357466877</v>
      </c>
      <c r="J7" s="21">
        <f>IF(J6="","",J6+Inputs!$B$5/Inputs!$B$13*(Inputs!$C$13*(Inputs!$C$29-J6)+Inputs!$D$13*(Reservoir!$I$6-J6)+Inputs!$E$13*(Inputs!$D$29-J6)))</f>
        <v>15222783.806290604</v>
      </c>
      <c r="K7" s="23">
        <f t="shared" si="1"/>
        <v>8.3284956331125262</v>
      </c>
      <c r="L7" s="21">
        <f>IF(I7="","",I7*Inputs!$B$13*1000000)</f>
        <v>6397282975113407</v>
      </c>
      <c r="M7" s="21">
        <f>IF(J7="","",J7*Inputs!$B$13*1000000)</f>
        <v>5.3279743322017112E+16</v>
      </c>
      <c r="O7" s="20">
        <v>2</v>
      </c>
      <c r="P7" s="21">
        <f>IF(P6="","",P6+Inputs!$B$5/Inputs!$B$14*(Inputs!$C$14*(Inputs!$C$28-P6)+Inputs!$D$14*(Reservoir!$H$6-P6)+Inputs!$E$14*(Inputs!$D$28-P6)))</f>
        <v>1335772.9488184466</v>
      </c>
      <c r="Q7" s="21">
        <f>IF(Q6="","",Q6+Inputs!$B$5/Inputs!$B$14*(Inputs!$C$14*(Inputs!$C$29-Q6)+Inputs!$D$14*(Reservoir!$I$6-Q6)+Inputs!$E$14*(Inputs!$D$29-Q6)))</f>
        <v>12522543.182113154</v>
      </c>
      <c r="R7" s="23">
        <f t="shared" si="2"/>
        <v>9.3747542897839988</v>
      </c>
      <c r="S7" s="21">
        <f>IF(P7="","",P7*Inputs!$B$14*1000000)</f>
        <v>4528270296494534</v>
      </c>
      <c r="T7" s="21">
        <f>IF(Q7="","",Q7*Inputs!$B$14*1000000)</f>
        <v>4.2451421387363592E+16</v>
      </c>
      <c r="V7" s="20">
        <v>2</v>
      </c>
      <c r="W7" s="21">
        <f>IF(W6="","",W6+Inputs!$B$5/Inputs!$B$15*(Inputs!$C$15*(Inputs!$C$28-W6)+Inputs!$D$15*(Reservoir!$H$6-W6)+Inputs!$E$15*(Inputs!$D$28-W6)))</f>
        <v>955435.40359110385</v>
      </c>
      <c r="X7" s="21">
        <f>IF(X6="","",X6+Inputs!$B$5/Inputs!$B$15*(Inputs!$C$15*(Inputs!$C$29-X6)+Inputs!$D$15*(Reservoir!$I$6-X6)+Inputs!$E$15*(Inputs!$D$29-X6)))</f>
        <v>7871165.9441545261</v>
      </c>
      <c r="Y7" s="23">
        <f t="shared" si="3"/>
        <v>8.2383025734339821</v>
      </c>
      <c r="Z7" s="21">
        <f>IF(W7="","",W7*Inputs!$B$15*1000000)</f>
        <v>3344023912568863.5</v>
      </c>
      <c r="AA7" s="21">
        <f>IF(X7="","",X7*Inputs!$B$15*1000000)</f>
        <v>2.754908080454084E+16</v>
      </c>
      <c r="AC7" s="20">
        <v>2</v>
      </c>
      <c r="AD7" s="21">
        <f>IF(AD6="","",AD6+Inputs!$B$5/Inputs!$B$16*(Inputs!$C$16*(Inputs!$C$28-AD6)+Inputs!$D$16*(Reservoir!$H$6-AD6)+Inputs!$E$16*(Inputs!$D$28-AD6)))</f>
        <v>1408864.9113669684</v>
      </c>
      <c r="AE7" s="21">
        <f>IF(AE6="","",AE6+Inputs!$B$5/Inputs!$B$16*(Inputs!$C$16*(Inputs!$C$29-AE6)+Inputs!$D$16*(Reservoir!$I$6-AE6)+Inputs!$E$16*(Inputs!$D$29-AE6)))</f>
        <v>7219851.7820724277</v>
      </c>
      <c r="AF7" s="23">
        <f t="shared" si="4"/>
        <v>5.1245876902898218</v>
      </c>
      <c r="AG7" s="21">
        <f>IF(AD7="","",AD7*Inputs!$B$16*1000000)</f>
        <v>4931027189784389</v>
      </c>
      <c r="AH7" s="21">
        <f>IF(AE7="","",AE7*Inputs!$B$16*1000000)</f>
        <v>2.52694812372535E+16</v>
      </c>
    </row>
    <row r="8" spans="1:34" ht="18" customHeight="1" x14ac:dyDescent="0.25">
      <c r="A8" s="20">
        <v>3</v>
      </c>
      <c r="B8" s="21">
        <f>IF(B7="","",B7+Inputs!$B$5/Inputs!$B$12*(Inputs!$C$12*(Inputs!$C$28-B7)+Inputs!$D$12*(Reservoir!$H$7-B7)+Inputs!$E$12*(Inputs!$D$28-B7)))</f>
        <v>931781.05502547836</v>
      </c>
      <c r="C8" s="21">
        <f>IF(C7="","",C7+Inputs!$B$5/Inputs!$B$12*(Inputs!$C$12*(Inputs!$C$29-C7)+Inputs!$D$12*(Reservoir!$I$7-C7)+Inputs!$E$12*(Inputs!$D$29-C7)))</f>
        <v>16082355.737051388</v>
      </c>
      <c r="D8" s="23">
        <f t="shared" si="0"/>
        <v>17.259801162851112</v>
      </c>
      <c r="E8" s="21">
        <f>IF(B8="","",B8*Inputs!$B$12*1000000)</f>
        <v>3261233692589174.5</v>
      </c>
      <c r="F8" s="21">
        <f>IF(C8="","",C8*Inputs!$B$12*1000000)</f>
        <v>5.6288245079679856E+16</v>
      </c>
      <c r="H8" s="20">
        <v>3</v>
      </c>
      <c r="I8" s="21">
        <f>IF(I7="","",I7+Inputs!$B$5/Inputs!$B$13*(Inputs!$C$13*(Inputs!$C$28-I7)+Inputs!$D$13*(Reservoir!$H$7-I7)+Inputs!$E$13*(Inputs!$D$28-I7)))</f>
        <v>1768172.2161769769</v>
      </c>
      <c r="J8" s="21">
        <f>IF(J7="","",J7+Inputs!$B$5/Inputs!$B$13*(Inputs!$C$13*(Inputs!$C$29-J7)+Inputs!$D$13*(Reservoir!$I$7-J7)+Inputs!$E$13*(Inputs!$D$29-J7)))</f>
        <v>14824140.390377782</v>
      </c>
      <c r="K8" s="23">
        <f t="shared" si="1"/>
        <v>8.3838781396698696</v>
      </c>
      <c r="L8" s="21">
        <f>IF(I8="","",I8*Inputs!$B$13*1000000)</f>
        <v>6188602756619419</v>
      </c>
      <c r="M8" s="21">
        <f>IF(J8="","",J8*Inputs!$B$13*1000000)</f>
        <v>5.1884491366322232E+16</v>
      </c>
      <c r="O8" s="20">
        <v>3</v>
      </c>
      <c r="P8" s="21">
        <f>IF(P7="","",P7+Inputs!$B$5/Inputs!$B$14*(Inputs!$C$14*(Inputs!$C$28-P7)+Inputs!$D$14*(Reservoir!$H$7-P7)+Inputs!$E$14*(Inputs!$D$28-P7)))</f>
        <v>1303018.7406967101</v>
      </c>
      <c r="Q8" s="21">
        <f>IF(Q7="","",Q7+Inputs!$B$5/Inputs!$B$14*(Inputs!$C$14*(Inputs!$C$29-Q7)+Inputs!$D$14*(Reservoir!$I$7-Q7)+Inputs!$E$14*(Inputs!$D$29-Q7)))</f>
        <v>12261511.419739768</v>
      </c>
      <c r="R8" s="23">
        <f t="shared" si="2"/>
        <v>9.4100806356658158</v>
      </c>
      <c r="S8" s="21">
        <f>IF(P8="","",P8*Inputs!$B$14*1000000)</f>
        <v>4417233530961847.5</v>
      </c>
      <c r="T8" s="21">
        <f>IF(Q8="","",Q8*Inputs!$B$14*1000000)</f>
        <v>4.1566523712917816E+16</v>
      </c>
      <c r="V8" s="20">
        <v>3</v>
      </c>
      <c r="W8" s="21">
        <f>IF(W7="","",W7+Inputs!$B$5/Inputs!$B$15*(Inputs!$C$15*(Inputs!$C$28-W7)+Inputs!$D$15*(Reservoir!$H$7-W7)+Inputs!$E$15*(Inputs!$D$28-W7)))</f>
        <v>948866.14513446111</v>
      </c>
      <c r="X8" s="21">
        <f>IF(X7="","",X7+Inputs!$B$5/Inputs!$B$15*(Inputs!$C$15*(Inputs!$C$29-X7)+Inputs!$D$15*(Reservoir!$I$7-X7)+Inputs!$E$15*(Inputs!$D$29-X7)))</f>
        <v>7918072.8692443119</v>
      </c>
      <c r="Y8" s="23">
        <f t="shared" si="3"/>
        <v>8.3447732958395981</v>
      </c>
      <c r="Z8" s="21">
        <f>IF(W8="","",W8*Inputs!$B$15*1000000)</f>
        <v>3321031507970614</v>
      </c>
      <c r="AA8" s="21">
        <f>IF(X8="","",X8*Inputs!$B$15*1000000)</f>
        <v>2.7713255042355092E+16</v>
      </c>
      <c r="AC8" s="20">
        <v>3</v>
      </c>
      <c r="AD8" s="21">
        <f>IF(AD7="","",AD7+Inputs!$B$5/Inputs!$B$16*(Inputs!$C$16*(Inputs!$C$28-AD7)+Inputs!$D$16*(Reservoir!$H$7-AD7)+Inputs!$E$16*(Inputs!$D$28-AD7)))</f>
        <v>1382862.9597199315</v>
      </c>
      <c r="AE8" s="21">
        <f>IF(AE7="","",AE7+Inputs!$B$5/Inputs!$B$16*(Inputs!$C$16*(Inputs!$C$29-AE7)+Inputs!$D$16*(Reservoir!$I$7-AE7)+Inputs!$E$16*(Inputs!$D$29-AE7)))</f>
        <v>7294672.171251446</v>
      </c>
      <c r="AF8" s="23">
        <f t="shared" si="4"/>
        <v>5.2750506620907842</v>
      </c>
      <c r="AG8" s="21">
        <f>IF(AD8="","",AD8*Inputs!$B$16*1000000)</f>
        <v>4840020359019760</v>
      </c>
      <c r="AH8" s="21">
        <f>IF(AE8="","",AE8*Inputs!$B$16*1000000)</f>
        <v>2.5531352599380064E+16</v>
      </c>
    </row>
    <row r="9" spans="1:34" ht="18" customHeight="1" x14ac:dyDescent="0.25">
      <c r="A9" s="20">
        <v>4</v>
      </c>
      <c r="B9" s="21">
        <f>IF(B8="","",B8+Inputs!$B$5/Inputs!$B$12*(Inputs!$C$12*(Inputs!$C$28-B8)+Inputs!$D$12*(Reservoir!$H$8-B8)+Inputs!$E$12*(Inputs!$D$28-B8)))</f>
        <v>917518.5202795259</v>
      </c>
      <c r="C9" s="21">
        <f>IF(C8="","",C8+Inputs!$B$5/Inputs!$B$12*(Inputs!$C$12*(Inputs!$C$29-C8)+Inputs!$D$12*(Reservoir!$I$8-C8)+Inputs!$E$12*(Inputs!$D$29-C8)))</f>
        <v>15634345.138171501</v>
      </c>
      <c r="D9" s="23">
        <f t="shared" si="0"/>
        <v>17.039814230026039</v>
      </c>
      <c r="E9" s="21">
        <f>IF(B9="","",B9*Inputs!$B$12*1000000)</f>
        <v>3211314820978340.5</v>
      </c>
      <c r="F9" s="21">
        <f>IF(C9="","",C9*Inputs!$B$12*1000000)</f>
        <v>5.4720207983600256E+16</v>
      </c>
      <c r="H9" s="20">
        <v>4</v>
      </c>
      <c r="I9" s="21">
        <f>IF(I8="","",I8+Inputs!$B$5/Inputs!$B$13*(Inputs!$C$13*(Inputs!$C$28-I8)+Inputs!$D$13*(Reservoir!$H$8-I8)+Inputs!$E$13*(Inputs!$D$28-I8)))</f>
        <v>1710895.2788575187</v>
      </c>
      <c r="J9" s="21">
        <f>IF(J8="","",J8+Inputs!$B$5/Inputs!$B$13*(Inputs!$C$13*(Inputs!$C$29-J8)+Inputs!$D$13*(Reservoir!$I$8-J8)+Inputs!$E$13*(Inputs!$D$29-J8)))</f>
        <v>14440838.009326823</v>
      </c>
      <c r="K9" s="23">
        <f t="shared" si="1"/>
        <v>8.4405154352696297</v>
      </c>
      <c r="L9" s="21">
        <f>IF(I9="","",I9*Inputs!$B$13*1000000)</f>
        <v>5988133476001315</v>
      </c>
      <c r="M9" s="21">
        <f>IF(J9="","",J9*Inputs!$B$13*1000000)</f>
        <v>5.054293303264388E+16</v>
      </c>
      <c r="O9" s="20">
        <v>4</v>
      </c>
      <c r="P9" s="21">
        <f>IF(P8="","",P8+Inputs!$B$5/Inputs!$B$14*(Inputs!$C$14*(Inputs!$C$28-P8)+Inputs!$D$14*(Reservoir!$H$8-P8)+Inputs!$E$14*(Inputs!$D$28-P8)))</f>
        <v>1271158.8737599743</v>
      </c>
      <c r="Q9" s="21">
        <f>IF(Q8="","",Q8+Inputs!$B$5/Inputs!$B$14*(Inputs!$C$14*(Inputs!$C$29-Q8)+Inputs!$D$14*(Reservoir!$I$8-Q8)+Inputs!$E$14*(Inputs!$D$29-Q8)))</f>
        <v>12008038.351750029</v>
      </c>
      <c r="R9" s="23">
        <f t="shared" si="2"/>
        <v>9.446528360559153</v>
      </c>
      <c r="S9" s="21">
        <f>IF(P9="","",P9*Inputs!$B$14*1000000)</f>
        <v>4309228582046312.5</v>
      </c>
      <c r="T9" s="21">
        <f>IF(Q9="","",Q9*Inputs!$B$14*1000000)</f>
        <v>4.07072500124326E+16</v>
      </c>
      <c r="V9" s="20">
        <v>4</v>
      </c>
      <c r="W9" s="21">
        <f>IF(W8="","",W8+Inputs!$B$5/Inputs!$B$15*(Inputs!$C$15*(Inputs!$C$28-W8)+Inputs!$D$15*(Reservoir!$H$8-W8)+Inputs!$E$15*(Inputs!$D$28-W8)))</f>
        <v>941858.08699834207</v>
      </c>
      <c r="X9" s="21">
        <f>IF(X8="","",X8+Inputs!$B$5/Inputs!$B$15*(Inputs!$C$15*(Inputs!$C$29-X8)+Inputs!$D$15*(Reservoir!$I$8-X8)+Inputs!$E$15*(Inputs!$D$29-X8)))</f>
        <v>7957808.8710165974</v>
      </c>
      <c r="Y9" s="23">
        <f t="shared" si="3"/>
        <v>8.4490529739759044</v>
      </c>
      <c r="Z9" s="21">
        <f>IF(W9="","",W9*Inputs!$B$15*1000000)</f>
        <v>3296503304494197.5</v>
      </c>
      <c r="AA9" s="21">
        <f>IF(X9="","",X9*Inputs!$B$15*1000000)</f>
        <v>2.7852331048558092E+16</v>
      </c>
      <c r="AC9" s="20">
        <v>4</v>
      </c>
      <c r="AD9" s="21">
        <f>IF(AD8="","",AD8+Inputs!$B$5/Inputs!$B$16*(Inputs!$C$16*(Inputs!$C$28-AD8)+Inputs!$D$16*(Reservoir!$H$8-AD8)+Inputs!$E$16*(Inputs!$D$28-AD8)))</f>
        <v>1357255.0381015779</v>
      </c>
      <c r="AE9" s="21">
        <f>IF(AE8="","",AE8+Inputs!$B$5/Inputs!$B$16*(Inputs!$C$16*(Inputs!$C$29-AE8)+Inputs!$D$16*(Reservoir!$I$8-AE8)+Inputs!$E$16*(Inputs!$D$29-AE8)))</f>
        <v>7361125.3457948547</v>
      </c>
      <c r="AF9" s="23">
        <f t="shared" si="4"/>
        <v>5.4235387890628282</v>
      </c>
      <c r="AG9" s="21">
        <f>IF(AD9="","",AD9*Inputs!$B$16*1000000)</f>
        <v>4750392633355523</v>
      </c>
      <c r="AH9" s="21">
        <f>IF(AE9="","",AE9*Inputs!$B$16*1000000)</f>
        <v>2.5763938710281992E+16</v>
      </c>
    </row>
    <row r="10" spans="1:34" ht="18" customHeight="1" x14ac:dyDescent="0.25">
      <c r="A10" s="20">
        <v>5</v>
      </c>
      <c r="B10" s="21">
        <f>IF(B9="","",B9+Inputs!$B$5/Inputs!$B$12*(Inputs!$C$12*(Inputs!$C$28-B9)+Inputs!$D$12*(Reservoir!$H$9-B9)+Inputs!$E$12*(Inputs!$D$28-B9)))</f>
        <v>903285.53753044596</v>
      </c>
      <c r="C10" s="21">
        <f>IF(C9="","",C9+Inputs!$B$5/Inputs!$B$12*(Inputs!$C$12*(Inputs!$C$29-C9)+Inputs!$D$12*(Reservoir!$I$9-C9)+Inputs!$E$12*(Inputs!$D$29-C9)))</f>
        <v>15204347.913838822</v>
      </c>
      <c r="D10" s="23">
        <f t="shared" si="0"/>
        <v>16.832272058077038</v>
      </c>
      <c r="E10" s="21">
        <f>IF(B10="","",B10*Inputs!$B$12*1000000)</f>
        <v>3161499381356560.5</v>
      </c>
      <c r="F10" s="21">
        <f>IF(C10="","",C10*Inputs!$B$12*1000000)</f>
        <v>5.3215217698435872E+16</v>
      </c>
      <c r="H10" s="20">
        <v>5</v>
      </c>
      <c r="I10" s="21">
        <f>IF(I9="","",I9+Inputs!$B$5/Inputs!$B$13*(Inputs!$C$13*(Inputs!$C$28-I9)+Inputs!$D$13*(Reservoir!$H$9-I9)+Inputs!$E$13*(Inputs!$D$28-I9)))</f>
        <v>1655860.0628101421</v>
      </c>
      <c r="J10" s="21">
        <f>IF(J9="","",J9+Inputs!$B$5/Inputs!$B$13*(Inputs!$C$13*(Inputs!$C$29-J9)+Inputs!$D$13*(Reservoir!$I$9-J9)+Inputs!$E$13*(Inputs!$D$29-J9)))</f>
        <v>14072221.15162044</v>
      </c>
      <c r="K10" s="23">
        <f t="shared" si="1"/>
        <v>8.4984362312227208</v>
      </c>
      <c r="L10" s="21">
        <f>IF(I10="","",I10*Inputs!$B$13*1000000)</f>
        <v>5795510219835497</v>
      </c>
      <c r="M10" s="21">
        <f>IF(J10="","",J10*Inputs!$B$13*1000000)</f>
        <v>4.9252774030671536E+16</v>
      </c>
      <c r="O10" s="20">
        <v>5</v>
      </c>
      <c r="P10" s="21">
        <f>IF(P9="","",P9+Inputs!$B$5/Inputs!$B$14*(Inputs!$C$14*(Inputs!$C$28-P9)+Inputs!$D$14*(Reservoir!$H$9-P9)+Inputs!$E$14*(Inputs!$D$28-P9)))</f>
        <v>1240166.4900960575</v>
      </c>
      <c r="Q10" s="21">
        <f>IF(Q9="","",Q9+Inputs!$B$5/Inputs!$B$14*(Inputs!$C$14*(Inputs!$C$29-Q9)+Inputs!$D$14*(Reservoir!$I$9-Q9)+Inputs!$E$14*(Inputs!$D$29-Q9)))</f>
        <v>11761893.218386779</v>
      </c>
      <c r="R10" s="23">
        <f t="shared" si="2"/>
        <v>9.4841243593638431</v>
      </c>
      <c r="S10" s="21">
        <f>IF(P10="","",P10*Inputs!$B$14*1000000)</f>
        <v>4204164401425635</v>
      </c>
      <c r="T10" s="21">
        <f>IF(Q10="","",Q10*Inputs!$B$14*1000000)</f>
        <v>3.9872818010331176E+16</v>
      </c>
      <c r="V10" s="20">
        <v>5</v>
      </c>
      <c r="W10" s="21">
        <f>IF(W9="","",W9+Inputs!$B$5/Inputs!$B$15*(Inputs!$C$15*(Inputs!$C$28-W9)+Inputs!$D$15*(Reservoir!$H$9-W9)+Inputs!$E$15*(Inputs!$D$28-W9)))</f>
        <v>934446.42442085163</v>
      </c>
      <c r="X10" s="21">
        <f>IF(X9="","",X9+Inputs!$B$5/Inputs!$B$15*(Inputs!$C$15*(Inputs!$C$29-X9)+Inputs!$D$15*(Reservoir!$I$9-X9)+Inputs!$E$15*(Inputs!$D$29-X9)))</f>
        <v>7990814.7307463121</v>
      </c>
      <c r="Y10" s="23">
        <f t="shared" si="3"/>
        <v>8.5513888457530722</v>
      </c>
      <c r="Z10" s="21">
        <f>IF(W10="","",W10*Inputs!$B$15*1000000)</f>
        <v>3270562485472980.5</v>
      </c>
      <c r="AA10" s="21">
        <f>IF(X10="","",X10*Inputs!$B$15*1000000)</f>
        <v>2.7967851557612092E+16</v>
      </c>
      <c r="AC10" s="20">
        <v>5</v>
      </c>
      <c r="AD10" s="21">
        <f>IF(AD9="","",AD9+Inputs!$B$5/Inputs!$B$16*(Inputs!$C$16*(Inputs!$C$28-AD9)+Inputs!$D$16*(Reservoir!$H$9-AD9)+Inputs!$E$16*(Inputs!$D$28-AD9)))</f>
        <v>1332040.6490482346</v>
      </c>
      <c r="AE10" s="21">
        <f>IF(AE9="","",AE9+Inputs!$B$5/Inputs!$B$16*(Inputs!$C$16*(Inputs!$C$29-AE9)+Inputs!$D$16*(Reservoir!$I$9-AE9)+Inputs!$E$16*(Inputs!$D$29-AE9)))</f>
        <v>7419703.3566055009</v>
      </c>
      <c r="AF10" s="23">
        <f t="shared" si="4"/>
        <v>5.5701778785106919</v>
      </c>
      <c r="AG10" s="21">
        <f>IF(AD10="","",AD10*Inputs!$B$16*1000000)</f>
        <v>4662142271668821</v>
      </c>
      <c r="AH10" s="21">
        <f>IF(AE10="","",AE10*Inputs!$B$16*1000000)</f>
        <v>2.5968961748119256E+16</v>
      </c>
    </row>
    <row r="11" spans="1:34" ht="18" customHeight="1" x14ac:dyDescent="0.25">
      <c r="A11" s="20">
        <v>6</v>
      </c>
      <c r="B11" s="21">
        <f>IF(B10="","",B10+Inputs!$B$5/Inputs!$B$12*(Inputs!$C$12*(Inputs!$C$28-B10)+Inputs!$D$12*(Reservoir!$H$10-B10)+Inputs!$E$12*(Inputs!$D$28-B10)))</f>
        <v>889096.57091082935</v>
      </c>
      <c r="C11" s="21">
        <f>IF(C10="","",C10+Inputs!$B$5/Inputs!$B$12*(Inputs!$C$12*(Inputs!$C$29-C10)+Inputs!$D$12*(Reservoir!$I$10-C10)+Inputs!$E$12*(Inputs!$D$29-C10)))</f>
        <v>14791567.103552675</v>
      </c>
      <c r="D11" s="23">
        <f t="shared" si="0"/>
        <v>16.636625972361525</v>
      </c>
      <c r="E11" s="21">
        <f>IF(B11="","",B11*Inputs!$B$12*1000000)</f>
        <v>3111837998187903</v>
      </c>
      <c r="F11" s="21">
        <f>IF(C11="","",C11*Inputs!$B$12*1000000)</f>
        <v>5.1770484862434368E+16</v>
      </c>
      <c r="H11" s="20">
        <v>6</v>
      </c>
      <c r="I11" s="21">
        <f>IF(I10="","",I10+Inputs!$B$5/Inputs!$B$13*(Inputs!$C$13*(Inputs!$C$28-I10)+Inputs!$D$13*(Reservoir!$H$10-I10)+Inputs!$E$13*(Inputs!$D$28-I10)))</f>
        <v>1602967.2634618552</v>
      </c>
      <c r="J11" s="21">
        <f>IF(J10="","",J10+Inputs!$B$5/Inputs!$B$13*(Inputs!$C$13*(Inputs!$C$29-J10)+Inputs!$D$13*(Reservoir!$I$10-J10)+Inputs!$E$13*(Inputs!$D$29-J10)))</f>
        <v>13717664.003391238</v>
      </c>
      <c r="K11" s="23">
        <f t="shared" si="1"/>
        <v>8.5576694646688072</v>
      </c>
      <c r="L11" s="21">
        <f>IF(I11="","",I11*Inputs!$B$13*1000000)</f>
        <v>5610385422116493</v>
      </c>
      <c r="M11" s="21">
        <f>IF(J11="","",J11*Inputs!$B$13*1000000)</f>
        <v>4.8011824011869328E+16</v>
      </c>
      <c r="O11" s="20">
        <v>6</v>
      </c>
      <c r="P11" s="21">
        <f>IF(P10="","",P10+Inputs!$B$5/Inputs!$B$14*(Inputs!$C$14*(Inputs!$C$28-P10)+Inputs!$D$14*(Reservoir!$H$10-P10)+Inputs!$E$14*(Inputs!$D$28-P10)))</f>
        <v>1210015.6027600351</v>
      </c>
      <c r="Q11" s="21">
        <f>IF(Q10="","",Q10+Inputs!$B$5/Inputs!$B$14*(Inputs!$C$14*(Inputs!$C$29-Q10)+Inputs!$D$14*(Reservoir!$I$10-Q10)+Inputs!$E$14*(Inputs!$D$29-Q10)))</f>
        <v>11522852.349320007</v>
      </c>
      <c r="R11" s="23">
        <f t="shared" si="2"/>
        <v>9.5228956742677386</v>
      </c>
      <c r="S11" s="21">
        <f>IF(P11="","",P11*Inputs!$B$14*1000000)</f>
        <v>4101952893356518.5</v>
      </c>
      <c r="T11" s="21">
        <f>IF(Q11="","",Q11*Inputs!$B$14*1000000)</f>
        <v>3.9062469464194824E+16</v>
      </c>
      <c r="V11" s="20">
        <v>6</v>
      </c>
      <c r="W11" s="21">
        <f>IF(W10="","",W10+Inputs!$B$5/Inputs!$B$15*(Inputs!$C$15*(Inputs!$C$28-W10)+Inputs!$D$15*(Reservoir!$H$10-W10)+Inputs!$E$15*(Inputs!$D$28-W10)))</f>
        <v>926664.43868476432</v>
      </c>
      <c r="X11" s="21">
        <f>IF(X10="","",X10+Inputs!$B$5/Inputs!$B$15*(Inputs!$C$15*(Inputs!$C$29-X10)+Inputs!$D$15*(Reservoir!$I$10-X10)+Inputs!$E$15*(Inputs!$D$29-X10)))</f>
        <v>8017508.3247113191</v>
      </c>
      <c r="Y11" s="23">
        <f t="shared" si="3"/>
        <v>8.6520082027651224</v>
      </c>
      <c r="Z11" s="21">
        <f>IF(W11="","",W11*Inputs!$B$15*1000000)</f>
        <v>3243325535396675</v>
      </c>
      <c r="AA11" s="21">
        <f>IF(X11="","",X11*Inputs!$B$15*1000000)</f>
        <v>2.8061279136489616E+16</v>
      </c>
      <c r="AC11" s="20">
        <v>6</v>
      </c>
      <c r="AD11" s="21">
        <f>IF(AD10="","",AD10+Inputs!$B$5/Inputs!$B$16*(Inputs!$C$16*(Inputs!$C$28-AD10)+Inputs!$D$16*(Reservoir!$H$10-AD10)+Inputs!$E$16*(Inputs!$D$28-AD10)))</f>
        <v>1307218.9108281166</v>
      </c>
      <c r="AE11" s="21">
        <f>IF(AE10="","",AE10+Inputs!$B$5/Inputs!$B$16*(Inputs!$C$16*(Inputs!$C$29-AE10)+Inputs!$D$16*(Reservoir!$I$10-AE10)+Inputs!$E$16*(Inputs!$D$29-AE10)))</f>
        <v>7470873.1523193996</v>
      </c>
      <c r="AF11" s="23">
        <f t="shared" si="4"/>
        <v>5.7150895618444189</v>
      </c>
      <c r="AG11" s="21">
        <f>IF(AD11="","",AD11*Inputs!$B$16*1000000)</f>
        <v>4575266187898408</v>
      </c>
      <c r="AH11" s="21">
        <f>IF(AE11="","",AE11*Inputs!$B$16*1000000)</f>
        <v>2.6148056033117896E+16</v>
      </c>
    </row>
    <row r="12" spans="1:34" ht="18" customHeight="1" x14ac:dyDescent="0.25">
      <c r="A12" s="20">
        <v>7</v>
      </c>
      <c r="B12" s="21">
        <f>IF(B11="","",B11+Inputs!$B$5/Inputs!$B$12*(Inputs!$C$12*(Inputs!$C$28-B11)+Inputs!$D$12*(Reservoir!$H$11-B11)+Inputs!$E$12*(Inputs!$D$28-B11)))</f>
        <v>874964.94658071222</v>
      </c>
      <c r="C12" s="21">
        <f>IF(C11="","",C11+Inputs!$B$5/Inputs!$B$12*(Inputs!$C$12*(Inputs!$C$29-C11)+Inputs!$D$12*(Reservoir!$I$11-C11)+Inputs!$E$12*(Inputs!$D$29-C11)))</f>
        <v>14395242.861724824</v>
      </c>
      <c r="D12" s="23">
        <f t="shared" si="0"/>
        <v>16.452365226721589</v>
      </c>
      <c r="E12" s="21">
        <f>IF(B12="","",B12*Inputs!$B$12*1000000)</f>
        <v>3062377313032492.5</v>
      </c>
      <c r="F12" s="21">
        <f>IF(C12="","",C12*Inputs!$B$12*1000000)</f>
        <v>5.038335001603688E+16</v>
      </c>
      <c r="H12" s="20">
        <v>7</v>
      </c>
      <c r="I12" s="21">
        <f>IF(I11="","",I11+Inputs!$B$5/Inputs!$B$13*(Inputs!$C$13*(Inputs!$C$28-I11)+Inputs!$D$13*(Reservoir!$H$11-I11)+Inputs!$E$13*(Inputs!$D$28-I11)))</f>
        <v>1552122.2892291141</v>
      </c>
      <c r="J12" s="21">
        <f>IF(J11="","",J11+Inputs!$B$5/Inputs!$B$13*(Inputs!$C$13*(Inputs!$C$29-J11)+Inputs!$D$13*(Reservoir!$I$11-J11)+Inputs!$E$13*(Inputs!$D$29-J11)))</f>
        <v>13376569.063857403</v>
      </c>
      <c r="K12" s="23">
        <f t="shared" si="1"/>
        <v>8.6182442947205438</v>
      </c>
      <c r="L12" s="21">
        <f>IF(I12="","",I12*Inputs!$B$13*1000000)</f>
        <v>5432428012301899</v>
      </c>
      <c r="M12" s="21">
        <f>IF(J12="","",J12*Inputs!$B$13*1000000)</f>
        <v>4.6817991723500904E+16</v>
      </c>
      <c r="O12" s="20">
        <v>7</v>
      </c>
      <c r="P12" s="21">
        <f>IF(P11="","",P11+Inputs!$B$5/Inputs!$B$14*(Inputs!$C$14*(Inputs!$C$28-P11)+Inputs!$D$14*(Reservoir!$H$11-P11)+Inputs!$E$14*(Inputs!$D$28-P11)))</f>
        <v>1180681.066289901</v>
      </c>
      <c r="Q12" s="21">
        <f>IF(Q11="","",Q11+Inputs!$B$5/Inputs!$B$14*(Inputs!$C$14*(Inputs!$C$29-Q11)+Inputs!$D$14*(Reservoir!$I$11-Q11)+Inputs!$E$14*(Inputs!$D$29-Q11)))</f>
        <v>11290698.960280297</v>
      </c>
      <c r="R12" s="23">
        <f t="shared" si="2"/>
        <v>9.5628695018879988</v>
      </c>
      <c r="S12" s="21">
        <f>IF(P12="","",P12*Inputs!$B$14*1000000)</f>
        <v>4002508814722764.5</v>
      </c>
      <c r="T12" s="21">
        <f>IF(Q12="","",Q12*Inputs!$B$14*1000000)</f>
        <v>3.8275469475350208E+16</v>
      </c>
      <c r="V12" s="20">
        <v>7</v>
      </c>
      <c r="W12" s="21">
        <f>IF(W11="","",W11+Inputs!$B$5/Inputs!$B$15*(Inputs!$C$15*(Inputs!$C$28-W11)+Inputs!$D$15*(Reservoir!$H$11-W11)+Inputs!$E$15*(Inputs!$D$28-W11)))</f>
        <v>918543.59062928567</v>
      </c>
      <c r="X12" s="21">
        <f>IF(X11="","",X11+Inputs!$B$5/Inputs!$B$15*(Inputs!$C$15*(Inputs!$C$29-X11)+Inputs!$D$15*(Reservoir!$I$11-X11)+Inputs!$E$15*(Inputs!$D$29-X11)))</f>
        <v>8038285.7485785484</v>
      </c>
      <c r="Y12" s="23">
        <f t="shared" si="3"/>
        <v>8.751120611566833</v>
      </c>
      <c r="Z12" s="21">
        <f>IF(W12="","",W12*Inputs!$B$15*1000000)</f>
        <v>3214902567202500</v>
      </c>
      <c r="AA12" s="21">
        <f>IF(X12="","",X12*Inputs!$B$15*1000000)</f>
        <v>2.8134000120024916E+16</v>
      </c>
      <c r="AC12" s="20">
        <v>7</v>
      </c>
      <c r="AD12" s="21">
        <f>IF(AD11="","",AD11+Inputs!$B$5/Inputs!$B$16*(Inputs!$C$16*(Inputs!$C$28-AD11)+Inputs!$D$16*(Reservoir!$H$11-AD11)+Inputs!$E$16*(Inputs!$D$28-AD11)))</f>
        <v>1282788.5853950658</v>
      </c>
      <c r="AE12" s="21">
        <f>IF(AE11="","",AE11+Inputs!$B$5/Inputs!$B$16*(Inputs!$C$16*(Inputs!$C$29-AE11)+Inputs!$D$16*(Reservoir!$I$11-AE11)+Inputs!$E$16*(Inputs!$D$29-AE11)))</f>
        <v>7515077.7978605684</v>
      </c>
      <c r="AF12" s="23">
        <f t="shared" si="4"/>
        <v>5.8583915412266609</v>
      </c>
      <c r="AG12" s="21">
        <f>IF(AD12="","",AD12*Inputs!$B$16*1000000)</f>
        <v>4489760048882730.5</v>
      </c>
      <c r="AH12" s="21">
        <f>IF(AE12="","",AE12*Inputs!$B$16*1000000)</f>
        <v>2.6302772292511988E+16</v>
      </c>
    </row>
    <row r="13" spans="1:34" ht="18" customHeight="1" x14ac:dyDescent="0.25">
      <c r="A13" s="20">
        <v>8</v>
      </c>
      <c r="B13" s="21">
        <f>IF(B12="","",B12+Inputs!$B$5/Inputs!$B$12*(Inputs!$C$12*(Inputs!$C$28-B12)+Inputs!$D$12*(Reservoir!$H$12-B12)+Inputs!$E$12*(Inputs!$D$28-B12)))</f>
        <v>860902.92235272215</v>
      </c>
      <c r="C13" s="21">
        <f>IF(C12="","",C12+Inputs!$B$5/Inputs!$B$12*(Inputs!$C$12*(Inputs!$C$29-C12)+Inputs!$D$12*(Reservoir!$I$12-C12)+Inputs!$E$12*(Inputs!$D$29-C12)))</f>
        <v>14014650.68584129</v>
      </c>
      <c r="D13" s="23">
        <f t="shared" si="0"/>
        <v>16.279013953793179</v>
      </c>
      <c r="E13" s="21">
        <f>IF(B13="","",B13*Inputs!$B$12*1000000)</f>
        <v>3013160228234527.5</v>
      </c>
      <c r="F13" s="21">
        <f>IF(C13="","",C13*Inputs!$B$12*1000000)</f>
        <v>4.905127740044452E+16</v>
      </c>
      <c r="H13" s="20">
        <v>8</v>
      </c>
      <c r="I13" s="21">
        <f>IF(I12="","",I12+Inputs!$B$5/Inputs!$B$13*(Inputs!$C$13*(Inputs!$C$28-I12)+Inputs!$D$13*(Reservoir!$H$12-I12)+Inputs!$E$13*(Inputs!$D$28-I12)))</f>
        <v>1503235.030236349</v>
      </c>
      <c r="J13" s="21">
        <f>IF(J12="","",J12+Inputs!$B$5/Inputs!$B$13*(Inputs!$C$13*(Inputs!$C$29-J12)+Inputs!$D$13*(Reservoir!$I$12-J12)+Inputs!$E$13*(Inputs!$D$29-J12)))</f>
        <v>13048365.826149907</v>
      </c>
      <c r="K13" s="23">
        <f t="shared" si="1"/>
        <v>8.6801900991479375</v>
      </c>
      <c r="L13" s="21">
        <f>IF(I13="","",I13*Inputs!$B$13*1000000)</f>
        <v>5261322605827222</v>
      </c>
      <c r="M13" s="21">
        <f>IF(J13="","",J13*Inputs!$B$13*1000000)</f>
        <v>4.5669280391524672E+16</v>
      </c>
      <c r="O13" s="20">
        <v>8</v>
      </c>
      <c r="P13" s="21">
        <f>IF(P12="","",P12+Inputs!$B$5/Inputs!$B$14*(Inputs!$C$14*(Inputs!$C$28-P12)+Inputs!$D$14*(Reservoir!$H$12-P12)+Inputs!$E$14*(Inputs!$D$28-P12)))</f>
        <v>1152138.5482237204</v>
      </c>
      <c r="Q13" s="21">
        <f>IF(Q12="","",Q12+Inputs!$B$5/Inputs!$B$14*(Inputs!$C$14*(Inputs!$C$29-Q12)+Inputs!$D$14*(Reservoir!$I$12-Q12)+Inputs!$E$14*(Inputs!$D$29-Q12)))</f>
        <v>11065222.954247085</v>
      </c>
      <c r="R13" s="23">
        <f t="shared" si="2"/>
        <v>9.6040732004901717</v>
      </c>
      <c r="S13" s="21">
        <f>IF(P13="","",P13*Inputs!$B$14*1000000)</f>
        <v>3905749678478412</v>
      </c>
      <c r="T13" s="21">
        <f>IF(Q13="","",Q13*Inputs!$B$14*1000000)</f>
        <v>3.7511105814897624E+16</v>
      </c>
      <c r="V13" s="20">
        <v>8</v>
      </c>
      <c r="W13" s="21">
        <f>IF(W12="","",W12+Inputs!$B$5/Inputs!$B$15*(Inputs!$C$15*(Inputs!$C$28-W12)+Inputs!$D$15*(Reservoir!$H$12-W12)+Inputs!$E$15*(Inputs!$D$28-W12)))</f>
        <v>910113.60976990568</v>
      </c>
      <c r="X13" s="21">
        <f>IF(X12="","",X12+Inputs!$B$5/Inputs!$B$15*(Inputs!$C$15*(Inputs!$C$29-X12)+Inputs!$D$15*(Reservoir!$I$12-X12)+Inputs!$E$15*(Inputs!$D$29-X12)))</f>
        <v>8053522.3877874967</v>
      </c>
      <c r="Y13" s="23">
        <f t="shared" si="3"/>
        <v>8.8489198505927007</v>
      </c>
      <c r="Z13" s="21">
        <f>IF(W13="","",W13*Inputs!$B$15*1000000)</f>
        <v>3185397634194669.5</v>
      </c>
      <c r="AA13" s="21">
        <f>IF(X13="","",X13*Inputs!$B$15*1000000)</f>
        <v>2.8187328357256236E+16</v>
      </c>
      <c r="AC13" s="20">
        <v>8</v>
      </c>
      <c r="AD13" s="21">
        <f>IF(AD12="","",AD12+Inputs!$B$5/Inputs!$B$16*(Inputs!$C$16*(Inputs!$C$28-AD12)+Inputs!$D$16*(Reservoir!$H$12-AD12)+Inputs!$E$16*(Inputs!$D$28-AD12)))</f>
        <v>1258748.1047600096</v>
      </c>
      <c r="AE13" s="21">
        <f>IF(AE12="","",AE12+Inputs!$B$5/Inputs!$B$16*(Inputs!$C$16*(Inputs!$C$29-AE12)+Inputs!$D$16*(Reservoir!$I$12-AE12)+Inputs!$E$16*(Inputs!$D$29-AE12)))</f>
        <v>7552737.63495743</v>
      </c>
      <c r="AF13" s="23">
        <f t="shared" si="4"/>
        <v>6.0001978206731206</v>
      </c>
      <c r="AG13" s="21">
        <f>IF(AD13="","",AD13*Inputs!$B$16*1000000)</f>
        <v>4405618366660033</v>
      </c>
      <c r="AH13" s="21">
        <f>IF(AE13="","",AE13*Inputs!$B$16*1000000)</f>
        <v>2.6434581722351004E+16</v>
      </c>
    </row>
    <row r="14" spans="1:34" ht="18" customHeight="1" x14ac:dyDescent="0.25">
      <c r="A14" s="20">
        <v>9</v>
      </c>
      <c r="B14" s="21">
        <f>IF(B13="","",B13+Inputs!$B$5/Inputs!$B$12*(Inputs!$C$12*(Inputs!$C$28-B13)+Inputs!$D$12*(Reservoir!$H$13-B13)+Inputs!$E$12*(Inputs!$D$28-B13)))</f>
        <v>846921.75336720177</v>
      </c>
      <c r="C14" s="21">
        <f>IF(C13="","",C13+Inputs!$B$5/Inputs!$B$12*(Inputs!$C$12*(Inputs!$C$29-C13)+Inputs!$D$12*(Reservoir!$I$13-C13)+Inputs!$E$12*(Inputs!$D$29-C13)))</f>
        <v>13649099.73019053</v>
      </c>
      <c r="D14" s="23">
        <f t="shared" si="0"/>
        <v>16.11612840964856</v>
      </c>
      <c r="E14" s="21">
        <f>IF(B14="","",B14*Inputs!$B$12*1000000)</f>
        <v>2964226136785206.5</v>
      </c>
      <c r="F14" s="21">
        <f>IF(C14="","",C14*Inputs!$B$12*1000000)</f>
        <v>4.7771849055666856E+16</v>
      </c>
      <c r="H14" s="20">
        <v>9</v>
      </c>
      <c r="I14" s="21">
        <f>IF(I13="","",I13+Inputs!$B$5/Inputs!$B$13*(Inputs!$C$13*(Inputs!$C$28-I13)+Inputs!$D$13*(Reservoir!$H$13-I13)+Inputs!$E$13*(Inputs!$D$28-I13)))</f>
        <v>1456219.6385596707</v>
      </c>
      <c r="J14" s="21">
        <f>IF(J13="","",J13+Inputs!$B$5/Inputs!$B$13*(Inputs!$C$13*(Inputs!$C$29-J13)+Inputs!$D$13*(Reservoir!$I$13-J13)+Inputs!$E$13*(Inputs!$D$29-J13)))</f>
        <v>12732509.520426132</v>
      </c>
      <c r="K14" s="23">
        <f t="shared" si="1"/>
        <v>8.7435364716133783</v>
      </c>
      <c r="L14" s="21">
        <f>IF(I14="","",I14*Inputs!$B$13*1000000)</f>
        <v>5096768734958847</v>
      </c>
      <c r="M14" s="21">
        <f>IF(J14="","",J14*Inputs!$B$13*1000000)</f>
        <v>4.4563783321491464E+16</v>
      </c>
      <c r="O14" s="20">
        <v>9</v>
      </c>
      <c r="P14" s="21">
        <f>IF(P13="","",P13+Inputs!$B$5/Inputs!$B$14*(Inputs!$C$14*(Inputs!$C$28-P13)+Inputs!$D$14*(Reservoir!$H$13-P13)+Inputs!$E$14*(Inputs!$D$28-P13)))</f>
        <v>1124364.5015856728</v>
      </c>
      <c r="Q14" s="21">
        <f>IF(Q13="","",Q13+Inputs!$B$5/Inputs!$B$14*(Inputs!$C$14*(Inputs!$C$29-Q13)+Inputs!$D$14*(Reservoir!$I$13-Q13)+Inputs!$E$14*(Inputs!$D$29-Q13)))</f>
        <v>10846220.727184683</v>
      </c>
      <c r="R14" s="23">
        <f t="shared" si="2"/>
        <v>9.6465342972749806</v>
      </c>
      <c r="S14" s="21">
        <f>IF(P14="","",P14*Inputs!$B$14*1000000)</f>
        <v>3811595660375431</v>
      </c>
      <c r="T14" s="21">
        <f>IF(Q14="","",Q14*Inputs!$B$14*1000000)</f>
        <v>3.6768688265156072E+16</v>
      </c>
      <c r="V14" s="20">
        <v>9</v>
      </c>
      <c r="W14" s="21">
        <f>IF(W13="","",W13+Inputs!$B$5/Inputs!$B$15*(Inputs!$C$15*(Inputs!$C$28-W13)+Inputs!$D$15*(Reservoir!$H$13-W13)+Inputs!$E$15*(Inputs!$D$28-W13)))</f>
        <v>901402.57922952936</v>
      </c>
      <c r="X14" s="21">
        <f>IF(X13="","",X13+Inputs!$B$5/Inputs!$B$15*(Inputs!$C$15*(Inputs!$C$29-X13)+Inputs!$D$15*(Reservoir!$I$13-X13)+Inputs!$E$15*(Inputs!$D$29-X13)))</f>
        <v>8063573.9365033964</v>
      </c>
      <c r="Y14" s="23">
        <f t="shared" si="3"/>
        <v>8.9455856043763564</v>
      </c>
      <c r="Z14" s="21">
        <f>IF(W14="","",W14*Inputs!$B$15*1000000)</f>
        <v>3154909027303353</v>
      </c>
      <c r="AA14" s="21">
        <f>IF(X14="","",X14*Inputs!$B$15*1000000)</f>
        <v>2.8222508777761888E+16</v>
      </c>
      <c r="AC14" s="20">
        <v>9</v>
      </c>
      <c r="AD14" s="21">
        <f>IF(AD13="","",AD13+Inputs!$B$5/Inputs!$B$16*(Inputs!$C$16*(Inputs!$C$28-AD13)+Inputs!$D$16*(Reservoir!$H$13-AD13)+Inputs!$E$16*(Inputs!$D$28-AD13)))</f>
        <v>1235095.5958629146</v>
      </c>
      <c r="AE14" s="21">
        <f>IF(AE13="","",AE13+Inputs!$B$5/Inputs!$B$16*(Inputs!$C$16*(Inputs!$C$29-AE13)+Inputs!$D$16*(Reservoir!$I$13-AE13)+Inputs!$E$16*(Inputs!$D$29-AE13)))</f>
        <v>7584251.3873660462</v>
      </c>
      <c r="AF14" s="23">
        <f t="shared" si="4"/>
        <v>6.1406189227540855</v>
      </c>
      <c r="AG14" s="21">
        <f>IF(AD14="","",AD14*Inputs!$B$16*1000000)</f>
        <v>4322834585520200.5</v>
      </c>
      <c r="AH14" s="21">
        <f>IF(AE14="","",AE14*Inputs!$B$16*1000000)</f>
        <v>2.6544879855781164E+16</v>
      </c>
    </row>
    <row r="15" spans="1:34" ht="18" customHeight="1" x14ac:dyDescent="0.25">
      <c r="A15" s="20">
        <v>10</v>
      </c>
      <c r="B15" s="21">
        <f>IF(B14="","",B14+Inputs!$B$5/Inputs!$B$12*(Inputs!$C$12*(Inputs!$C$28-B14)+Inputs!$D$12*(Reservoir!$H$14-B14)+Inputs!$E$12*(Inputs!$D$28-B14)))</f>
        <v>833031.75403477065</v>
      </c>
      <c r="C15" s="21">
        <f>IF(C14="","",C14+Inputs!$B$5/Inputs!$B$12*(Inputs!$C$12*(Inputs!$C$29-C14)+Inputs!$D$12*(Reservoir!$I$14-C14)+Inputs!$E$12*(Inputs!$D$29-C14)))</f>
        <v>13297931.201003334</v>
      </c>
      <c r="D15" s="23">
        <f t="shared" si="0"/>
        <v>15.963294480186502</v>
      </c>
      <c r="E15" s="21">
        <f>IF(B15="","",B15*Inputs!$B$12*1000000)</f>
        <v>2915611139121697.5</v>
      </c>
      <c r="F15" s="21">
        <f>IF(C15="","",C15*Inputs!$B$12*1000000)</f>
        <v>4.6542759203511664E+16</v>
      </c>
      <c r="H15" s="20">
        <v>10</v>
      </c>
      <c r="I15" s="21">
        <f>IF(I14="","",I14+Inputs!$B$5/Inputs!$B$13*(Inputs!$C$13*(Inputs!$C$28-I14)+Inputs!$D$13*(Reservoir!$H$14-I14)+Inputs!$E$13*(Inputs!$D$28-I14)))</f>
        <v>1410994.3194173411</v>
      </c>
      <c r="J15" s="21">
        <f>IF(J14="","",J14+Inputs!$B$5/Inputs!$B$13*(Inputs!$C$13*(Inputs!$C$29-J14)+Inputs!$D$13*(Reservoir!$I$14-J14)+Inputs!$E$13*(Inputs!$D$29-J14)))</f>
        <v>12428479.916312532</v>
      </c>
      <c r="K15" s="23">
        <f t="shared" si="1"/>
        <v>8.8083132194641109</v>
      </c>
      <c r="L15" s="21">
        <f>IF(I15="","",I15*Inputs!$B$13*1000000)</f>
        <v>4938480117960694</v>
      </c>
      <c r="M15" s="21">
        <f>IF(J15="","",J15*Inputs!$B$13*1000000)</f>
        <v>4.3499679707093864E+16</v>
      </c>
      <c r="O15" s="20">
        <v>10</v>
      </c>
      <c r="P15" s="21">
        <f>IF(P14="","",P14+Inputs!$B$5/Inputs!$B$14*(Inputs!$C$14*(Inputs!$C$28-P14)+Inputs!$D$14*(Reservoir!$H$14-P14)+Inputs!$E$14*(Inputs!$D$28-P14)))</f>
        <v>1097336.1383093328</v>
      </c>
      <c r="Q15" s="21">
        <f>IF(Q14="","",Q14+Inputs!$B$5/Inputs!$B$14*(Inputs!$C$14*(Inputs!$C$29-Q14)+Inputs!$D$14*(Reservoir!$I$14-Q14)+Inputs!$E$14*(Inputs!$D$29-Q14)))</f>
        <v>10633494.978310363</v>
      </c>
      <c r="R15" s="23">
        <f t="shared" si="2"/>
        <v>9.6902804957224902</v>
      </c>
      <c r="S15" s="21">
        <f>IF(P15="","",P15*Inputs!$B$14*1000000)</f>
        <v>3719969508868638</v>
      </c>
      <c r="T15" s="21">
        <f>IF(Q15="","",Q15*Inputs!$B$14*1000000)</f>
        <v>3.6047547976472128E+16</v>
      </c>
      <c r="V15" s="20">
        <v>10</v>
      </c>
      <c r="W15" s="21">
        <f>IF(W14="","",W14+Inputs!$B$5/Inputs!$B$15*(Inputs!$C$15*(Inputs!$C$28-W14)+Inputs!$D$15*(Reservoir!$H$14-W14)+Inputs!$E$15*(Inputs!$D$28-W14)))</f>
        <v>892437.01667471742</v>
      </c>
      <c r="X15" s="21">
        <f>IF(X14="","",X14+Inputs!$B$5/Inputs!$B$15*(Inputs!$C$15*(Inputs!$C$29-X14)+Inputs!$D$15*(Reservoir!$I$14-X14)+Inputs!$E$15*(Inputs!$D$29-X14)))</f>
        <v>8068777.3675901387</v>
      </c>
      <c r="Y15" s="23">
        <f t="shared" si="3"/>
        <v>9.041284949894802</v>
      </c>
      <c r="Z15" s="21">
        <f>IF(W15="","",W15*Inputs!$B$15*1000000)</f>
        <v>3123529558361511</v>
      </c>
      <c r="AA15" s="21">
        <f>IF(X15="","",X15*Inputs!$B$15*1000000)</f>
        <v>2.8240720786565488E+16</v>
      </c>
      <c r="AC15" s="20">
        <v>10</v>
      </c>
      <c r="AD15" s="21">
        <f>IF(AD14="","",AD14+Inputs!$B$5/Inputs!$B$16*(Inputs!$C$16*(Inputs!$C$28-AD14)+Inputs!$D$16*(Reservoir!$H$14-AD14)+Inputs!$E$16*(Inputs!$D$28-AD14)))</f>
        <v>1211828.9040238147</v>
      </c>
      <c r="AE15" s="21">
        <f>IF(AE14="","",AE14+Inputs!$B$5/Inputs!$B$16*(Inputs!$C$16*(Inputs!$C$29-AE14)+Inputs!$D$16*(Reservoir!$I$14-AE14)+Inputs!$E$16*(Inputs!$D$29-AE14)))</f>
        <v>7609997.2134158183</v>
      </c>
      <c r="AF15" s="23">
        <f t="shared" si="4"/>
        <v>6.2797620919481449</v>
      </c>
      <c r="AG15" s="21">
        <f>IF(AD15="","",AD15*Inputs!$B$16*1000000)</f>
        <v>4241401164083351.5</v>
      </c>
      <c r="AH15" s="21">
        <f>IF(AE15="","",AE15*Inputs!$B$16*1000000)</f>
        <v>2.6634990246955364E+16</v>
      </c>
    </row>
    <row r="16" spans="1:34" ht="18" customHeight="1" x14ac:dyDescent="0.25">
      <c r="A16" s="20">
        <v>11</v>
      </c>
      <c r="B16" s="21">
        <f>IF(B15="","",B15+Inputs!$B$5/Inputs!$B$12*(Inputs!$C$12*(Inputs!$C$28-B15)+Inputs!$D$12*(Reservoir!$H$15-B15)+Inputs!$E$12*(Inputs!$D$28-B15)))</f>
        <v>819242.35645198415</v>
      </c>
      <c r="C16" s="21">
        <f>IF(C15="","",C15+Inputs!$B$5/Inputs!$B$12*(Inputs!$C$12*(Inputs!$C$29-C15)+Inputs!$D$12*(Reservoir!$I$15-C15)+Inputs!$E$12*(Inputs!$D$29-C15)))</f>
        <v>12960516.829052107</v>
      </c>
      <c r="D16" s="23">
        <f t="shared" si="0"/>
        <v>15.820125420738941</v>
      </c>
      <c r="E16" s="21">
        <f>IF(B16="","",B16*Inputs!$B$12*1000000)</f>
        <v>2867348247581944.5</v>
      </c>
      <c r="F16" s="21">
        <f>IF(C16="","",C16*Inputs!$B$12*1000000)</f>
        <v>4.5361808901682376E+16</v>
      </c>
      <c r="H16" s="20">
        <v>11</v>
      </c>
      <c r="I16" s="21">
        <f>IF(I15="","",I15+Inputs!$B$5/Inputs!$B$13*(Inputs!$C$13*(Inputs!$C$28-I15)+Inputs!$D$13*(Reservoir!$H$15-I15)+Inputs!$E$13*(Inputs!$D$28-I15)))</f>
        <v>1367481.1327577368</v>
      </c>
      <c r="J16" s="21">
        <f>IF(J15="","",J15+Inputs!$B$5/Inputs!$B$13*(Inputs!$C$13*(Inputs!$C$29-J15)+Inputs!$D$13*(Reservoir!$I$15-J15)+Inputs!$E$13*(Inputs!$D$29-J15)))</f>
        <v>12135780.181859691</v>
      </c>
      <c r="K16" s="23">
        <f t="shared" si="1"/>
        <v>8.8745503620850812</v>
      </c>
      <c r="L16" s="21">
        <f>IF(I16="","",I16*Inputs!$B$13*1000000)</f>
        <v>4786183964652079</v>
      </c>
      <c r="M16" s="21">
        <f>IF(J16="","",J16*Inputs!$B$13*1000000)</f>
        <v>4.247523063650892E+16</v>
      </c>
      <c r="O16" s="20">
        <v>11</v>
      </c>
      <c r="P16" s="21">
        <f>IF(P15="","",P15+Inputs!$B$5/Inputs!$B$14*(Inputs!$C$14*(Inputs!$C$28-P15)+Inputs!$D$14*(Reservoir!$H$15-P15)+Inputs!$E$14*(Inputs!$D$28-P15)))</f>
        <v>1071031.4035674557</v>
      </c>
      <c r="Q16" s="21">
        <f>IF(Q15="","",Q15+Inputs!$B$5/Inputs!$B$14*(Inputs!$C$14*(Inputs!$C$29-Q15)+Inputs!$D$14*(Reservoir!$I$15-Q15)+Inputs!$E$14*(Inputs!$D$29-Q15)))</f>
        <v>10426854.524871072</v>
      </c>
      <c r="R16" s="23">
        <f t="shared" si="2"/>
        <v>9.7353396829828505</v>
      </c>
      <c r="S16" s="21">
        <f>IF(P16="","",P16*Inputs!$B$14*1000000)</f>
        <v>3630796458093674.5</v>
      </c>
      <c r="T16" s="21">
        <f>IF(Q16="","",Q16*Inputs!$B$14*1000000)</f>
        <v>3.5347036839312936E+16</v>
      </c>
      <c r="V16" s="20">
        <v>11</v>
      </c>
      <c r="W16" s="21">
        <f>IF(W15="","",W15+Inputs!$B$5/Inputs!$B$15*(Inputs!$C$15*(Inputs!$C$28-W15)+Inputs!$D$15*(Reservoir!$H$15-W15)+Inputs!$E$15*(Inputs!$D$28-W15)))</f>
        <v>883241.95144194551</v>
      </c>
      <c r="X16" s="21">
        <f>IF(X15="","",X15+Inputs!$B$5/Inputs!$B$15*(Inputs!$C$15*(Inputs!$C$29-X15)+Inputs!$D$15*(Reservoir!$I$15-X15)+Inputs!$E$15*(Inputs!$D$29-X15)))</f>
        <v>8069451.8559366493</v>
      </c>
      <c r="Y16" s="23">
        <f t="shared" si="3"/>
        <v>9.136173664263552</v>
      </c>
      <c r="Z16" s="21">
        <f>IF(W16="","",W16*Inputs!$B$15*1000000)</f>
        <v>3091346830046809</v>
      </c>
      <c r="AA16" s="21">
        <f>IF(X16="","",X16*Inputs!$B$15*1000000)</f>
        <v>2.8243081495778272E+16</v>
      </c>
      <c r="AC16" s="20">
        <v>11</v>
      </c>
      <c r="AD16" s="21">
        <f>IF(AD15="","",AD15+Inputs!$B$5/Inputs!$B$16*(Inputs!$C$16*(Inputs!$C$28-AD15)+Inputs!$D$16*(Reservoir!$H$15-AD15)+Inputs!$E$16*(Inputs!$D$28-AD15)))</f>
        <v>1188945.61504751</v>
      </c>
      <c r="AE16" s="21">
        <f>IF(AE15="","",AE15+Inputs!$B$5/Inputs!$B$16*(Inputs!$C$16*(Inputs!$C$29-AE15)+Inputs!$D$16*(Reservoir!$I$15-AE15)+Inputs!$E$16*(Inputs!$D$29-AE15)))</f>
        <v>7630333.7083697999</v>
      </c>
      <c r="AF16" s="23">
        <f t="shared" si="4"/>
        <v>6.4177314856112178</v>
      </c>
      <c r="AG16" s="21">
        <f>IF(AD16="","",AD16*Inputs!$B$16*1000000)</f>
        <v>4161309652666285</v>
      </c>
      <c r="AH16" s="21">
        <f>IF(AE16="","",AE16*Inputs!$B$16*1000000)</f>
        <v>2.67061679792943E+16</v>
      </c>
    </row>
    <row r="17" spans="1:34" ht="18" customHeight="1" x14ac:dyDescent="0.25">
      <c r="A17" s="20">
        <v>12</v>
      </c>
      <c r="B17" s="21">
        <f>IF(B16="","",B16+Inputs!$B$5/Inputs!$B$12*(Inputs!$C$12*(Inputs!$C$28-B16)+Inputs!$D$12*(Reservoir!$H$16-B16)+Inputs!$E$12*(Inputs!$D$28-B16)))</f>
        <v>805562.16548458312</v>
      </c>
      <c r="C17" s="21">
        <f>IF(C16="","",C16+Inputs!$B$5/Inputs!$B$12*(Inputs!$C$12*(Inputs!$C$29-C16)+Inputs!$D$12*(Reservoir!$I$16-C16)+Inputs!$E$12*(Inputs!$D$29-C16)))</f>
        <v>12636257.415949594</v>
      </c>
      <c r="D17" s="23">
        <f t="shared" si="0"/>
        <v>15.686259803857965</v>
      </c>
      <c r="E17" s="21">
        <f>IF(B17="","",B17*Inputs!$B$12*1000000)</f>
        <v>2819467579196041</v>
      </c>
      <c r="F17" s="21">
        <f>IF(C17="","",C17*Inputs!$B$12*1000000)</f>
        <v>4.4226900955823576E+16</v>
      </c>
      <c r="H17" s="20">
        <v>12</v>
      </c>
      <c r="I17" s="21">
        <f>IF(I16="","",I16+Inputs!$B$5/Inputs!$B$13*(Inputs!$C$13*(Inputs!$C$28-I16)+Inputs!$D$13*(Reservoir!$H$16-I16)+Inputs!$E$13*(Inputs!$D$28-I16)))</f>
        <v>1325605.8047231827</v>
      </c>
      <c r="J17" s="21">
        <f>IF(J16="","",J16+Inputs!$B$5/Inputs!$B$13*(Inputs!$C$13*(Inputs!$C$29-J16)+Inputs!$D$13*(Reservoir!$I$16-J16)+Inputs!$E$13*(Inputs!$D$29-J16)))</f>
        <v>11853935.796327073</v>
      </c>
      <c r="K17" s="23">
        <f t="shared" si="1"/>
        <v>8.9422781298113367</v>
      </c>
      <c r="L17" s="21">
        <f>IF(I17="","",I17*Inputs!$B$13*1000000)</f>
        <v>4639620316531139</v>
      </c>
      <c r="M17" s="21">
        <f>IF(J17="","",J17*Inputs!$B$13*1000000)</f>
        <v>4.1488775287144752E+16</v>
      </c>
      <c r="O17" s="20">
        <v>12</v>
      </c>
      <c r="P17" s="21">
        <f>IF(P16="","",P16+Inputs!$B$5/Inputs!$B$14*(Inputs!$C$14*(Inputs!$C$28-P16)+Inputs!$D$14*(Reservoir!$H$16-P16)+Inputs!$E$14*(Inputs!$D$28-P16)))</f>
        <v>1045428.9509784428</v>
      </c>
      <c r="Q17" s="21">
        <f>IF(Q16="","",Q16+Inputs!$B$5/Inputs!$B$14*(Inputs!$C$14*(Inputs!$C$29-Q16)+Inputs!$D$14*(Reservoir!$I$16-Q16)+Inputs!$E$14*(Inputs!$D$29-Q16)))</f>
        <v>10226114.121398237</v>
      </c>
      <c r="R17" s="23">
        <f t="shared" si="2"/>
        <v>9.781739937302639</v>
      </c>
      <c r="S17" s="21">
        <f>IF(P17="","",P17*Inputs!$B$14*1000000)</f>
        <v>3544004143816921</v>
      </c>
      <c r="T17" s="21">
        <f>IF(Q17="","",Q17*Inputs!$B$14*1000000)</f>
        <v>3.4666526871540024E+16</v>
      </c>
      <c r="V17" s="20">
        <v>12</v>
      </c>
      <c r="W17" s="21">
        <f>IF(W16="","",W16+Inputs!$B$5/Inputs!$B$15*(Inputs!$C$15*(Inputs!$C$28-W16)+Inputs!$D$15*(Reservoir!$H$16-W16)+Inputs!$E$15*(Inputs!$D$28-W16)))</f>
        <v>873840.99803027743</v>
      </c>
      <c r="X17" s="21">
        <f>IF(X16="","",X16+Inputs!$B$5/Inputs!$B$15*(Inputs!$C$15*(Inputs!$C$29-X16)+Inputs!$D$15*(Reservoir!$I$16-X16)+Inputs!$E$15*(Inputs!$D$29-X16)))</f>
        <v>8065899.6573595311</v>
      </c>
      <c r="Y17" s="23">
        <f t="shared" si="3"/>
        <v>9.2303973784027686</v>
      </c>
      <c r="Z17" s="21">
        <f>IF(W17="","",W17*Inputs!$B$15*1000000)</f>
        <v>3058443493105971</v>
      </c>
      <c r="AA17" s="21">
        <f>IF(X17="","",X17*Inputs!$B$15*1000000)</f>
        <v>2.823064880075836E+16</v>
      </c>
      <c r="AC17" s="20">
        <v>12</v>
      </c>
      <c r="AD17" s="21">
        <f>IF(AD16="","",AD16+Inputs!$B$5/Inputs!$B$16*(Inputs!$C$16*(Inputs!$C$28-AD16)+Inputs!$D$16*(Reservoir!$H$16-AD16)+Inputs!$E$16*(Inputs!$D$28-AD16)))</f>
        <v>1166443.0760527463</v>
      </c>
      <c r="AE17" s="21">
        <f>IF(AE16="","",AE16+Inputs!$B$5/Inputs!$B$16*(Inputs!$C$16*(Inputs!$C$29-AE16)+Inputs!$D$16*(Reservoir!$I$16-AE16)+Inputs!$E$16*(Inputs!$D$29-AE16)))</f>
        <v>7645600.8589741187</v>
      </c>
      <c r="AF17" s="23">
        <f t="shared" si="4"/>
        <v>6.5546283534443015</v>
      </c>
      <c r="AG17" s="21">
        <f>IF(AD17="","",AD17*Inputs!$B$16*1000000)</f>
        <v>4082550766184612</v>
      </c>
      <c r="AH17" s="21">
        <f>IF(AE17="","",AE17*Inputs!$B$16*1000000)</f>
        <v>2.6759603006409416E+16</v>
      </c>
    </row>
    <row r="18" spans="1:34" ht="18" customHeight="1" x14ac:dyDescent="0.25">
      <c r="A18" s="20">
        <v>13</v>
      </c>
      <c r="B18" s="21">
        <f>IF(B17="","",B17+Inputs!$B$5/Inputs!$B$12*(Inputs!$C$12*(Inputs!$C$28-B17)+Inputs!$D$12*(Reservoir!$H$17-B17)+Inputs!$E$12*(Inputs!$D$28-B17)))</f>
        <v>791999.01070226461</v>
      </c>
      <c r="C18" s="21">
        <f>IF(C17="","",C17+Inputs!$B$5/Inputs!$B$12*(Inputs!$C$12*(Inputs!$C$29-C17)+Inputs!$D$12*(Reservoir!$I$17-C17)+Inputs!$E$12*(Inputs!$D$29-C17)))</f>
        <v>12324581.450570114</v>
      </c>
      <c r="D18" s="23">
        <f t="shared" si="0"/>
        <v>15.561359653267649</v>
      </c>
      <c r="E18" s="21">
        <f>IF(B18="","",B18*Inputs!$B$12*1000000)</f>
        <v>2771996537457926.5</v>
      </c>
      <c r="F18" s="21">
        <f>IF(C18="","",C18*Inputs!$B$12*1000000)</f>
        <v>4.31360350769954E+16</v>
      </c>
      <c r="H18" s="20">
        <v>13</v>
      </c>
      <c r="I18" s="21">
        <f>IF(I17="","",I17+Inputs!$B$5/Inputs!$B$13*(Inputs!$C$13*(Inputs!$C$28-I17)+Inputs!$D$13*(Reservoir!$H$17-I17)+Inputs!$E$13*(Inputs!$D$28-I17)))</f>
        <v>1285297.5484943076</v>
      </c>
      <c r="J18" s="21">
        <f>IF(J17="","",J17+Inputs!$B$5/Inputs!$B$13*(Inputs!$C$13*(Inputs!$C$29-J17)+Inputs!$D$13*(Reservoir!$I$17-J17)+Inputs!$E$13*(Inputs!$D$29-J17)))</f>
        <v>11582493.514242465</v>
      </c>
      <c r="K18" s="23">
        <f t="shared" si="1"/>
        <v>9.0115269633954043</v>
      </c>
      <c r="L18" s="21">
        <f>IF(I18="","",I18*Inputs!$B$13*1000000)</f>
        <v>4498541419730077</v>
      </c>
      <c r="M18" s="21">
        <f>IF(J18="","",J18*Inputs!$B$13*1000000)</f>
        <v>4.0538727299848624E+16</v>
      </c>
      <c r="O18" s="20">
        <v>13</v>
      </c>
      <c r="P18" s="21">
        <f>IF(P17="","",P17+Inputs!$B$5/Inputs!$B$14*(Inputs!$C$14*(Inputs!$C$28-P17)+Inputs!$D$14*(Reservoir!$H$17-P17)+Inputs!$E$14*(Inputs!$D$28-P17)))</f>
        <v>1020508.1186605403</v>
      </c>
      <c r="Q18" s="21">
        <f>IF(Q17="","",Q17+Inputs!$B$5/Inputs!$B$14*(Inputs!$C$14*(Inputs!$C$29-Q17)+Inputs!$D$14*(Reservoir!$I$17-Q17)+Inputs!$E$14*(Inputs!$D$29-Q17)))</f>
        <v>10031094.283403823</v>
      </c>
      <c r="R18" s="23">
        <f t="shared" si="2"/>
        <v>9.8295095354753812</v>
      </c>
      <c r="S18" s="21">
        <f>IF(P18="","",P18*Inputs!$B$14*1000000)</f>
        <v>3459522522259231.5</v>
      </c>
      <c r="T18" s="21">
        <f>IF(Q18="","",Q18*Inputs!$B$14*1000000)</f>
        <v>3.400540962073896E+16</v>
      </c>
      <c r="V18" s="20">
        <v>13</v>
      </c>
      <c r="W18" s="21">
        <f>IF(W17="","",W17+Inputs!$B$5/Inputs!$B$15*(Inputs!$C$15*(Inputs!$C$28-W17)+Inputs!$D$15*(Reservoir!$H$17-W17)+Inputs!$E$15*(Inputs!$D$28-W17)))</f>
        <v>864256.42612872552</v>
      </c>
      <c r="X18" s="21">
        <f>IF(X17="","",X17+Inputs!$B$5/Inputs!$B$15*(Inputs!$C$15*(Inputs!$C$29-X17)+Inputs!$D$15*(Reservoir!$I$17-X17)+Inputs!$E$15*(Inputs!$D$29-X17)))</f>
        <v>8058406.9451991925</v>
      </c>
      <c r="Y18" s="23">
        <f t="shared" si="3"/>
        <v>9.3240925974890505</v>
      </c>
      <c r="Z18" s="21">
        <f>IF(W18="","",W18*Inputs!$B$15*1000000)</f>
        <v>3024897491450539</v>
      </c>
      <c r="AA18" s="21">
        <f>IF(X18="","",X18*Inputs!$B$15*1000000)</f>
        <v>2.8204424308197176E+16</v>
      </c>
      <c r="AC18" s="20">
        <v>13</v>
      </c>
      <c r="AD18" s="21">
        <f>IF(AD17="","",AD17+Inputs!$B$5/Inputs!$B$16*(Inputs!$C$16*(Inputs!$C$28-AD17)+Inputs!$D$16*(Reservoir!$H$17-AD17)+Inputs!$E$16*(Inputs!$D$28-AD17)))</f>
        <v>1144318.4150930885</v>
      </c>
      <c r="AE18" s="21">
        <f>IF(AE17="","",AE17+Inputs!$B$5/Inputs!$B$16*(Inputs!$C$16*(Inputs!$C$29-AE17)+Inputs!$D$16*(Reservoir!$I$17-AE17)+Inputs!$E$16*(Inputs!$D$29-AE17)))</f>
        <v>7656120.9524588697</v>
      </c>
      <c r="AF18" s="23">
        <f t="shared" si="4"/>
        <v>6.6905512062707269</v>
      </c>
      <c r="AG18" s="21">
        <f>IF(AD18="","",AD18*Inputs!$B$16*1000000)</f>
        <v>4005114452825810</v>
      </c>
      <c r="AH18" s="21">
        <f>IF(AE18="","",AE18*Inputs!$B$16*1000000)</f>
        <v>2.6796423333606044E+16</v>
      </c>
    </row>
    <row r="19" spans="1:34" ht="18" customHeight="1" x14ac:dyDescent="0.25">
      <c r="A19" s="20">
        <v>14</v>
      </c>
      <c r="B19" s="21">
        <f>IF(B18="","",B18+Inputs!$B$5/Inputs!$B$12*(Inputs!$C$12*(Inputs!$C$28-B18)+Inputs!$D$12*(Reservoir!$H$18-B18)+Inputs!$E$12*(Inputs!$D$28-B18)))</f>
        <v>778559.99533890816</v>
      </c>
      <c r="C19" s="21">
        <f>IF(C18="","",C18+Inputs!$B$5/Inputs!$B$12*(Inputs!$C$12*(Inputs!$C$29-C18)+Inputs!$D$12*(Reservoir!$I$18-C18)+Inputs!$E$12*(Inputs!$D$29-C18)))</f>
        <v>12024943.792190509</v>
      </c>
      <c r="D19" s="23">
        <f t="shared" si="0"/>
        <v>15.445108744581765</v>
      </c>
      <c r="E19" s="21">
        <f>IF(B19="","",B19*Inputs!$B$12*1000000)</f>
        <v>2724959983686178.5</v>
      </c>
      <c r="F19" s="21">
        <f>IF(C19="","",C19*Inputs!$B$12*1000000)</f>
        <v>4.2087303272666776E+16</v>
      </c>
      <c r="H19" s="20">
        <v>14</v>
      </c>
      <c r="I19" s="21">
        <f>IF(I18="","",I18+Inputs!$B$5/Inputs!$B$13*(Inputs!$C$13*(Inputs!$C$28-I18)+Inputs!$D$13*(Reservoir!$H$18-I18)+Inputs!$E$13*(Inputs!$D$28-I18)))</f>
        <v>1246488.8940445033</v>
      </c>
      <c r="J19" s="21">
        <f>IF(J18="","",J18+Inputs!$B$5/Inputs!$B$13*(Inputs!$C$13*(Inputs!$C$29-J18)+Inputs!$D$13*(Reservoir!$I$18-J18)+Inputs!$E$13*(Inputs!$D$29-J18)))</f>
        <v>11321020.378302569</v>
      </c>
      <c r="K19" s="23">
        <f t="shared" si="1"/>
        <v>9.0823275140214559</v>
      </c>
      <c r="L19" s="21">
        <f>IF(I19="","",I19*Inputs!$B$13*1000000)</f>
        <v>4362711129155761.5</v>
      </c>
      <c r="M19" s="21">
        <f>IF(J19="","",J19*Inputs!$B$13*1000000)</f>
        <v>3.9623571324058992E+16</v>
      </c>
      <c r="O19" s="20">
        <v>14</v>
      </c>
      <c r="P19" s="21">
        <f>IF(P18="","",P18+Inputs!$B$5/Inputs!$B$14*(Inputs!$C$14*(Inputs!$C$28-P18)+Inputs!$D$14*(Reservoir!$H$18-P18)+Inputs!$E$14*(Inputs!$D$28-P18)))</f>
        <v>996248.90610569785</v>
      </c>
      <c r="Q19" s="21">
        <f>IF(Q18="","",Q18+Inputs!$B$5/Inputs!$B$14*(Inputs!$C$14*(Inputs!$C$29-Q18)+Inputs!$D$14*(Reservoir!$I$18-Q18)+Inputs!$E$14*(Inputs!$D$29-Q18)))</f>
        <v>9841621.1154750492</v>
      </c>
      <c r="R19" s="23">
        <f t="shared" si="2"/>
        <v>9.8786769603046309</v>
      </c>
      <c r="S19" s="21">
        <f>IF(P19="","",P19*Inputs!$B$14*1000000)</f>
        <v>3377283791698315.5</v>
      </c>
      <c r="T19" s="21">
        <f>IF(Q19="","",Q19*Inputs!$B$14*1000000)</f>
        <v>3.336309558146042E+16</v>
      </c>
      <c r="V19" s="20">
        <v>14</v>
      </c>
      <c r="W19" s="21">
        <f>IF(W18="","",W18+Inputs!$B$5/Inputs!$B$15*(Inputs!$C$15*(Inputs!$C$28-W18)+Inputs!$D$15*(Reservoir!$H$18-W18)+Inputs!$E$15*(Inputs!$D$28-W18)))</f>
        <v>854509.22733882593</v>
      </c>
      <c r="X19" s="21">
        <f>IF(X18="","",X18+Inputs!$B$5/Inputs!$B$15*(Inputs!$C$15*(Inputs!$C$29-X18)+Inputs!$D$15*(Reservoir!$I$18-X18)+Inputs!$E$15*(Inputs!$D$29-X18)))</f>
        <v>8047244.6066260859</v>
      </c>
      <c r="Y19" s="23">
        <f t="shared" si="3"/>
        <v>9.4173876058511308</v>
      </c>
      <c r="Z19" s="21">
        <f>IF(W19="","",W19*Inputs!$B$15*1000000)</f>
        <v>2990782295685890.5</v>
      </c>
      <c r="AA19" s="21">
        <f>IF(X19="","",X19*Inputs!$B$15*1000000)</f>
        <v>2.81653561231913E+16</v>
      </c>
      <c r="AC19" s="20">
        <v>14</v>
      </c>
      <c r="AD19" s="21">
        <f>IF(AD18="","",AD18+Inputs!$B$5/Inputs!$B$16*(Inputs!$C$16*(Inputs!$C$28-AD18)+Inputs!$D$16*(Reservoir!$H$18-AD18)+Inputs!$E$16*(Inputs!$D$28-AD18)))</f>
        <v>1122568.5596332876</v>
      </c>
      <c r="AE19" s="21">
        <f>IF(AE18="","",AE18+Inputs!$B$5/Inputs!$B$16*(Inputs!$C$16*(Inputs!$C$29-AE18)+Inputs!$D$16*(Reservoir!$I$18-AE18)+Inputs!$E$16*(Inputs!$D$29-AE18)))</f>
        <v>7662199.4421460629</v>
      </c>
      <c r="AF19" s="23">
        <f t="shared" si="4"/>
        <v>6.8255959748677562</v>
      </c>
      <c r="AG19" s="21">
        <f>IF(AD19="","",AD19*Inputs!$B$16*1000000)</f>
        <v>3928989958716506.5</v>
      </c>
      <c r="AH19" s="21">
        <f>IF(AE19="","",AE19*Inputs!$B$16*1000000)</f>
        <v>2.681769804751122E+16</v>
      </c>
    </row>
    <row r="20" spans="1:34" ht="18" customHeight="1" x14ac:dyDescent="0.25">
      <c r="A20" s="20">
        <v>15</v>
      </c>
      <c r="B20" s="21">
        <f>IF(B19="","",B19+Inputs!$B$5/Inputs!$B$12*(Inputs!$C$12*(Inputs!$C$28-B19)+Inputs!$D$12*(Reservoir!$H$19-B19)+Inputs!$E$12*(Inputs!$D$28-B19)))</f>
        <v>765251.54244273598</v>
      </c>
      <c r="C20" s="21">
        <f>IF(C19="","",C19+Inputs!$B$5/Inputs!$B$12*(Inputs!$C$12*(Inputs!$C$29-C19)+Inputs!$D$12*(Reservoir!$I$19-C19)+Inputs!$E$12*(Inputs!$D$29-C19)))</f>
        <v>11736824.417113611</v>
      </c>
      <c r="D20" s="23">
        <f t="shared" si="0"/>
        <v>15.337211055660017</v>
      </c>
      <c r="E20" s="21">
        <f>IF(B20="","",B20*Inputs!$B$12*1000000)</f>
        <v>2678380398549576</v>
      </c>
      <c r="F20" s="21">
        <f>IF(C20="","",C20*Inputs!$B$12*1000000)</f>
        <v>4.107888545989764E+16</v>
      </c>
      <c r="H20" s="20">
        <v>15</v>
      </c>
      <c r="I20" s="21">
        <f>IF(I19="","",I19+Inputs!$B$5/Inputs!$B$13*(Inputs!$C$13*(Inputs!$C$28-I19)+Inputs!$D$13*(Reservoir!$H$19-I19)+Inputs!$E$13*(Inputs!$D$28-I19)))</f>
        <v>1209115.5263577576</v>
      </c>
      <c r="J20" s="21">
        <f>IF(J19="","",J19+Inputs!$B$5/Inputs!$B$13*(Inputs!$C$13*(Inputs!$C$29-J19)+Inputs!$D$13*(Reservoir!$I$19-J19)+Inputs!$E$13*(Inputs!$D$29-J19)))</f>
        <v>11069102.778797051</v>
      </c>
      <c r="K20" s="23">
        <f t="shared" si="1"/>
        <v>9.1547106438544592</v>
      </c>
      <c r="L20" s="21">
        <f>IF(I20="","",I20*Inputs!$B$13*1000000)</f>
        <v>4231904342252151.5</v>
      </c>
      <c r="M20" s="21">
        <f>IF(J20="","",J20*Inputs!$B$13*1000000)</f>
        <v>3.874185972578968E+16</v>
      </c>
      <c r="O20" s="20">
        <v>15</v>
      </c>
      <c r="P20" s="21">
        <f>IF(P19="","",P19+Inputs!$B$5/Inputs!$B$14*(Inputs!$C$14*(Inputs!$C$28-P19)+Inputs!$D$14*(Reservoir!$H$19-P19)+Inputs!$E$14*(Inputs!$D$28-P19)))</f>
        <v>972631.95184585219</v>
      </c>
      <c r="Q20" s="21">
        <f>IF(Q19="","",Q19+Inputs!$B$5/Inputs!$B$14*(Inputs!$C$14*(Inputs!$C$29-Q19)+Inputs!$D$14*(Reservoir!$I$19-Q19)+Inputs!$E$14*(Inputs!$D$29-Q19)))</f>
        <v>9657526.1437200494</v>
      </c>
      <c r="R20" s="23">
        <f t="shared" si="2"/>
        <v>9.9292709080676236</v>
      </c>
      <c r="S20" s="21">
        <f>IF(P20="","",P20*Inputs!$B$14*1000000)</f>
        <v>3297222316757439</v>
      </c>
      <c r="T20" s="21">
        <f>IF(Q20="","",Q20*Inputs!$B$14*1000000)</f>
        <v>3.2739013627210968E+16</v>
      </c>
      <c r="V20" s="20">
        <v>15</v>
      </c>
      <c r="W20" s="21">
        <f>IF(W19="","",W19+Inputs!$B$5/Inputs!$B$15*(Inputs!$C$15*(Inputs!$C$28-W19)+Inputs!$D$15*(Reservoir!$H$19-W19)+Inputs!$E$15*(Inputs!$D$28-W19)))</f>
        <v>844619.17874556221</v>
      </c>
      <c r="X20" s="21">
        <f>IF(X19="","",X19+Inputs!$B$5/Inputs!$B$15*(Inputs!$C$15*(Inputs!$C$29-X19)+Inputs!$D$15*(Reservoir!$I$19-X19)+Inputs!$E$15*(Inputs!$D$29-X19)))</f>
        <v>8032669.000577867</v>
      </c>
      <c r="Y20" s="23">
        <f t="shared" si="3"/>
        <v>9.5104032713394879</v>
      </c>
      <c r="Z20" s="21">
        <f>IF(W20="","",W20*Inputs!$B$15*1000000)</f>
        <v>2956167125609467.5</v>
      </c>
      <c r="AA20" s="21">
        <f>IF(X20="","",X20*Inputs!$B$15*1000000)</f>
        <v>2.8114341502022532E+16</v>
      </c>
      <c r="AC20" s="20">
        <v>15</v>
      </c>
      <c r="AD20" s="21">
        <f>IF(AD19="","",AD19+Inputs!$B$5/Inputs!$B$16*(Inputs!$C$16*(Inputs!$C$28-AD19)+Inputs!$D$16*(Reservoir!$H$19-AD19)+Inputs!$E$16*(Inputs!$D$28-AD19)))</f>
        <v>1101190.2539416899</v>
      </c>
      <c r="AE20" s="21">
        <f>IF(AE19="","",AE19+Inputs!$B$5/Inputs!$B$16*(Inputs!$C$16*(Inputs!$C$29-AE19)+Inputs!$D$16*(Reservoir!$I$19-AE19)+Inputs!$E$16*(Inputs!$D$29-AE19)))</f>
        <v>7664125.7717184164</v>
      </c>
      <c r="AF20" s="23">
        <f t="shared" si="4"/>
        <v>6.9598561595372113</v>
      </c>
      <c r="AG20" s="21">
        <f>IF(AD20="","",AD20*Inputs!$B$16*1000000)</f>
        <v>3854165888795914.5</v>
      </c>
      <c r="AH20" s="21">
        <f>IF(AE20="","",AE20*Inputs!$B$16*1000000)</f>
        <v>2.6824440201014456E+16</v>
      </c>
    </row>
    <row r="21" spans="1:34" ht="18" customHeight="1" x14ac:dyDescent="0.25">
      <c r="A21" s="20">
        <v>16</v>
      </c>
      <c r="B21" s="21">
        <f>IF(B20="","",B20+Inputs!$B$5/Inputs!$B$12*(Inputs!$C$12*(Inputs!$C$28-B20)+Inputs!$D$12*(Reservoir!$H$20-B20)+Inputs!$E$12*(Inputs!$D$28-B20)))</f>
        <v>752079.43837193586</v>
      </c>
      <c r="C21" s="21">
        <f>IF(C20="","",C20+Inputs!$B$5/Inputs!$B$12*(Inputs!$C$12*(Inputs!$C$29-C20)+Inputs!$D$12*(Reservoir!$I$20-C20)+Inputs!$E$12*(Inputs!$D$29-C20)))</f>
        <v>11459727.22569455</v>
      </c>
      <c r="D21" s="23">
        <f t="shared" si="0"/>
        <v>15.237389351452018</v>
      </c>
      <c r="E21" s="21">
        <f>IF(B21="","",B21*Inputs!$B$12*1000000)</f>
        <v>2632278034301775.5</v>
      </c>
      <c r="F21" s="21">
        <f>IF(C21="","",C21*Inputs!$B$12*1000000)</f>
        <v>4.010904528993092E+16</v>
      </c>
      <c r="H21" s="20">
        <v>16</v>
      </c>
      <c r="I21" s="21">
        <f>IF(I20="","",I20+Inputs!$B$5/Inputs!$B$13*(Inputs!$C$13*(Inputs!$C$28-I20)+Inputs!$D$13*(Reservoir!$H$20-I20)+Inputs!$E$13*(Inputs!$D$28-I20)))</f>
        <v>1173116.1316856134</v>
      </c>
      <c r="J21" s="21">
        <f>IF(J20="","",J20+Inputs!$B$5/Inputs!$B$13*(Inputs!$C$13*(Inputs!$C$29-J20)+Inputs!$D$13*(Reservoir!$I$20-J20)+Inputs!$E$13*(Inputs!$D$29-J20)))</f>
        <v>10826345.557348555</v>
      </c>
      <c r="K21" s="23">
        <f t="shared" si="1"/>
        <v>9.2287074271091321</v>
      </c>
      <c r="L21" s="21">
        <f>IF(I21="","",I21*Inputs!$B$13*1000000)</f>
        <v>4105906460899647</v>
      </c>
      <c r="M21" s="21">
        <f>IF(J21="","",J21*Inputs!$B$13*1000000)</f>
        <v>3.7892209450719944E+16</v>
      </c>
      <c r="O21" s="20">
        <v>16</v>
      </c>
      <c r="P21" s="21">
        <f>IF(P20="","",P20+Inputs!$B$5/Inputs!$B$14*(Inputs!$C$14*(Inputs!$C$28-P20)+Inputs!$D$14*(Reservoir!$H$20-P20)+Inputs!$E$14*(Inputs!$D$28-P20)))</f>
        <v>949638.51188522961</v>
      </c>
      <c r="Q21" s="21">
        <f>IF(Q20="","",Q20+Inputs!$B$5/Inputs!$B$14*(Inputs!$C$14*(Inputs!$C$29-Q20)+Inputs!$D$14*(Reservoir!$I$20-Q20)+Inputs!$E$14*(Inputs!$D$29-Q20)))</f>
        <v>9478646.1525122188</v>
      </c>
      <c r="R21" s="23">
        <f t="shared" si="2"/>
        <v>9.9813202959672918</v>
      </c>
      <c r="S21" s="21">
        <f>IF(P21="","",P21*Inputs!$B$14*1000000)</f>
        <v>3219274555290928.5</v>
      </c>
      <c r="T21" s="21">
        <f>IF(Q21="","",Q21*Inputs!$B$14*1000000)</f>
        <v>3.2132610457016424E+16</v>
      </c>
      <c r="V21" s="20">
        <v>16</v>
      </c>
      <c r="W21" s="21">
        <f>IF(W20="","",W20+Inputs!$B$5/Inputs!$B$15*(Inputs!$C$15*(Inputs!$C$28-W20)+Inputs!$D$15*(Reservoir!$H$20-W20)+Inputs!$E$15*(Inputs!$D$28-W20)))</f>
        <v>834604.90348272154</v>
      </c>
      <c r="X21" s="21">
        <f>IF(X20="","",X20+Inputs!$B$5/Inputs!$B$15*(Inputs!$C$15*(Inputs!$C$29-X20)+Inputs!$D$15*(Reservoir!$I$20-X20)+Inputs!$E$15*(Inputs!$D$29-X20)))</f>
        <v>8014922.6791570252</v>
      </c>
      <c r="Y21" s="23">
        <f t="shared" si="3"/>
        <v>9.6032537620035132</v>
      </c>
      <c r="Z21" s="21">
        <f>IF(W21="","",W21*Inputs!$B$15*1000000)</f>
        <v>2921117162189525.5</v>
      </c>
      <c r="AA21" s="21">
        <f>IF(X21="","",X21*Inputs!$B$15*1000000)</f>
        <v>2.8052229377049588E+16</v>
      </c>
      <c r="AC21" s="20">
        <v>16</v>
      </c>
      <c r="AD21" s="21">
        <f>IF(AD20="","",AD20+Inputs!$B$5/Inputs!$B$16*(Inputs!$C$16*(Inputs!$C$28-AD20)+Inputs!$D$16*(Reservoir!$H$20-AD20)+Inputs!$E$16*(Inputs!$D$28-AD20)))</f>
        <v>1080180.075456158</v>
      </c>
      <c r="AE21" s="21">
        <f>IF(AE20="","",AE20+Inputs!$B$5/Inputs!$B$16*(Inputs!$C$16*(Inputs!$C$29-AE20)+Inputs!$D$16*(Reservoir!$I$20-AE20)+Inputs!$E$16*(Inputs!$D$29-AE20)))</f>
        <v>7662174.1601058366</v>
      </c>
      <c r="AF21" s="23">
        <f t="shared" si="4"/>
        <v>7.0934229710450039</v>
      </c>
      <c r="AG21" s="21">
        <f>IF(AD21="","",AD21*Inputs!$B$16*1000000)</f>
        <v>3780630264096553.5</v>
      </c>
      <c r="AH21" s="21">
        <f>IF(AE21="","",AE21*Inputs!$B$16*1000000)</f>
        <v>2.6817609560370428E+16</v>
      </c>
    </row>
    <row r="22" spans="1:34" ht="18" customHeight="1" x14ac:dyDescent="0.25">
      <c r="A22" s="20">
        <v>17</v>
      </c>
      <c r="B22" s="21">
        <f>IF(B21="","",B21+Inputs!$B$5/Inputs!$B$12*(Inputs!$C$12*(Inputs!$C$28-B21)+Inputs!$D$12*(Reservoir!$H$21-B21)+Inputs!$E$12*(Inputs!$D$28-B21)))</f>
        <v>739048.87378281483</v>
      </c>
      <c r="C22" s="21">
        <f>IF(C21="","",C21+Inputs!$B$5/Inputs!$B$12*(Inputs!$C$12*(Inputs!$C$29-C21)+Inputs!$D$12*(Reservoir!$I$21-C21)+Inputs!$E$12*(Inputs!$D$29-C21)))</f>
        <v>11193178.906840134</v>
      </c>
      <c r="D22" s="23">
        <f t="shared" si="0"/>
        <v>15.145383889901559</v>
      </c>
      <c r="E22" s="21">
        <f>IF(B22="","",B22*Inputs!$B$12*1000000)</f>
        <v>2586671058239852</v>
      </c>
      <c r="F22" s="21">
        <f>IF(C22="","",C22*Inputs!$B$12*1000000)</f>
        <v>3.9176126173940464E+16</v>
      </c>
      <c r="H22" s="20">
        <v>17</v>
      </c>
      <c r="I22" s="21">
        <f>IF(I21="","",I21+Inputs!$B$5/Inputs!$B$13*(Inputs!$C$13*(Inputs!$C$28-I21)+Inputs!$D$13*(Reservoir!$H$21-I21)+Inputs!$E$13*(Inputs!$D$28-I21)))</f>
        <v>1138432.2514403604</v>
      </c>
      <c r="J22" s="21">
        <f>IF(J21="","",J21+Inputs!$B$5/Inputs!$B$13*(Inputs!$C$13*(Inputs!$C$29-J21)+Inputs!$D$13*(Reservoir!$I$21-J21)+Inputs!$E$13*(Inputs!$D$29-J21)))</f>
        <v>10592371.152866218</v>
      </c>
      <c r="K22" s="23">
        <f t="shared" si="1"/>
        <v>9.3043491516202224</v>
      </c>
      <c r="L22" s="21">
        <f>IF(I22="","",I22*Inputs!$B$13*1000000)</f>
        <v>3984512880041261.5</v>
      </c>
      <c r="M22" s="21">
        <f>IF(J22="","",J22*Inputs!$B$13*1000000)</f>
        <v>3.707329903503176E+16</v>
      </c>
      <c r="O22" s="20">
        <v>17</v>
      </c>
      <c r="P22" s="21">
        <f>IF(P21="","",P21+Inputs!$B$5/Inputs!$B$14*(Inputs!$C$14*(Inputs!$C$28-P21)+Inputs!$D$14*(Reservoir!$H$21-P21)+Inputs!$E$14*(Inputs!$D$28-P21)))</f>
        <v>927250.4388730675</v>
      </c>
      <c r="Q22" s="21">
        <f>IF(Q21="","",Q21+Inputs!$B$5/Inputs!$B$14*(Inputs!$C$14*(Inputs!$C$29-Q21)+Inputs!$D$14*(Reservoir!$I$21-Q21)+Inputs!$E$14*(Inputs!$D$29-Q21)))</f>
        <v>9304823.0254769269</v>
      </c>
      <c r="R22" s="23">
        <f t="shared" si="2"/>
        <v>10.034854269560153</v>
      </c>
      <c r="S22" s="21">
        <f>IF(P22="","",P22*Inputs!$B$14*1000000)</f>
        <v>3143378987779699</v>
      </c>
      <c r="T22" s="21">
        <f>IF(Q22="","",Q22*Inputs!$B$14*1000000)</f>
        <v>3.1543350056366784E+16</v>
      </c>
      <c r="V22" s="20">
        <v>17</v>
      </c>
      <c r="W22" s="21">
        <f>IF(W21="","",W21+Inputs!$B$5/Inputs!$B$15*(Inputs!$C$15*(Inputs!$C$28-W21)+Inputs!$D$15*(Reservoir!$H$21-W21)+Inputs!$E$15*(Inputs!$D$28-W21)))</f>
        <v>824483.9284320405</v>
      </c>
      <c r="X22" s="21">
        <f>IF(X21="","",X21+Inputs!$B$5/Inputs!$B$15*(Inputs!$C$15*(Inputs!$C$29-X21)+Inputs!$D$15*(Reservoir!$I$21-X21)+Inputs!$E$15*(Inputs!$D$29-X21)))</f>
        <v>7994235.0742315995</v>
      </c>
      <c r="Y22" s="23">
        <f t="shared" si="3"/>
        <v>9.6960471860677853</v>
      </c>
      <c r="Z22" s="21">
        <f>IF(W22="","",W22*Inputs!$B$15*1000000)</f>
        <v>2885693749512141.5</v>
      </c>
      <c r="AA22" s="21">
        <f>IF(X22="","",X22*Inputs!$B$15*1000000)</f>
        <v>2.7979822759810596E+16</v>
      </c>
      <c r="AC22" s="20">
        <v>17</v>
      </c>
      <c r="AD22" s="21">
        <f>IF(AD21="","",AD21+Inputs!$B$5/Inputs!$B$16*(Inputs!$C$16*(Inputs!$C$28-AD21)+Inputs!$D$16*(Reservoir!$H$21-AD21)+Inputs!$E$16*(Inputs!$D$28-AD21)))</f>
        <v>1059534.4501780439</v>
      </c>
      <c r="AE22" s="21">
        <f>IF(AE21="","",AE21+Inputs!$B$5/Inputs!$B$16*(Inputs!$C$16*(Inputs!$C$29-AE21)+Inputs!$D$16*(Reservoir!$I$21-AE21)+Inputs!$E$16*(Inputs!$D$29-AE21)))</f>
        <v>7656604.3488540333</v>
      </c>
      <c r="AF22" s="23">
        <f t="shared" si="4"/>
        <v>7.2263854635093923</v>
      </c>
      <c r="AG22" s="21">
        <f>IF(AD22="","",AD22*Inputs!$B$16*1000000)</f>
        <v>3708370575623153.5</v>
      </c>
      <c r="AH22" s="21">
        <f>IF(AE22="","",AE22*Inputs!$B$16*1000000)</f>
        <v>2.6798115220989116E+16</v>
      </c>
    </row>
    <row r="23" spans="1:34" ht="18" customHeight="1" x14ac:dyDescent="0.25">
      <c r="A23" s="20">
        <v>18</v>
      </c>
      <c r="B23" s="21">
        <f>IF(B22="","",B22+Inputs!$B$5/Inputs!$B$12*(Inputs!$C$12*(Inputs!$C$28-B22)+Inputs!$D$12*(Reservoir!$H$22-B22)+Inputs!$E$12*(Inputs!$D$28-B22)))</f>
        <v>726164.48224953853</v>
      </c>
      <c r="C23" s="21">
        <f>IF(C22="","",C22+Inputs!$B$5/Inputs!$B$12*(Inputs!$C$12*(Inputs!$C$29-C22)+Inputs!$D$12*(Reservoir!$I$22-C22)+Inputs!$E$12*(Inputs!$D$29-C22)))</f>
        <v>10936727.857194053</v>
      </c>
      <c r="D23" s="23">
        <f t="shared" si="0"/>
        <v>15.060951236989535</v>
      </c>
      <c r="E23" s="21">
        <f>IF(B23="","",B23*Inputs!$B$12*1000000)</f>
        <v>2541575687873385</v>
      </c>
      <c r="F23" s="21">
        <f>IF(C23="","",C23*Inputs!$B$12*1000000)</f>
        <v>3.8278547500179184E+16</v>
      </c>
      <c r="H23" s="20">
        <v>18</v>
      </c>
      <c r="I23" s="21">
        <f>IF(I22="","",I22+Inputs!$B$5/Inputs!$B$13*(Inputs!$C$13*(Inputs!$C$28-I22)+Inputs!$D$13*(Reservoir!$H$22-I22)+Inputs!$E$13*(Inputs!$D$28-I22)))</f>
        <v>1105008.1433418388</v>
      </c>
      <c r="J23" s="21">
        <f>IF(J22="","",J22+Inputs!$B$5/Inputs!$B$13*(Inputs!$C$13*(Inputs!$C$29-J22)+Inputs!$D$13*(Reservoir!$I$22-J22)+Inputs!$E$13*(Inputs!$D$29-J22)))</f>
        <v>10366818.787710225</v>
      </c>
      <c r="K23" s="23">
        <f t="shared" si="1"/>
        <v>9.3816673208925003</v>
      </c>
      <c r="L23" s="21">
        <f>IF(I23="","",I23*Inputs!$B$13*1000000)</f>
        <v>3867528501696436</v>
      </c>
      <c r="M23" s="21">
        <f>IF(J23="","",J23*Inputs!$B$13*1000000)</f>
        <v>3.6283865756985784E+16</v>
      </c>
      <c r="O23" s="20">
        <v>18</v>
      </c>
      <c r="P23" s="21">
        <f>IF(P22="","",P22+Inputs!$B$5/Inputs!$B$14*(Inputs!$C$14*(Inputs!$C$28-P22)+Inputs!$D$14*(Reservoir!$H$22-P22)+Inputs!$E$14*(Inputs!$D$28-P22)))</f>
        <v>905450.16199194046</v>
      </c>
      <c r="Q23" s="21">
        <f>IF(Q22="","",Q22+Inputs!$B$5/Inputs!$B$14*(Inputs!$C$14*(Inputs!$C$29-Q22)+Inputs!$D$14*(Reservoir!$I$22-Q22)+Inputs!$E$14*(Inputs!$D$29-Q22)))</f>
        <v>9135903.5906606782</v>
      </c>
      <c r="R23" s="23">
        <f t="shared" si="2"/>
        <v>10.089902210147264</v>
      </c>
      <c r="S23" s="21">
        <f>IF(P23="","",P23*Inputs!$B$14*1000000)</f>
        <v>3069476049152678</v>
      </c>
      <c r="T23" s="21">
        <f>IF(Q23="","",Q23*Inputs!$B$14*1000000)</f>
        <v>3.09707131723397E+16</v>
      </c>
      <c r="V23" s="20">
        <v>18</v>
      </c>
      <c r="W23" s="21">
        <f>IF(W22="","",W22+Inputs!$B$5/Inputs!$B$15*(Inputs!$C$15*(Inputs!$C$28-W22)+Inputs!$D$15*(Reservoir!$H$22-W22)+Inputs!$E$15*(Inputs!$D$28-W22)))</f>
        <v>814272.73918907868</v>
      </c>
      <c r="X23" s="21">
        <f>IF(X22="","",X22+Inputs!$B$5/Inputs!$B$15*(Inputs!$C$15*(Inputs!$C$29-X22)+Inputs!$D$15*(Reservoir!$I$22-X22)+Inputs!$E$15*(Inputs!$D$29-X22)))</f>
        <v>7970823.1508988002</v>
      </c>
      <c r="Y23" s="23">
        <f t="shared" si="3"/>
        <v>9.7888861646489804</v>
      </c>
      <c r="Z23" s="21">
        <f>IF(W23="","",W23*Inputs!$B$15*1000000)</f>
        <v>2849954587161775.5</v>
      </c>
      <c r="AA23" s="21">
        <f>IF(X23="","",X23*Inputs!$B$15*1000000)</f>
        <v>2.78978810281458E+16</v>
      </c>
      <c r="AC23" s="20">
        <v>18</v>
      </c>
      <c r="AD23" s="21">
        <f>IF(AD22="","",AD22+Inputs!$B$5/Inputs!$B$16*(Inputs!$C$16*(Inputs!$C$28-AD22)+Inputs!$D$16*(Reservoir!$H$22-AD22)+Inputs!$E$16*(Inputs!$D$28-AD22)))</f>
        <v>1039249.6671459676</v>
      </c>
      <c r="AE23" s="21">
        <f>IF(AE22="","",AE22+Inputs!$B$5/Inputs!$B$16*(Inputs!$C$16*(Inputs!$C$29-AE22)+Inputs!$D$16*(Reservoir!$I$22-AE22)+Inputs!$E$16*(Inputs!$D$29-AE22)))</f>
        <v>7647662.3137517013</v>
      </c>
      <c r="AF23" s="23">
        <f t="shared" si="4"/>
        <v>7.3588306597721047</v>
      </c>
      <c r="AG23" s="21">
        <f>IF(AD23="","",AD23*Inputs!$B$16*1000000)</f>
        <v>3637373835010886.5</v>
      </c>
      <c r="AH23" s="21">
        <f>IF(AE23="","",AE23*Inputs!$B$16*1000000)</f>
        <v>2.6766818098130956E+16</v>
      </c>
    </row>
    <row r="24" spans="1:34" ht="18" customHeight="1" x14ac:dyDescent="0.25">
      <c r="A24" s="20">
        <v>19</v>
      </c>
      <c r="B24" s="21">
        <f>IF(B23="","",B23+Inputs!$B$5/Inputs!$B$12*(Inputs!$C$12*(Inputs!$C$28-B23)+Inputs!$D$12*(Reservoir!$H$23-B23)+Inputs!$E$12*(Inputs!$D$28-B23)))</f>
        <v>713430.37664693815</v>
      </c>
      <c r="C24" s="21">
        <f>IF(C23="","",C23+Inputs!$B$5/Inputs!$B$12*(Inputs!$C$12*(Inputs!$C$29-C23)+Inputs!$D$12*(Reservoir!$I$23-C23)+Inputs!$E$12*(Inputs!$D$29-C23)))</f>
        <v>10689943.152356276</v>
      </c>
      <c r="D24" s="23">
        <f t="shared" si="0"/>
        <v>14.983863180312136</v>
      </c>
      <c r="E24" s="21">
        <f>IF(B24="","",B24*Inputs!$B$12*1000000)</f>
        <v>2497006318264283.5</v>
      </c>
      <c r="F24" s="21">
        <f>IF(C24="","",C24*Inputs!$B$12*1000000)</f>
        <v>3.741480103324696E+16</v>
      </c>
      <c r="H24" s="20">
        <v>19</v>
      </c>
      <c r="I24" s="21">
        <f>IF(I23="","",I23+Inputs!$B$5/Inputs!$B$13*(Inputs!$C$13*(Inputs!$C$28-I23)+Inputs!$D$13*(Reservoir!$H$23-I23)+Inputs!$E$13*(Inputs!$D$28-I23)))</f>
        <v>1072790.6494544917</v>
      </c>
      <c r="J24" s="21">
        <f>IF(J23="","",J23+Inputs!$B$5/Inputs!$B$13*(Inputs!$C$13*(Inputs!$C$29-J23)+Inputs!$D$13*(Reservoir!$I$23-J23)+Inputs!$E$13*(Inputs!$D$29-J23)))</f>
        <v>10149343.692160189</v>
      </c>
      <c r="K24" s="23">
        <f t="shared" si="1"/>
        <v>9.4606936566058586</v>
      </c>
      <c r="L24" s="21">
        <f>IF(I24="","",I24*Inputs!$B$13*1000000)</f>
        <v>3754767273090720.5</v>
      </c>
      <c r="M24" s="21">
        <f>IF(J24="","",J24*Inputs!$B$13*1000000)</f>
        <v>3.552270292256066E+16</v>
      </c>
      <c r="O24" s="20">
        <v>19</v>
      </c>
      <c r="P24" s="21">
        <f>IF(P23="","",P23+Inputs!$B$5/Inputs!$B$14*(Inputs!$C$14*(Inputs!$C$28-P23)+Inputs!$D$14*(Reservoir!$H$23-P23)+Inputs!$E$14*(Inputs!$D$28-P23)))</f>
        <v>884220.66753764555</v>
      </c>
      <c r="Q24" s="21">
        <f>IF(Q23="","",Q23+Inputs!$B$5/Inputs!$B$14*(Inputs!$C$14*(Inputs!$C$29-Q23)+Inputs!$D$14*(Reservoir!$I$23-Q23)+Inputs!$E$14*(Inputs!$D$29-Q23)))</f>
        <v>8971739.4698196873</v>
      </c>
      <c r="R24" s="23">
        <f t="shared" si="2"/>
        <v>10.146493742115247</v>
      </c>
      <c r="S24" s="21">
        <f>IF(P24="","",P24*Inputs!$B$14*1000000)</f>
        <v>2997508062952618.5</v>
      </c>
      <c r="T24" s="21">
        <f>IF(Q24="","",Q24*Inputs!$B$14*1000000)</f>
        <v>3.041419680268874E+16</v>
      </c>
      <c r="V24" s="20">
        <v>19</v>
      </c>
      <c r="W24" s="21">
        <f>IF(W23="","",W23+Inputs!$B$5/Inputs!$B$15*(Inputs!$C$15*(Inputs!$C$28-W23)+Inputs!$D$15*(Reservoir!$H$23-W23)+Inputs!$E$15*(Inputs!$D$28-W23)))</f>
        <v>803986.83242263691</v>
      </c>
      <c r="X24" s="21">
        <f>IF(X23="","",X23+Inputs!$B$5/Inputs!$B$15*(Inputs!$C$15*(Inputs!$C$29-X23)+Inputs!$D$15*(Reservoir!$I$23-X23)+Inputs!$E$15*(Inputs!$D$29-X23)))</f>
        <v>7944892.0293924836</v>
      </c>
      <c r="Y24" s="23">
        <f t="shared" si="3"/>
        <v>9.8818683453462839</v>
      </c>
      <c r="Z24" s="21">
        <f>IF(W24="","",W24*Inputs!$B$15*1000000)</f>
        <v>2813953913479229</v>
      </c>
      <c r="AA24" s="21">
        <f>IF(X24="","",X24*Inputs!$B$15*1000000)</f>
        <v>2.7807122102873692E+16</v>
      </c>
      <c r="AC24" s="20">
        <v>19</v>
      </c>
      <c r="AD24" s="21">
        <f>IF(AD23="","",AD23+Inputs!$B$5/Inputs!$B$16*(Inputs!$C$16*(Inputs!$C$28-AD23)+Inputs!$D$16*(Reservoir!$H$23-AD23)+Inputs!$E$16*(Inputs!$D$28-AD23)))</f>
        <v>1019321.8920385164</v>
      </c>
      <c r="AE24" s="21">
        <f>IF(AE23="","",AE23+Inputs!$B$5/Inputs!$B$16*(Inputs!$C$16*(Inputs!$C$29-AE23)+Inputs!$D$16*(Reservoir!$I$23-AE23)+Inputs!$E$16*(Inputs!$D$29-AE23)))</f>
        <v>7635580.9424088318</v>
      </c>
      <c r="AF24" s="23">
        <f t="shared" si="4"/>
        <v>7.4908436697446223</v>
      </c>
      <c r="AG24" s="21">
        <f>IF(AD24="","",AD24*Inputs!$B$16*1000000)</f>
        <v>3567626622134807</v>
      </c>
      <c r="AH24" s="21">
        <f>IF(AE24="","",AE24*Inputs!$B$16*1000000)</f>
        <v>2.6724533298430912E+16</v>
      </c>
    </row>
    <row r="25" spans="1:34" ht="18" customHeight="1" x14ac:dyDescent="0.25">
      <c r="A25" s="20">
        <v>20</v>
      </c>
      <c r="B25" s="21">
        <f>IF(B24="","",B24+Inputs!$B$5/Inputs!$B$12*(Inputs!$C$12*(Inputs!$C$28-B24)+Inputs!$D$12*(Reservoir!$H$24-B24)+Inputs!$E$12*(Inputs!$D$28-B24)))</f>
        <v>700850.18342069723</v>
      </c>
      <c r="C25" s="21">
        <f>IF(C24="","",C24+Inputs!$B$5/Inputs!$B$12*(Inputs!$C$12*(Inputs!$C$29-C24)+Inputs!$D$12*(Reservoir!$I$24-C24)+Inputs!$E$12*(Inputs!$D$29-C24)))</f>
        <v>10452413.567614019</v>
      </c>
      <c r="D25" s="23">
        <f t="shared" si="0"/>
        <v>14.913905731747208</v>
      </c>
      <c r="E25" s="21">
        <f>IF(B25="","",B25*Inputs!$B$12*1000000)</f>
        <v>2452975641972440</v>
      </c>
      <c r="F25" s="21">
        <f>IF(C25="","",C25*Inputs!$B$12*1000000)</f>
        <v>3.6583447486649064E+16</v>
      </c>
      <c r="H25" s="20">
        <v>20</v>
      </c>
      <c r="I25" s="21">
        <f>IF(I24="","",I24+Inputs!$B$5/Inputs!$B$13*(Inputs!$C$13*(Inputs!$C$28-I24)+Inputs!$D$13*(Reservoir!$H$24-I24)+Inputs!$E$13*(Inputs!$D$28-I24)))</f>
        <v>1041729.0707695766</v>
      </c>
      <c r="J25" s="21">
        <f>IF(J24="","",J24+Inputs!$B$5/Inputs!$B$13*(Inputs!$C$13*(Inputs!$C$29-J24)+Inputs!$D$13*(Reservoir!$I$24-J24)+Inputs!$E$13*(Inputs!$D$29-J24)))</f>
        <v>9939616.3653708734</v>
      </c>
      <c r="K25" s="23">
        <f t="shared" si="1"/>
        <v>9.5414601015482745</v>
      </c>
      <c r="L25" s="21">
        <f>IF(I25="","",I25*Inputs!$B$13*1000000)</f>
        <v>3646051747693518</v>
      </c>
      <c r="M25" s="21">
        <f>IF(J25="","",J25*Inputs!$B$13*1000000)</f>
        <v>3.4788657278798056E+16</v>
      </c>
      <c r="O25" s="20">
        <v>20</v>
      </c>
      <c r="P25" s="21">
        <f>IF(P24="","",P24+Inputs!$B$5/Inputs!$B$14*(Inputs!$C$14*(Inputs!$C$28-P24)+Inputs!$D$14*(Reservoir!$H$24-P24)+Inputs!$E$14*(Inputs!$D$28-P24)))</f>
        <v>863545.48016734666</v>
      </c>
      <c r="Q25" s="21">
        <f>IF(Q24="","",Q24+Inputs!$B$5/Inputs!$B$14*(Inputs!$C$14*(Inputs!$C$29-Q24)+Inputs!$D$14*(Reservoir!$I$24-Q24)+Inputs!$E$14*(Inputs!$D$29-Q24)))</f>
        <v>8812186.9317621142</v>
      </c>
      <c r="R25" s="23">
        <f t="shared" si="2"/>
        <v>10.204658740214121</v>
      </c>
      <c r="S25" s="21">
        <f>IF(P25="","",P25*Inputs!$B$14*1000000)</f>
        <v>2927419177767305.5</v>
      </c>
      <c r="T25" s="21">
        <f>IF(Q25="","",Q25*Inputs!$B$14*1000000)</f>
        <v>2.9873313698673568E+16</v>
      </c>
      <c r="V25" s="20">
        <v>20</v>
      </c>
      <c r="W25" s="21">
        <f>IF(W24="","",W24+Inputs!$B$5/Inputs!$B$15*(Inputs!$C$15*(Inputs!$C$28-W24)+Inputs!$D$15*(Reservoir!$H$24-W24)+Inputs!$E$15*(Inputs!$D$28-W24)))</f>
        <v>793640.76574869687</v>
      </c>
      <c r="X25" s="21">
        <f>IF(X24="","",X24+Inputs!$B$5/Inputs!$B$15*(Inputs!$C$15*(Inputs!$C$29-X24)+Inputs!$D$15*(Reservoir!$I$24-X24)+Inputs!$E$15*(Inputs!$D$29-X24)))</f>
        <v>7916635.5769403009</v>
      </c>
      <c r="Y25" s="23">
        <f t="shared" si="3"/>
        <v>9.9750868637298193</v>
      </c>
      <c r="Z25" s="21">
        <f>IF(W25="","",W25*Inputs!$B$15*1000000)</f>
        <v>2777742680120439</v>
      </c>
      <c r="AA25" s="21">
        <f>IF(X25="","",X25*Inputs!$B$15*1000000)</f>
        <v>2.7708224519291052E+16</v>
      </c>
      <c r="AC25" s="20">
        <v>20</v>
      </c>
      <c r="AD25" s="21">
        <f>IF(AD24="","",AD24+Inputs!$B$5/Inputs!$B$16*(Inputs!$C$16*(Inputs!$C$28-AD24)+Inputs!$D$16*(Reservoir!$H$24-AD24)+Inputs!$E$16*(Inputs!$D$28-AD24)))</f>
        <v>999747.17995246721</v>
      </c>
      <c r="AE25" s="21">
        <f>IF(AE24="","",AE24+Inputs!$B$5/Inputs!$B$16*(Inputs!$C$16*(Inputs!$C$29-AE24)+Inputs!$D$16*(Reservoir!$I$24-AE24)+Inputs!$E$16*(Inputs!$D$29-AE24)))</f>
        <v>7620580.6793988049</v>
      </c>
      <c r="AF25" s="23">
        <f t="shared" si="4"/>
        <v>7.6225078021836721</v>
      </c>
      <c r="AG25" s="21">
        <f>IF(AD25="","",AD25*Inputs!$B$16*1000000)</f>
        <v>3499115129833635.5</v>
      </c>
      <c r="AH25" s="21">
        <f>IF(AE25="","",AE25*Inputs!$B$16*1000000)</f>
        <v>2.6672032377895816E+16</v>
      </c>
    </row>
    <row r="26" spans="1:34" ht="18" customHeight="1" x14ac:dyDescent="0.25">
      <c r="A26" s="20">
        <v>21</v>
      </c>
      <c r="B26" s="21">
        <f>IF(B25="","",B25+Inputs!$B$5/Inputs!$B$12*(Inputs!$C$12*(Inputs!$C$28-B25)+Inputs!$D$12*(Reservoir!$H$25-B25)+Inputs!$E$12*(Inputs!$D$28-B25)))</f>
        <v>688427.07486245024</v>
      </c>
      <c r="C26" s="21">
        <f>IF(C25="","",C25+Inputs!$B$5/Inputs!$B$12*(Inputs!$C$12*(Inputs!$C$29-C25)+Inputs!$D$12*(Reservoir!$I$25-C25)+Inputs!$E$12*(Inputs!$D$29-C25)))</f>
        <v>10223746.645784359</v>
      </c>
      <c r="D26" s="23">
        <f t="shared" si="0"/>
        <v>14.850878210777944</v>
      </c>
      <c r="E26" s="21">
        <f>IF(B26="","",B26*Inputs!$B$12*1000000)</f>
        <v>2409494762018575.5</v>
      </c>
      <c r="F26" s="21">
        <f>IF(C26="","",C26*Inputs!$B$12*1000000)</f>
        <v>3.5783113260245256E+16</v>
      </c>
      <c r="H26" s="20">
        <v>21</v>
      </c>
      <c r="I26" s="21">
        <f>IF(I25="","",I25+Inputs!$B$5/Inputs!$B$13*(Inputs!$C$13*(Inputs!$C$28-I25)+Inputs!$D$13*(Reservoir!$H$25-I25)+Inputs!$E$13*(Inputs!$D$28-I25)))</f>
        <v>1011775.0480048158</v>
      </c>
      <c r="J26" s="21">
        <f>IF(J25="","",J25+Inputs!$B$5/Inputs!$B$13*(Inputs!$C$13*(Inputs!$C$29-J25)+Inputs!$D$13*(Reservoir!$I$25-J25)+Inputs!$E$13*(Inputs!$D$29-J25)))</f>
        <v>9737321.8710851464</v>
      </c>
      <c r="K26" s="23">
        <f t="shared" si="1"/>
        <v>9.6239988229466586</v>
      </c>
      <c r="L26" s="21">
        <f>IF(I26="","",I26*Inputs!$B$13*1000000)</f>
        <v>3541212668016855</v>
      </c>
      <c r="M26" s="21">
        <f>IF(J26="","",J26*Inputs!$B$13*1000000)</f>
        <v>3.4080626548798012E+16</v>
      </c>
      <c r="O26" s="20">
        <v>21</v>
      </c>
      <c r="P26" s="21">
        <f>IF(P25="","",P25+Inputs!$B$5/Inputs!$B$14*(Inputs!$C$14*(Inputs!$C$28-P25)+Inputs!$D$14*(Reservoir!$H$25-P25)+Inputs!$E$14*(Inputs!$D$28-P25)))</f>
        <v>843408.64479341044</v>
      </c>
      <c r="Q26" s="21">
        <f>IF(Q25="","",Q25+Inputs!$B$5/Inputs!$B$14*(Inputs!$C$14*(Inputs!$C$29-Q25)+Inputs!$D$14*(Reservoir!$I$25-Q25)+Inputs!$E$14*(Inputs!$D$29-Q25)))</f>
        <v>8657106.7496758271</v>
      </c>
      <c r="R26" s="23">
        <f t="shared" si="2"/>
        <v>10.264427336758388</v>
      </c>
      <c r="S26" s="21">
        <f>IF(P26="","",P26*Inputs!$B$14*1000000)</f>
        <v>2859155305849661.5</v>
      </c>
      <c r="T26" s="21">
        <f>IF(Q26="","",Q26*Inputs!$B$14*1000000)</f>
        <v>2.9347591881401056E+16</v>
      </c>
      <c r="V26" s="20">
        <v>21</v>
      </c>
      <c r="W26" s="21">
        <f>IF(W25="","",W25+Inputs!$B$5/Inputs!$B$15*(Inputs!$C$15*(Inputs!$C$28-W25)+Inputs!$D$15*(Reservoir!$H$25-W25)+Inputs!$E$15*(Inputs!$D$28-W25)))</f>
        <v>783248.20523428451</v>
      </c>
      <c r="X26" s="21">
        <f>IF(X25="","",X25+Inputs!$B$5/Inputs!$B$15*(Inputs!$C$15*(Inputs!$C$29-X25)+Inputs!$D$15*(Reservoir!$I$25-X25)+Inputs!$E$15*(Inputs!$D$29-X25)))</f>
        <v>7886236.9710047785</v>
      </c>
      <c r="Y26" s="23">
        <f t="shared" si="3"/>
        <v>10.068630758810171</v>
      </c>
      <c r="Z26" s="21">
        <f>IF(W26="","",W26*Inputs!$B$15*1000000)</f>
        <v>2741368718319996</v>
      </c>
      <c r="AA26" s="21">
        <f>IF(X26="","",X26*Inputs!$B$15*1000000)</f>
        <v>2.7601829398516724E+16</v>
      </c>
      <c r="AC26" s="20">
        <v>21</v>
      </c>
      <c r="AD26" s="21">
        <f>IF(AD25="","",AD25+Inputs!$B$5/Inputs!$B$16*(Inputs!$C$16*(Inputs!$C$28-AD25)+Inputs!$D$16*(Reservoir!$H$25-AD25)+Inputs!$E$16*(Inputs!$D$28-AD25)))</f>
        <v>980521.4874007504</v>
      </c>
      <c r="AE26" s="21">
        <f>IF(AE25="","",AE25+Inputs!$B$5/Inputs!$B$16*(Inputs!$C$16*(Inputs!$C$29-AE25)+Inputs!$D$16*(Reservoir!$I$25-AE25)+Inputs!$E$16*(Inputs!$D$29-AE25)))</f>
        <v>7602870.1405007746</v>
      </c>
      <c r="AF26" s="23">
        <f t="shared" si="4"/>
        <v>7.7539046703148831</v>
      </c>
      <c r="AG26" s="21">
        <f>IF(AD26="","",AD26*Inputs!$B$16*1000000)</f>
        <v>3431825205902626.5</v>
      </c>
      <c r="AH26" s="21">
        <f>IF(AE26="","",AE26*Inputs!$B$16*1000000)</f>
        <v>2.6610045491752712E+16</v>
      </c>
    </row>
  </sheetData>
  <mergeCells count="6">
    <mergeCell ref="V3:AA3"/>
    <mergeCell ref="A1:AH1"/>
    <mergeCell ref="AC3:AH3"/>
    <mergeCell ref="A3:F3"/>
    <mergeCell ref="O3:T3"/>
    <mergeCell ref="H3:M3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showGridLines="0" workbookViewId="0">
      <selection activeCell="F22" sqref="F22"/>
    </sheetView>
  </sheetViews>
  <sheetFormatPr defaultRowHeight="15" x14ac:dyDescent="0.25"/>
  <cols>
    <col min="1" max="1" width="20" customWidth="1"/>
    <col min="2" max="8" width="12" customWidth="1"/>
  </cols>
  <sheetData>
    <row r="1" spans="1:8" ht="18" customHeight="1" x14ac:dyDescent="0.25">
      <c r="A1" s="31" t="s">
        <v>100</v>
      </c>
      <c r="B1" s="30"/>
      <c r="C1" s="30"/>
      <c r="D1" s="30"/>
      <c r="E1" s="30"/>
      <c r="F1" s="30"/>
      <c r="G1" s="30"/>
      <c r="H1" s="30"/>
    </row>
    <row r="2" spans="1:8" ht="18" customHeight="1" x14ac:dyDescent="0.25"/>
    <row r="3" spans="1:8" ht="18" customHeight="1" x14ac:dyDescent="0.25">
      <c r="A3" s="4" t="s">
        <v>101</v>
      </c>
    </row>
    <row r="4" spans="1:8" ht="18" customHeight="1" x14ac:dyDescent="0.25">
      <c r="A4" s="10" t="s">
        <v>102</v>
      </c>
      <c r="B4" s="10" t="s">
        <v>103</v>
      </c>
      <c r="C4" s="10" t="s">
        <v>104</v>
      </c>
      <c r="D4" s="10" t="s">
        <v>105</v>
      </c>
      <c r="E4" s="10" t="s">
        <v>106</v>
      </c>
      <c r="F4" s="10" t="s">
        <v>107</v>
      </c>
      <c r="G4" s="10" t="s">
        <v>108</v>
      </c>
      <c r="H4" s="10" t="s">
        <v>109</v>
      </c>
    </row>
    <row r="5" spans="1:8" ht="18" customHeight="1" x14ac:dyDescent="0.25">
      <c r="A5" s="24" t="s">
        <v>110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</row>
    <row r="6" spans="1:8" ht="18" customHeight="1" x14ac:dyDescent="0.25">
      <c r="A6" s="24" t="s">
        <v>111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</row>
    <row r="7" spans="1:8" ht="18" customHeight="1" x14ac:dyDescent="0.25">
      <c r="A7" s="24" t="s">
        <v>112</v>
      </c>
      <c r="B7" s="19">
        <v>0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</row>
    <row r="8" spans="1:8" ht="18" customHeight="1" x14ac:dyDescent="0.25">
      <c r="A8" s="24" t="s">
        <v>113</v>
      </c>
      <c r="B8" s="19">
        <v>0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</row>
    <row r="9" spans="1:8" ht="18" customHeight="1" x14ac:dyDescent="0.25">
      <c r="A9" s="24" t="s">
        <v>114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</row>
    <row r="10" spans="1:8" ht="18" customHeight="1" x14ac:dyDescent="0.25">
      <c r="A10" s="24" t="s">
        <v>115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</row>
    <row r="11" spans="1:8" ht="18" customHeight="1" x14ac:dyDescent="0.25">
      <c r="A11" s="24" t="s">
        <v>116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</row>
    <row r="12" spans="1:8" ht="18" customHeight="1" x14ac:dyDescent="0.25">
      <c r="A12" s="24" t="s">
        <v>117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</row>
    <row r="13" spans="1:8" ht="18" customHeight="1" x14ac:dyDescent="0.25">
      <c r="A13" s="24" t="s">
        <v>118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</row>
    <row r="14" spans="1:8" ht="18" customHeight="1" x14ac:dyDescent="0.25">
      <c r="A14" s="24" t="s">
        <v>119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</row>
    <row r="15" spans="1:8" ht="18" customHeight="1" x14ac:dyDescent="0.25">
      <c r="A15" s="11" t="s">
        <v>120</v>
      </c>
      <c r="B15" s="14">
        <f t="shared" ref="B15:H15" si="0">1-SUM(B5:B14)</f>
        <v>1</v>
      </c>
      <c r="C15" s="14">
        <f t="shared" si="0"/>
        <v>1</v>
      </c>
      <c r="D15" s="14">
        <f t="shared" si="0"/>
        <v>1</v>
      </c>
      <c r="E15" s="14">
        <f t="shared" si="0"/>
        <v>1</v>
      </c>
      <c r="F15" s="14">
        <f t="shared" si="0"/>
        <v>1</v>
      </c>
      <c r="G15" s="14">
        <f t="shared" si="0"/>
        <v>1</v>
      </c>
      <c r="H15" s="14">
        <f t="shared" si="0"/>
        <v>1</v>
      </c>
    </row>
    <row r="16" spans="1:8" ht="18" customHeight="1" x14ac:dyDescent="0.25"/>
    <row r="17" spans="1:8" ht="18" customHeight="1" x14ac:dyDescent="0.25">
      <c r="A17" s="11" t="s">
        <v>121</v>
      </c>
      <c r="B17" s="14">
        <f t="shared" ref="B17:H17" si="1">SUM(B5:B15)</f>
        <v>1</v>
      </c>
      <c r="C17" s="14">
        <f t="shared" si="1"/>
        <v>1</v>
      </c>
      <c r="D17" s="14">
        <f t="shared" si="1"/>
        <v>1</v>
      </c>
      <c r="E17" s="14">
        <f t="shared" si="1"/>
        <v>1</v>
      </c>
      <c r="F17" s="14">
        <f t="shared" si="1"/>
        <v>1</v>
      </c>
      <c r="G17" s="14">
        <f t="shared" si="1"/>
        <v>1</v>
      </c>
      <c r="H17" s="14">
        <f t="shared" si="1"/>
        <v>1</v>
      </c>
    </row>
    <row r="18" spans="1:8" ht="18" customHeight="1" x14ac:dyDescent="0.25"/>
    <row r="19" spans="1:8" ht="18" customHeight="1" x14ac:dyDescent="0.25">
      <c r="A19" s="5" t="s">
        <v>122</v>
      </c>
      <c r="B19" s="9" t="s">
        <v>123</v>
      </c>
    </row>
  </sheetData>
  <mergeCells count="1">
    <mergeCell ref="A1:H1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showGridLines="0" workbookViewId="0">
      <selection sqref="A1:W1"/>
    </sheetView>
  </sheetViews>
  <sheetFormatPr defaultRowHeight="15" x14ac:dyDescent="0.25"/>
  <cols>
    <col min="1" max="1" width="20" customWidth="1"/>
    <col min="2" max="8" width="12" customWidth="1"/>
  </cols>
  <sheetData>
    <row r="1" spans="1:8" ht="18" customHeight="1" x14ac:dyDescent="0.25">
      <c r="A1" s="31" t="s">
        <v>124</v>
      </c>
      <c r="B1" s="30"/>
      <c r="C1" s="30"/>
      <c r="D1" s="30"/>
      <c r="E1" s="30"/>
      <c r="F1" s="30"/>
      <c r="G1" s="30"/>
      <c r="H1" s="30"/>
    </row>
    <row r="2" spans="1:8" ht="18" customHeight="1" x14ac:dyDescent="0.25"/>
    <row r="3" spans="1:8" ht="18" customHeight="1" x14ac:dyDescent="0.25">
      <c r="A3" s="4" t="s">
        <v>101</v>
      </c>
    </row>
    <row r="4" spans="1:8" ht="18" customHeight="1" x14ac:dyDescent="0.25">
      <c r="A4" s="10" t="s">
        <v>102</v>
      </c>
      <c r="B4" s="10" t="s">
        <v>103</v>
      </c>
      <c r="C4" s="10" t="s">
        <v>104</v>
      </c>
      <c r="D4" s="10" t="s">
        <v>105</v>
      </c>
      <c r="E4" s="10" t="s">
        <v>106</v>
      </c>
      <c r="F4" s="10" t="s">
        <v>107</v>
      </c>
      <c r="G4" s="10" t="s">
        <v>108</v>
      </c>
      <c r="H4" s="10" t="s">
        <v>109</v>
      </c>
    </row>
    <row r="5" spans="1:8" ht="18" customHeight="1" x14ac:dyDescent="0.25">
      <c r="A5" s="24" t="s">
        <v>125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</row>
    <row r="6" spans="1:8" ht="18" customHeight="1" x14ac:dyDescent="0.25">
      <c r="A6" s="24" t="s">
        <v>126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</row>
    <row r="7" spans="1:8" ht="18" customHeight="1" x14ac:dyDescent="0.25">
      <c r="A7" s="24" t="s">
        <v>127</v>
      </c>
      <c r="B7" s="19">
        <v>0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</row>
    <row r="8" spans="1:8" ht="18" customHeight="1" x14ac:dyDescent="0.25">
      <c r="A8" s="24" t="s">
        <v>128</v>
      </c>
      <c r="B8" s="19">
        <v>0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</row>
    <row r="9" spans="1:8" ht="18" customHeight="1" x14ac:dyDescent="0.25">
      <c r="A9" s="24" t="s">
        <v>129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</row>
    <row r="10" spans="1:8" ht="18" customHeight="1" x14ac:dyDescent="0.25">
      <c r="A10" s="24" t="s">
        <v>130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</row>
    <row r="11" spans="1:8" ht="18" customHeight="1" x14ac:dyDescent="0.25">
      <c r="A11" s="24" t="s">
        <v>131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</row>
    <row r="12" spans="1:8" ht="18" customHeight="1" x14ac:dyDescent="0.25">
      <c r="A12" s="24" t="s">
        <v>132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</row>
    <row r="13" spans="1:8" ht="18" customHeight="1" x14ac:dyDescent="0.25">
      <c r="A13" s="24" t="s">
        <v>133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</row>
    <row r="14" spans="1:8" ht="18" customHeight="1" x14ac:dyDescent="0.25">
      <c r="A14" s="24" t="s">
        <v>134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</row>
    <row r="15" spans="1:8" ht="18" customHeight="1" x14ac:dyDescent="0.25">
      <c r="A15" s="11" t="s">
        <v>120</v>
      </c>
      <c r="B15" s="14">
        <f t="shared" ref="B15:H15" si="0">1-SUM(B5:B14)</f>
        <v>1</v>
      </c>
      <c r="C15" s="14">
        <f t="shared" si="0"/>
        <v>1</v>
      </c>
      <c r="D15" s="14">
        <f t="shared" si="0"/>
        <v>1</v>
      </c>
      <c r="E15" s="14">
        <f t="shared" si="0"/>
        <v>1</v>
      </c>
      <c r="F15" s="14">
        <f t="shared" si="0"/>
        <v>1</v>
      </c>
      <c r="G15" s="14">
        <f t="shared" si="0"/>
        <v>1</v>
      </c>
      <c r="H15" s="14">
        <f t="shared" si="0"/>
        <v>1</v>
      </c>
    </row>
    <row r="16" spans="1:8" ht="18" customHeight="1" x14ac:dyDescent="0.25"/>
    <row r="17" spans="1:8" ht="18" customHeight="1" x14ac:dyDescent="0.25">
      <c r="A17" s="11" t="s">
        <v>121</v>
      </c>
      <c r="B17" s="14">
        <f t="shared" ref="B17:H17" si="1">SUM(B5:B15)</f>
        <v>1</v>
      </c>
      <c r="C17" s="14">
        <f t="shared" si="1"/>
        <v>1</v>
      </c>
      <c r="D17" s="14">
        <f t="shared" si="1"/>
        <v>1</v>
      </c>
      <c r="E17" s="14">
        <f t="shared" si="1"/>
        <v>1</v>
      </c>
      <c r="F17" s="14">
        <f t="shared" si="1"/>
        <v>1</v>
      </c>
      <c r="G17" s="14">
        <f t="shared" si="1"/>
        <v>1</v>
      </c>
      <c r="H17" s="14">
        <f t="shared" si="1"/>
        <v>1</v>
      </c>
    </row>
    <row r="18" spans="1:8" ht="18" customHeight="1" x14ac:dyDescent="0.25"/>
    <row r="19" spans="1:8" ht="18" customHeight="1" x14ac:dyDescent="0.25">
      <c r="A19" s="5" t="s">
        <v>122</v>
      </c>
      <c r="B19" s="9" t="s">
        <v>123</v>
      </c>
    </row>
  </sheetData>
  <mergeCells count="1">
    <mergeCell ref="A1:H1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57"/>
  <sheetViews>
    <sheetView showGridLines="0" workbookViewId="0">
      <selection sqref="A1:W1"/>
    </sheetView>
  </sheetViews>
  <sheetFormatPr defaultRowHeight="15" x14ac:dyDescent="0.25"/>
  <cols>
    <col min="1" max="1" width="22" customWidth="1"/>
    <col min="2" max="23" width="10" customWidth="1"/>
  </cols>
  <sheetData>
    <row r="1" spans="1:23" ht="18" customHeight="1" x14ac:dyDescent="0.25">
      <c r="A1" s="31" t="s">
        <v>135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ht="18" customHeight="1" x14ac:dyDescent="0.25">
      <c r="A2" s="4" t="s">
        <v>136</v>
      </c>
    </row>
    <row r="3" spans="1:23" ht="18" customHeight="1" x14ac:dyDescent="0.25">
      <c r="A3" s="29" t="s">
        <v>137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18" customHeight="1" x14ac:dyDescent="0.25">
      <c r="A4" s="10" t="s">
        <v>138</v>
      </c>
      <c r="B4" s="10" t="s">
        <v>139</v>
      </c>
      <c r="C4" s="10" t="s">
        <v>140</v>
      </c>
      <c r="D4" s="10" t="s">
        <v>141</v>
      </c>
      <c r="E4" s="10" t="s">
        <v>142</v>
      </c>
      <c r="F4" s="10" t="s">
        <v>143</v>
      </c>
      <c r="G4" s="10" t="s">
        <v>144</v>
      </c>
      <c r="H4" s="10" t="s">
        <v>145</v>
      </c>
      <c r="I4" s="10" t="s">
        <v>146</v>
      </c>
      <c r="J4" s="10" t="s">
        <v>147</v>
      </c>
      <c r="K4" s="10" t="s">
        <v>148</v>
      </c>
      <c r="L4" s="10" t="s">
        <v>149</v>
      </c>
      <c r="M4" s="10" t="s">
        <v>150</v>
      </c>
      <c r="N4" s="10" t="s">
        <v>151</v>
      </c>
      <c r="O4" s="10" t="s">
        <v>152</v>
      </c>
      <c r="P4" s="10" t="s">
        <v>153</v>
      </c>
      <c r="Q4" s="10" t="s">
        <v>154</v>
      </c>
      <c r="R4" s="10" t="s">
        <v>155</v>
      </c>
      <c r="S4" s="10" t="s">
        <v>156</v>
      </c>
      <c r="T4" s="10" t="s">
        <v>157</v>
      </c>
      <c r="U4" s="10" t="s">
        <v>158</v>
      </c>
      <c r="V4" s="10" t="s">
        <v>159</v>
      </c>
      <c r="W4" s="10" t="s">
        <v>160</v>
      </c>
    </row>
    <row r="5" spans="1:23" ht="18" customHeight="1" x14ac:dyDescent="0.25">
      <c r="A5" s="11" t="str">
        <f>NGS_Bacteria_Input!A5</f>
        <v>Bac_taxon_1</v>
      </c>
      <c r="B5" s="21">
        <f>(Inputs!$D$12*Inputs!$I$12*B22+Inputs!$D$13*Inputs!$I$13*B50+Inputs!$D$14*Inputs!$I$14*B78+Inputs!$D$15*Inputs!$I$15*B106+Inputs!$D$16*Inputs!$I$16*B134)/(Inputs!$D$12*Inputs!$I$12+Inputs!$D$13*Inputs!$I$13+Inputs!$D$14*Inputs!$I$14+Inputs!$D$15*Inputs!$I$15+Inputs!$D$16*Inputs!$I$16)</f>
        <v>0</v>
      </c>
      <c r="C5" s="21">
        <f>(Inputs!$D$12*Inputs!$I$12*C22+Inputs!$D$13*Inputs!$I$13*C50+Inputs!$D$14*Inputs!$I$14*C78+Inputs!$D$15*Inputs!$I$15*C106+Inputs!$D$16*Inputs!$I$16*C134)/(Inputs!$D$12*Inputs!$I$12+Inputs!$D$13*Inputs!$I$13+Inputs!$D$14*Inputs!$I$14+Inputs!$D$15*Inputs!$I$15+Inputs!$D$16*Inputs!$I$16)</f>
        <v>0</v>
      </c>
      <c r="D5" s="21">
        <f>(Inputs!$D$12*Inputs!$I$12*D22+Inputs!$D$13*Inputs!$I$13*D50+Inputs!$D$14*Inputs!$I$14*D78+Inputs!$D$15*Inputs!$I$15*D106+Inputs!$D$16*Inputs!$I$16*D134)/(Inputs!$D$12*Inputs!$I$12+Inputs!$D$13*Inputs!$I$13+Inputs!$D$14*Inputs!$I$14+Inputs!$D$15*Inputs!$I$15+Inputs!$D$16*Inputs!$I$16)</f>
        <v>0</v>
      </c>
      <c r="E5" s="21">
        <f>(Inputs!$D$12*Inputs!$I$12*E22+Inputs!$D$13*Inputs!$I$13*E50+Inputs!$D$14*Inputs!$I$14*E78+Inputs!$D$15*Inputs!$I$15*E106+Inputs!$D$16*Inputs!$I$16*E134)/(Inputs!$D$12*Inputs!$I$12+Inputs!$D$13*Inputs!$I$13+Inputs!$D$14*Inputs!$I$14+Inputs!$D$15*Inputs!$I$15+Inputs!$D$16*Inputs!$I$16)</f>
        <v>0</v>
      </c>
      <c r="F5" s="21">
        <f>(Inputs!$D$12*Inputs!$I$12*F22+Inputs!$D$13*Inputs!$I$13*F50+Inputs!$D$14*Inputs!$I$14*F78+Inputs!$D$15*Inputs!$I$15*F106+Inputs!$D$16*Inputs!$I$16*F134)/(Inputs!$D$12*Inputs!$I$12+Inputs!$D$13*Inputs!$I$13+Inputs!$D$14*Inputs!$I$14+Inputs!$D$15*Inputs!$I$15+Inputs!$D$16*Inputs!$I$16)</f>
        <v>0</v>
      </c>
      <c r="G5" s="21">
        <f>(Inputs!$D$12*Inputs!$I$12*G22+Inputs!$D$13*Inputs!$I$13*G50+Inputs!$D$14*Inputs!$I$14*G78+Inputs!$D$15*Inputs!$I$15*G106+Inputs!$D$16*Inputs!$I$16*G134)/(Inputs!$D$12*Inputs!$I$12+Inputs!$D$13*Inputs!$I$13+Inputs!$D$14*Inputs!$I$14+Inputs!$D$15*Inputs!$I$15+Inputs!$D$16*Inputs!$I$16)</f>
        <v>0</v>
      </c>
      <c r="H5" s="21">
        <f>(Inputs!$D$12*Inputs!$I$12*H22+Inputs!$D$13*Inputs!$I$13*H50+Inputs!$D$14*Inputs!$I$14*H78+Inputs!$D$15*Inputs!$I$15*H106+Inputs!$D$16*Inputs!$I$16*H134)/(Inputs!$D$12*Inputs!$I$12+Inputs!$D$13*Inputs!$I$13+Inputs!$D$14*Inputs!$I$14+Inputs!$D$15*Inputs!$I$15+Inputs!$D$16*Inputs!$I$16)</f>
        <v>0</v>
      </c>
      <c r="I5" s="21">
        <f>(Inputs!$D$12*Inputs!$I$12*I22+Inputs!$D$13*Inputs!$I$13*I50+Inputs!$D$14*Inputs!$I$14*I78+Inputs!$D$15*Inputs!$I$15*I106+Inputs!$D$16*Inputs!$I$16*I134)/(Inputs!$D$12*Inputs!$I$12+Inputs!$D$13*Inputs!$I$13+Inputs!$D$14*Inputs!$I$14+Inputs!$D$15*Inputs!$I$15+Inputs!$D$16*Inputs!$I$16)</f>
        <v>0</v>
      </c>
      <c r="J5" s="21">
        <f>(Inputs!$D$12*Inputs!$I$12*J22+Inputs!$D$13*Inputs!$I$13*J50+Inputs!$D$14*Inputs!$I$14*J78+Inputs!$D$15*Inputs!$I$15*J106+Inputs!$D$16*Inputs!$I$16*J134)/(Inputs!$D$12*Inputs!$I$12+Inputs!$D$13*Inputs!$I$13+Inputs!$D$14*Inputs!$I$14+Inputs!$D$15*Inputs!$I$15+Inputs!$D$16*Inputs!$I$16)</f>
        <v>0</v>
      </c>
      <c r="K5" s="21">
        <f>(Inputs!$D$12*Inputs!$I$12*K22+Inputs!$D$13*Inputs!$I$13*K50+Inputs!$D$14*Inputs!$I$14*K78+Inputs!$D$15*Inputs!$I$15*K106+Inputs!$D$16*Inputs!$I$16*K134)/(Inputs!$D$12*Inputs!$I$12+Inputs!$D$13*Inputs!$I$13+Inputs!$D$14*Inputs!$I$14+Inputs!$D$15*Inputs!$I$15+Inputs!$D$16*Inputs!$I$16)</f>
        <v>0</v>
      </c>
      <c r="L5" s="21">
        <f>(Inputs!$D$12*Inputs!$I$12*L22+Inputs!$D$13*Inputs!$I$13*L50+Inputs!$D$14*Inputs!$I$14*L78+Inputs!$D$15*Inputs!$I$15*L106+Inputs!$D$16*Inputs!$I$16*L134)/(Inputs!$D$12*Inputs!$I$12+Inputs!$D$13*Inputs!$I$13+Inputs!$D$14*Inputs!$I$14+Inputs!$D$15*Inputs!$I$15+Inputs!$D$16*Inputs!$I$16)</f>
        <v>0</v>
      </c>
      <c r="M5" s="21">
        <f>(Inputs!$D$12*Inputs!$I$12*M22+Inputs!$D$13*Inputs!$I$13*M50+Inputs!$D$14*Inputs!$I$14*M78+Inputs!$D$15*Inputs!$I$15*M106+Inputs!$D$16*Inputs!$I$16*M134)/(Inputs!$D$12*Inputs!$I$12+Inputs!$D$13*Inputs!$I$13+Inputs!$D$14*Inputs!$I$14+Inputs!$D$15*Inputs!$I$15+Inputs!$D$16*Inputs!$I$16)</f>
        <v>0</v>
      </c>
      <c r="N5" s="21">
        <f>(Inputs!$D$12*Inputs!$I$12*N22+Inputs!$D$13*Inputs!$I$13*N50+Inputs!$D$14*Inputs!$I$14*N78+Inputs!$D$15*Inputs!$I$15*N106+Inputs!$D$16*Inputs!$I$16*N134)/(Inputs!$D$12*Inputs!$I$12+Inputs!$D$13*Inputs!$I$13+Inputs!$D$14*Inputs!$I$14+Inputs!$D$15*Inputs!$I$15+Inputs!$D$16*Inputs!$I$16)</f>
        <v>0</v>
      </c>
      <c r="O5" s="21">
        <f>(Inputs!$D$12*Inputs!$I$12*O22+Inputs!$D$13*Inputs!$I$13*O50+Inputs!$D$14*Inputs!$I$14*O78+Inputs!$D$15*Inputs!$I$15*O106+Inputs!$D$16*Inputs!$I$16*O134)/(Inputs!$D$12*Inputs!$I$12+Inputs!$D$13*Inputs!$I$13+Inputs!$D$14*Inputs!$I$14+Inputs!$D$15*Inputs!$I$15+Inputs!$D$16*Inputs!$I$16)</f>
        <v>0</v>
      </c>
      <c r="P5" s="21">
        <f>(Inputs!$D$12*Inputs!$I$12*P22+Inputs!$D$13*Inputs!$I$13*P50+Inputs!$D$14*Inputs!$I$14*P78+Inputs!$D$15*Inputs!$I$15*P106+Inputs!$D$16*Inputs!$I$16*P134)/(Inputs!$D$12*Inputs!$I$12+Inputs!$D$13*Inputs!$I$13+Inputs!$D$14*Inputs!$I$14+Inputs!$D$15*Inputs!$I$15+Inputs!$D$16*Inputs!$I$16)</f>
        <v>0</v>
      </c>
      <c r="Q5" s="21">
        <f>(Inputs!$D$12*Inputs!$I$12*Q22+Inputs!$D$13*Inputs!$I$13*Q50+Inputs!$D$14*Inputs!$I$14*Q78+Inputs!$D$15*Inputs!$I$15*Q106+Inputs!$D$16*Inputs!$I$16*Q134)/(Inputs!$D$12*Inputs!$I$12+Inputs!$D$13*Inputs!$I$13+Inputs!$D$14*Inputs!$I$14+Inputs!$D$15*Inputs!$I$15+Inputs!$D$16*Inputs!$I$16)</f>
        <v>0</v>
      </c>
      <c r="R5" s="21">
        <f>(Inputs!$D$12*Inputs!$I$12*R22+Inputs!$D$13*Inputs!$I$13*R50+Inputs!$D$14*Inputs!$I$14*R78+Inputs!$D$15*Inputs!$I$15*R106+Inputs!$D$16*Inputs!$I$16*R134)/(Inputs!$D$12*Inputs!$I$12+Inputs!$D$13*Inputs!$I$13+Inputs!$D$14*Inputs!$I$14+Inputs!$D$15*Inputs!$I$15+Inputs!$D$16*Inputs!$I$16)</f>
        <v>0</v>
      </c>
      <c r="S5" s="21">
        <f>(Inputs!$D$12*Inputs!$I$12*S22+Inputs!$D$13*Inputs!$I$13*S50+Inputs!$D$14*Inputs!$I$14*S78+Inputs!$D$15*Inputs!$I$15*S106+Inputs!$D$16*Inputs!$I$16*S134)/(Inputs!$D$12*Inputs!$I$12+Inputs!$D$13*Inputs!$I$13+Inputs!$D$14*Inputs!$I$14+Inputs!$D$15*Inputs!$I$15+Inputs!$D$16*Inputs!$I$16)</f>
        <v>0</v>
      </c>
      <c r="T5" s="21">
        <f>(Inputs!$D$12*Inputs!$I$12*T22+Inputs!$D$13*Inputs!$I$13*T50+Inputs!$D$14*Inputs!$I$14*T78+Inputs!$D$15*Inputs!$I$15*T106+Inputs!$D$16*Inputs!$I$16*T134)/(Inputs!$D$12*Inputs!$I$12+Inputs!$D$13*Inputs!$I$13+Inputs!$D$14*Inputs!$I$14+Inputs!$D$15*Inputs!$I$15+Inputs!$D$16*Inputs!$I$16)</f>
        <v>0</v>
      </c>
      <c r="U5" s="21">
        <f>(Inputs!$D$12*Inputs!$I$12*U22+Inputs!$D$13*Inputs!$I$13*U50+Inputs!$D$14*Inputs!$I$14*U78+Inputs!$D$15*Inputs!$I$15*U106+Inputs!$D$16*Inputs!$I$16*U134)/(Inputs!$D$12*Inputs!$I$12+Inputs!$D$13*Inputs!$I$13+Inputs!$D$14*Inputs!$I$14+Inputs!$D$15*Inputs!$I$15+Inputs!$D$16*Inputs!$I$16)</f>
        <v>0</v>
      </c>
      <c r="V5" s="21">
        <f>(Inputs!$D$12*Inputs!$I$12*V22+Inputs!$D$13*Inputs!$I$13*V50+Inputs!$D$14*Inputs!$I$14*V78+Inputs!$D$15*Inputs!$I$15*V106+Inputs!$D$16*Inputs!$I$16*V134)/(Inputs!$D$12*Inputs!$I$12+Inputs!$D$13*Inputs!$I$13+Inputs!$D$14*Inputs!$I$14+Inputs!$D$15*Inputs!$I$15+Inputs!$D$16*Inputs!$I$16)</f>
        <v>0</v>
      </c>
      <c r="W5" s="21">
        <f>(Inputs!$D$12*Inputs!$I$12*W22+Inputs!$D$13*Inputs!$I$13*W50+Inputs!$D$14*Inputs!$I$14*W78+Inputs!$D$15*Inputs!$I$15*W106+Inputs!$D$16*Inputs!$I$16*W134)/(Inputs!$D$12*Inputs!$I$12+Inputs!$D$13*Inputs!$I$13+Inputs!$D$14*Inputs!$I$14+Inputs!$D$15*Inputs!$I$15+Inputs!$D$16*Inputs!$I$16)</f>
        <v>0</v>
      </c>
    </row>
    <row r="6" spans="1:23" ht="18" customHeight="1" x14ac:dyDescent="0.25">
      <c r="A6" s="11" t="str">
        <f>NGS_Bacteria_Input!A6</f>
        <v>Bac_taxon_2</v>
      </c>
      <c r="B6" s="21">
        <f>(Inputs!$D$12*Inputs!$I$12*B23+Inputs!$D$13*Inputs!$I$13*B51+Inputs!$D$14*Inputs!$I$14*B79+Inputs!$D$15*Inputs!$I$15*B107+Inputs!$D$16*Inputs!$I$16*B135)/(Inputs!$D$12*Inputs!$I$12+Inputs!$D$13*Inputs!$I$13+Inputs!$D$14*Inputs!$I$14+Inputs!$D$15*Inputs!$I$15+Inputs!$D$16*Inputs!$I$16)</f>
        <v>0</v>
      </c>
      <c r="C6" s="21">
        <f>(Inputs!$D$12*Inputs!$I$12*C23+Inputs!$D$13*Inputs!$I$13*C51+Inputs!$D$14*Inputs!$I$14*C79+Inputs!$D$15*Inputs!$I$15*C107+Inputs!$D$16*Inputs!$I$16*C135)/(Inputs!$D$12*Inputs!$I$12+Inputs!$D$13*Inputs!$I$13+Inputs!$D$14*Inputs!$I$14+Inputs!$D$15*Inputs!$I$15+Inputs!$D$16*Inputs!$I$16)</f>
        <v>0</v>
      </c>
      <c r="D6" s="21">
        <f>(Inputs!$D$12*Inputs!$I$12*D23+Inputs!$D$13*Inputs!$I$13*D51+Inputs!$D$14*Inputs!$I$14*D79+Inputs!$D$15*Inputs!$I$15*D107+Inputs!$D$16*Inputs!$I$16*D135)/(Inputs!$D$12*Inputs!$I$12+Inputs!$D$13*Inputs!$I$13+Inputs!$D$14*Inputs!$I$14+Inputs!$D$15*Inputs!$I$15+Inputs!$D$16*Inputs!$I$16)</f>
        <v>0</v>
      </c>
      <c r="E6" s="21">
        <f>(Inputs!$D$12*Inputs!$I$12*E23+Inputs!$D$13*Inputs!$I$13*E51+Inputs!$D$14*Inputs!$I$14*E79+Inputs!$D$15*Inputs!$I$15*E107+Inputs!$D$16*Inputs!$I$16*E135)/(Inputs!$D$12*Inputs!$I$12+Inputs!$D$13*Inputs!$I$13+Inputs!$D$14*Inputs!$I$14+Inputs!$D$15*Inputs!$I$15+Inputs!$D$16*Inputs!$I$16)</f>
        <v>0</v>
      </c>
      <c r="F6" s="21">
        <f>(Inputs!$D$12*Inputs!$I$12*F23+Inputs!$D$13*Inputs!$I$13*F51+Inputs!$D$14*Inputs!$I$14*F79+Inputs!$D$15*Inputs!$I$15*F107+Inputs!$D$16*Inputs!$I$16*F135)/(Inputs!$D$12*Inputs!$I$12+Inputs!$D$13*Inputs!$I$13+Inputs!$D$14*Inputs!$I$14+Inputs!$D$15*Inputs!$I$15+Inputs!$D$16*Inputs!$I$16)</f>
        <v>0</v>
      </c>
      <c r="G6" s="21">
        <f>(Inputs!$D$12*Inputs!$I$12*G23+Inputs!$D$13*Inputs!$I$13*G51+Inputs!$D$14*Inputs!$I$14*G79+Inputs!$D$15*Inputs!$I$15*G107+Inputs!$D$16*Inputs!$I$16*G135)/(Inputs!$D$12*Inputs!$I$12+Inputs!$D$13*Inputs!$I$13+Inputs!$D$14*Inputs!$I$14+Inputs!$D$15*Inputs!$I$15+Inputs!$D$16*Inputs!$I$16)</f>
        <v>0</v>
      </c>
      <c r="H6" s="21">
        <f>(Inputs!$D$12*Inputs!$I$12*H23+Inputs!$D$13*Inputs!$I$13*H51+Inputs!$D$14*Inputs!$I$14*H79+Inputs!$D$15*Inputs!$I$15*H107+Inputs!$D$16*Inputs!$I$16*H135)/(Inputs!$D$12*Inputs!$I$12+Inputs!$D$13*Inputs!$I$13+Inputs!$D$14*Inputs!$I$14+Inputs!$D$15*Inputs!$I$15+Inputs!$D$16*Inputs!$I$16)</f>
        <v>0</v>
      </c>
      <c r="I6" s="21">
        <f>(Inputs!$D$12*Inputs!$I$12*I23+Inputs!$D$13*Inputs!$I$13*I51+Inputs!$D$14*Inputs!$I$14*I79+Inputs!$D$15*Inputs!$I$15*I107+Inputs!$D$16*Inputs!$I$16*I135)/(Inputs!$D$12*Inputs!$I$12+Inputs!$D$13*Inputs!$I$13+Inputs!$D$14*Inputs!$I$14+Inputs!$D$15*Inputs!$I$15+Inputs!$D$16*Inputs!$I$16)</f>
        <v>0</v>
      </c>
      <c r="J6" s="21">
        <f>(Inputs!$D$12*Inputs!$I$12*J23+Inputs!$D$13*Inputs!$I$13*J51+Inputs!$D$14*Inputs!$I$14*J79+Inputs!$D$15*Inputs!$I$15*J107+Inputs!$D$16*Inputs!$I$16*J135)/(Inputs!$D$12*Inputs!$I$12+Inputs!$D$13*Inputs!$I$13+Inputs!$D$14*Inputs!$I$14+Inputs!$D$15*Inputs!$I$15+Inputs!$D$16*Inputs!$I$16)</f>
        <v>0</v>
      </c>
      <c r="K6" s="21">
        <f>(Inputs!$D$12*Inputs!$I$12*K23+Inputs!$D$13*Inputs!$I$13*K51+Inputs!$D$14*Inputs!$I$14*K79+Inputs!$D$15*Inputs!$I$15*K107+Inputs!$D$16*Inputs!$I$16*K135)/(Inputs!$D$12*Inputs!$I$12+Inputs!$D$13*Inputs!$I$13+Inputs!$D$14*Inputs!$I$14+Inputs!$D$15*Inputs!$I$15+Inputs!$D$16*Inputs!$I$16)</f>
        <v>0</v>
      </c>
      <c r="L6" s="21">
        <f>(Inputs!$D$12*Inputs!$I$12*L23+Inputs!$D$13*Inputs!$I$13*L51+Inputs!$D$14*Inputs!$I$14*L79+Inputs!$D$15*Inputs!$I$15*L107+Inputs!$D$16*Inputs!$I$16*L135)/(Inputs!$D$12*Inputs!$I$12+Inputs!$D$13*Inputs!$I$13+Inputs!$D$14*Inputs!$I$14+Inputs!$D$15*Inputs!$I$15+Inputs!$D$16*Inputs!$I$16)</f>
        <v>0</v>
      </c>
      <c r="M6" s="21">
        <f>(Inputs!$D$12*Inputs!$I$12*M23+Inputs!$D$13*Inputs!$I$13*M51+Inputs!$D$14*Inputs!$I$14*M79+Inputs!$D$15*Inputs!$I$15*M107+Inputs!$D$16*Inputs!$I$16*M135)/(Inputs!$D$12*Inputs!$I$12+Inputs!$D$13*Inputs!$I$13+Inputs!$D$14*Inputs!$I$14+Inputs!$D$15*Inputs!$I$15+Inputs!$D$16*Inputs!$I$16)</f>
        <v>0</v>
      </c>
      <c r="N6" s="21">
        <f>(Inputs!$D$12*Inputs!$I$12*N23+Inputs!$D$13*Inputs!$I$13*N51+Inputs!$D$14*Inputs!$I$14*N79+Inputs!$D$15*Inputs!$I$15*N107+Inputs!$D$16*Inputs!$I$16*N135)/(Inputs!$D$12*Inputs!$I$12+Inputs!$D$13*Inputs!$I$13+Inputs!$D$14*Inputs!$I$14+Inputs!$D$15*Inputs!$I$15+Inputs!$D$16*Inputs!$I$16)</f>
        <v>0</v>
      </c>
      <c r="O6" s="21">
        <f>(Inputs!$D$12*Inputs!$I$12*O23+Inputs!$D$13*Inputs!$I$13*O51+Inputs!$D$14*Inputs!$I$14*O79+Inputs!$D$15*Inputs!$I$15*O107+Inputs!$D$16*Inputs!$I$16*O135)/(Inputs!$D$12*Inputs!$I$12+Inputs!$D$13*Inputs!$I$13+Inputs!$D$14*Inputs!$I$14+Inputs!$D$15*Inputs!$I$15+Inputs!$D$16*Inputs!$I$16)</f>
        <v>0</v>
      </c>
      <c r="P6" s="21">
        <f>(Inputs!$D$12*Inputs!$I$12*P23+Inputs!$D$13*Inputs!$I$13*P51+Inputs!$D$14*Inputs!$I$14*P79+Inputs!$D$15*Inputs!$I$15*P107+Inputs!$D$16*Inputs!$I$16*P135)/(Inputs!$D$12*Inputs!$I$12+Inputs!$D$13*Inputs!$I$13+Inputs!$D$14*Inputs!$I$14+Inputs!$D$15*Inputs!$I$15+Inputs!$D$16*Inputs!$I$16)</f>
        <v>0</v>
      </c>
      <c r="Q6" s="21">
        <f>(Inputs!$D$12*Inputs!$I$12*Q23+Inputs!$D$13*Inputs!$I$13*Q51+Inputs!$D$14*Inputs!$I$14*Q79+Inputs!$D$15*Inputs!$I$15*Q107+Inputs!$D$16*Inputs!$I$16*Q135)/(Inputs!$D$12*Inputs!$I$12+Inputs!$D$13*Inputs!$I$13+Inputs!$D$14*Inputs!$I$14+Inputs!$D$15*Inputs!$I$15+Inputs!$D$16*Inputs!$I$16)</f>
        <v>0</v>
      </c>
      <c r="R6" s="21">
        <f>(Inputs!$D$12*Inputs!$I$12*R23+Inputs!$D$13*Inputs!$I$13*R51+Inputs!$D$14*Inputs!$I$14*R79+Inputs!$D$15*Inputs!$I$15*R107+Inputs!$D$16*Inputs!$I$16*R135)/(Inputs!$D$12*Inputs!$I$12+Inputs!$D$13*Inputs!$I$13+Inputs!$D$14*Inputs!$I$14+Inputs!$D$15*Inputs!$I$15+Inputs!$D$16*Inputs!$I$16)</f>
        <v>0</v>
      </c>
      <c r="S6" s="21">
        <f>(Inputs!$D$12*Inputs!$I$12*S23+Inputs!$D$13*Inputs!$I$13*S51+Inputs!$D$14*Inputs!$I$14*S79+Inputs!$D$15*Inputs!$I$15*S107+Inputs!$D$16*Inputs!$I$16*S135)/(Inputs!$D$12*Inputs!$I$12+Inputs!$D$13*Inputs!$I$13+Inputs!$D$14*Inputs!$I$14+Inputs!$D$15*Inputs!$I$15+Inputs!$D$16*Inputs!$I$16)</f>
        <v>0</v>
      </c>
      <c r="T6" s="21">
        <f>(Inputs!$D$12*Inputs!$I$12*T23+Inputs!$D$13*Inputs!$I$13*T51+Inputs!$D$14*Inputs!$I$14*T79+Inputs!$D$15*Inputs!$I$15*T107+Inputs!$D$16*Inputs!$I$16*T135)/(Inputs!$D$12*Inputs!$I$12+Inputs!$D$13*Inputs!$I$13+Inputs!$D$14*Inputs!$I$14+Inputs!$D$15*Inputs!$I$15+Inputs!$D$16*Inputs!$I$16)</f>
        <v>0</v>
      </c>
      <c r="U6" s="21">
        <f>(Inputs!$D$12*Inputs!$I$12*U23+Inputs!$D$13*Inputs!$I$13*U51+Inputs!$D$14*Inputs!$I$14*U79+Inputs!$D$15*Inputs!$I$15*U107+Inputs!$D$16*Inputs!$I$16*U135)/(Inputs!$D$12*Inputs!$I$12+Inputs!$D$13*Inputs!$I$13+Inputs!$D$14*Inputs!$I$14+Inputs!$D$15*Inputs!$I$15+Inputs!$D$16*Inputs!$I$16)</f>
        <v>0</v>
      </c>
      <c r="V6" s="21">
        <f>(Inputs!$D$12*Inputs!$I$12*V23+Inputs!$D$13*Inputs!$I$13*V51+Inputs!$D$14*Inputs!$I$14*V79+Inputs!$D$15*Inputs!$I$15*V107+Inputs!$D$16*Inputs!$I$16*V135)/(Inputs!$D$12*Inputs!$I$12+Inputs!$D$13*Inputs!$I$13+Inputs!$D$14*Inputs!$I$14+Inputs!$D$15*Inputs!$I$15+Inputs!$D$16*Inputs!$I$16)</f>
        <v>0</v>
      </c>
      <c r="W6" s="21">
        <f>(Inputs!$D$12*Inputs!$I$12*W23+Inputs!$D$13*Inputs!$I$13*W51+Inputs!$D$14*Inputs!$I$14*W79+Inputs!$D$15*Inputs!$I$15*W107+Inputs!$D$16*Inputs!$I$16*W135)/(Inputs!$D$12*Inputs!$I$12+Inputs!$D$13*Inputs!$I$13+Inputs!$D$14*Inputs!$I$14+Inputs!$D$15*Inputs!$I$15+Inputs!$D$16*Inputs!$I$16)</f>
        <v>0</v>
      </c>
    </row>
    <row r="7" spans="1:23" ht="18" customHeight="1" x14ac:dyDescent="0.25">
      <c r="A7" s="11" t="str">
        <f>NGS_Bacteria_Input!A7</f>
        <v>Bac_taxon_3</v>
      </c>
      <c r="B7" s="21">
        <f>(Inputs!$D$12*Inputs!$I$12*B24+Inputs!$D$13*Inputs!$I$13*B52+Inputs!$D$14*Inputs!$I$14*B80+Inputs!$D$15*Inputs!$I$15*B108+Inputs!$D$16*Inputs!$I$16*B136)/(Inputs!$D$12*Inputs!$I$12+Inputs!$D$13*Inputs!$I$13+Inputs!$D$14*Inputs!$I$14+Inputs!$D$15*Inputs!$I$15+Inputs!$D$16*Inputs!$I$16)</f>
        <v>0</v>
      </c>
      <c r="C7" s="21">
        <f>(Inputs!$D$12*Inputs!$I$12*C24+Inputs!$D$13*Inputs!$I$13*C52+Inputs!$D$14*Inputs!$I$14*C80+Inputs!$D$15*Inputs!$I$15*C108+Inputs!$D$16*Inputs!$I$16*C136)/(Inputs!$D$12*Inputs!$I$12+Inputs!$D$13*Inputs!$I$13+Inputs!$D$14*Inputs!$I$14+Inputs!$D$15*Inputs!$I$15+Inputs!$D$16*Inputs!$I$16)</f>
        <v>0</v>
      </c>
      <c r="D7" s="21">
        <f>(Inputs!$D$12*Inputs!$I$12*D24+Inputs!$D$13*Inputs!$I$13*D52+Inputs!$D$14*Inputs!$I$14*D80+Inputs!$D$15*Inputs!$I$15*D108+Inputs!$D$16*Inputs!$I$16*D136)/(Inputs!$D$12*Inputs!$I$12+Inputs!$D$13*Inputs!$I$13+Inputs!$D$14*Inputs!$I$14+Inputs!$D$15*Inputs!$I$15+Inputs!$D$16*Inputs!$I$16)</f>
        <v>0</v>
      </c>
      <c r="E7" s="21">
        <f>(Inputs!$D$12*Inputs!$I$12*E24+Inputs!$D$13*Inputs!$I$13*E52+Inputs!$D$14*Inputs!$I$14*E80+Inputs!$D$15*Inputs!$I$15*E108+Inputs!$D$16*Inputs!$I$16*E136)/(Inputs!$D$12*Inputs!$I$12+Inputs!$D$13*Inputs!$I$13+Inputs!$D$14*Inputs!$I$14+Inputs!$D$15*Inputs!$I$15+Inputs!$D$16*Inputs!$I$16)</f>
        <v>0</v>
      </c>
      <c r="F7" s="21">
        <f>(Inputs!$D$12*Inputs!$I$12*F24+Inputs!$D$13*Inputs!$I$13*F52+Inputs!$D$14*Inputs!$I$14*F80+Inputs!$D$15*Inputs!$I$15*F108+Inputs!$D$16*Inputs!$I$16*F136)/(Inputs!$D$12*Inputs!$I$12+Inputs!$D$13*Inputs!$I$13+Inputs!$D$14*Inputs!$I$14+Inputs!$D$15*Inputs!$I$15+Inputs!$D$16*Inputs!$I$16)</f>
        <v>0</v>
      </c>
      <c r="G7" s="21">
        <f>(Inputs!$D$12*Inputs!$I$12*G24+Inputs!$D$13*Inputs!$I$13*G52+Inputs!$D$14*Inputs!$I$14*G80+Inputs!$D$15*Inputs!$I$15*G108+Inputs!$D$16*Inputs!$I$16*G136)/(Inputs!$D$12*Inputs!$I$12+Inputs!$D$13*Inputs!$I$13+Inputs!$D$14*Inputs!$I$14+Inputs!$D$15*Inputs!$I$15+Inputs!$D$16*Inputs!$I$16)</f>
        <v>0</v>
      </c>
      <c r="H7" s="21">
        <f>(Inputs!$D$12*Inputs!$I$12*H24+Inputs!$D$13*Inputs!$I$13*H52+Inputs!$D$14*Inputs!$I$14*H80+Inputs!$D$15*Inputs!$I$15*H108+Inputs!$D$16*Inputs!$I$16*H136)/(Inputs!$D$12*Inputs!$I$12+Inputs!$D$13*Inputs!$I$13+Inputs!$D$14*Inputs!$I$14+Inputs!$D$15*Inputs!$I$15+Inputs!$D$16*Inputs!$I$16)</f>
        <v>0</v>
      </c>
      <c r="I7" s="21">
        <f>(Inputs!$D$12*Inputs!$I$12*I24+Inputs!$D$13*Inputs!$I$13*I52+Inputs!$D$14*Inputs!$I$14*I80+Inputs!$D$15*Inputs!$I$15*I108+Inputs!$D$16*Inputs!$I$16*I136)/(Inputs!$D$12*Inputs!$I$12+Inputs!$D$13*Inputs!$I$13+Inputs!$D$14*Inputs!$I$14+Inputs!$D$15*Inputs!$I$15+Inputs!$D$16*Inputs!$I$16)</f>
        <v>0</v>
      </c>
      <c r="J7" s="21">
        <f>(Inputs!$D$12*Inputs!$I$12*J24+Inputs!$D$13*Inputs!$I$13*J52+Inputs!$D$14*Inputs!$I$14*J80+Inputs!$D$15*Inputs!$I$15*J108+Inputs!$D$16*Inputs!$I$16*J136)/(Inputs!$D$12*Inputs!$I$12+Inputs!$D$13*Inputs!$I$13+Inputs!$D$14*Inputs!$I$14+Inputs!$D$15*Inputs!$I$15+Inputs!$D$16*Inputs!$I$16)</f>
        <v>0</v>
      </c>
      <c r="K7" s="21">
        <f>(Inputs!$D$12*Inputs!$I$12*K24+Inputs!$D$13*Inputs!$I$13*K52+Inputs!$D$14*Inputs!$I$14*K80+Inputs!$D$15*Inputs!$I$15*K108+Inputs!$D$16*Inputs!$I$16*K136)/(Inputs!$D$12*Inputs!$I$12+Inputs!$D$13*Inputs!$I$13+Inputs!$D$14*Inputs!$I$14+Inputs!$D$15*Inputs!$I$15+Inputs!$D$16*Inputs!$I$16)</f>
        <v>0</v>
      </c>
      <c r="L7" s="21">
        <f>(Inputs!$D$12*Inputs!$I$12*L24+Inputs!$D$13*Inputs!$I$13*L52+Inputs!$D$14*Inputs!$I$14*L80+Inputs!$D$15*Inputs!$I$15*L108+Inputs!$D$16*Inputs!$I$16*L136)/(Inputs!$D$12*Inputs!$I$12+Inputs!$D$13*Inputs!$I$13+Inputs!$D$14*Inputs!$I$14+Inputs!$D$15*Inputs!$I$15+Inputs!$D$16*Inputs!$I$16)</f>
        <v>0</v>
      </c>
      <c r="M7" s="21">
        <f>(Inputs!$D$12*Inputs!$I$12*M24+Inputs!$D$13*Inputs!$I$13*M52+Inputs!$D$14*Inputs!$I$14*M80+Inputs!$D$15*Inputs!$I$15*M108+Inputs!$D$16*Inputs!$I$16*M136)/(Inputs!$D$12*Inputs!$I$12+Inputs!$D$13*Inputs!$I$13+Inputs!$D$14*Inputs!$I$14+Inputs!$D$15*Inputs!$I$15+Inputs!$D$16*Inputs!$I$16)</f>
        <v>0</v>
      </c>
      <c r="N7" s="21">
        <f>(Inputs!$D$12*Inputs!$I$12*N24+Inputs!$D$13*Inputs!$I$13*N52+Inputs!$D$14*Inputs!$I$14*N80+Inputs!$D$15*Inputs!$I$15*N108+Inputs!$D$16*Inputs!$I$16*N136)/(Inputs!$D$12*Inputs!$I$12+Inputs!$D$13*Inputs!$I$13+Inputs!$D$14*Inputs!$I$14+Inputs!$D$15*Inputs!$I$15+Inputs!$D$16*Inputs!$I$16)</f>
        <v>0</v>
      </c>
      <c r="O7" s="21">
        <f>(Inputs!$D$12*Inputs!$I$12*O24+Inputs!$D$13*Inputs!$I$13*O52+Inputs!$D$14*Inputs!$I$14*O80+Inputs!$D$15*Inputs!$I$15*O108+Inputs!$D$16*Inputs!$I$16*O136)/(Inputs!$D$12*Inputs!$I$12+Inputs!$D$13*Inputs!$I$13+Inputs!$D$14*Inputs!$I$14+Inputs!$D$15*Inputs!$I$15+Inputs!$D$16*Inputs!$I$16)</f>
        <v>0</v>
      </c>
      <c r="P7" s="21">
        <f>(Inputs!$D$12*Inputs!$I$12*P24+Inputs!$D$13*Inputs!$I$13*P52+Inputs!$D$14*Inputs!$I$14*P80+Inputs!$D$15*Inputs!$I$15*P108+Inputs!$D$16*Inputs!$I$16*P136)/(Inputs!$D$12*Inputs!$I$12+Inputs!$D$13*Inputs!$I$13+Inputs!$D$14*Inputs!$I$14+Inputs!$D$15*Inputs!$I$15+Inputs!$D$16*Inputs!$I$16)</f>
        <v>0</v>
      </c>
      <c r="Q7" s="21">
        <f>(Inputs!$D$12*Inputs!$I$12*Q24+Inputs!$D$13*Inputs!$I$13*Q52+Inputs!$D$14*Inputs!$I$14*Q80+Inputs!$D$15*Inputs!$I$15*Q108+Inputs!$D$16*Inputs!$I$16*Q136)/(Inputs!$D$12*Inputs!$I$12+Inputs!$D$13*Inputs!$I$13+Inputs!$D$14*Inputs!$I$14+Inputs!$D$15*Inputs!$I$15+Inputs!$D$16*Inputs!$I$16)</f>
        <v>0</v>
      </c>
      <c r="R7" s="21">
        <f>(Inputs!$D$12*Inputs!$I$12*R24+Inputs!$D$13*Inputs!$I$13*R52+Inputs!$D$14*Inputs!$I$14*R80+Inputs!$D$15*Inputs!$I$15*R108+Inputs!$D$16*Inputs!$I$16*R136)/(Inputs!$D$12*Inputs!$I$12+Inputs!$D$13*Inputs!$I$13+Inputs!$D$14*Inputs!$I$14+Inputs!$D$15*Inputs!$I$15+Inputs!$D$16*Inputs!$I$16)</f>
        <v>0</v>
      </c>
      <c r="S7" s="21">
        <f>(Inputs!$D$12*Inputs!$I$12*S24+Inputs!$D$13*Inputs!$I$13*S52+Inputs!$D$14*Inputs!$I$14*S80+Inputs!$D$15*Inputs!$I$15*S108+Inputs!$D$16*Inputs!$I$16*S136)/(Inputs!$D$12*Inputs!$I$12+Inputs!$D$13*Inputs!$I$13+Inputs!$D$14*Inputs!$I$14+Inputs!$D$15*Inputs!$I$15+Inputs!$D$16*Inputs!$I$16)</f>
        <v>0</v>
      </c>
      <c r="T7" s="21">
        <f>(Inputs!$D$12*Inputs!$I$12*T24+Inputs!$D$13*Inputs!$I$13*T52+Inputs!$D$14*Inputs!$I$14*T80+Inputs!$D$15*Inputs!$I$15*T108+Inputs!$D$16*Inputs!$I$16*T136)/(Inputs!$D$12*Inputs!$I$12+Inputs!$D$13*Inputs!$I$13+Inputs!$D$14*Inputs!$I$14+Inputs!$D$15*Inputs!$I$15+Inputs!$D$16*Inputs!$I$16)</f>
        <v>0</v>
      </c>
      <c r="U7" s="21">
        <f>(Inputs!$D$12*Inputs!$I$12*U24+Inputs!$D$13*Inputs!$I$13*U52+Inputs!$D$14*Inputs!$I$14*U80+Inputs!$D$15*Inputs!$I$15*U108+Inputs!$D$16*Inputs!$I$16*U136)/(Inputs!$D$12*Inputs!$I$12+Inputs!$D$13*Inputs!$I$13+Inputs!$D$14*Inputs!$I$14+Inputs!$D$15*Inputs!$I$15+Inputs!$D$16*Inputs!$I$16)</f>
        <v>0</v>
      </c>
      <c r="V7" s="21">
        <f>(Inputs!$D$12*Inputs!$I$12*V24+Inputs!$D$13*Inputs!$I$13*V52+Inputs!$D$14*Inputs!$I$14*V80+Inputs!$D$15*Inputs!$I$15*V108+Inputs!$D$16*Inputs!$I$16*V136)/(Inputs!$D$12*Inputs!$I$12+Inputs!$D$13*Inputs!$I$13+Inputs!$D$14*Inputs!$I$14+Inputs!$D$15*Inputs!$I$15+Inputs!$D$16*Inputs!$I$16)</f>
        <v>0</v>
      </c>
      <c r="W7" s="21">
        <f>(Inputs!$D$12*Inputs!$I$12*W24+Inputs!$D$13*Inputs!$I$13*W52+Inputs!$D$14*Inputs!$I$14*W80+Inputs!$D$15*Inputs!$I$15*W108+Inputs!$D$16*Inputs!$I$16*W136)/(Inputs!$D$12*Inputs!$I$12+Inputs!$D$13*Inputs!$I$13+Inputs!$D$14*Inputs!$I$14+Inputs!$D$15*Inputs!$I$15+Inputs!$D$16*Inputs!$I$16)</f>
        <v>0</v>
      </c>
    </row>
    <row r="8" spans="1:23" ht="18" customHeight="1" x14ac:dyDescent="0.25">
      <c r="A8" s="11" t="str">
        <f>NGS_Bacteria_Input!A8</f>
        <v>Bac_taxon_4</v>
      </c>
      <c r="B8" s="21">
        <f>(Inputs!$D$12*Inputs!$I$12*B25+Inputs!$D$13*Inputs!$I$13*B53+Inputs!$D$14*Inputs!$I$14*B81+Inputs!$D$15*Inputs!$I$15*B109+Inputs!$D$16*Inputs!$I$16*B137)/(Inputs!$D$12*Inputs!$I$12+Inputs!$D$13*Inputs!$I$13+Inputs!$D$14*Inputs!$I$14+Inputs!$D$15*Inputs!$I$15+Inputs!$D$16*Inputs!$I$16)</f>
        <v>0</v>
      </c>
      <c r="C8" s="21">
        <f>(Inputs!$D$12*Inputs!$I$12*C25+Inputs!$D$13*Inputs!$I$13*C53+Inputs!$D$14*Inputs!$I$14*C81+Inputs!$D$15*Inputs!$I$15*C109+Inputs!$D$16*Inputs!$I$16*C137)/(Inputs!$D$12*Inputs!$I$12+Inputs!$D$13*Inputs!$I$13+Inputs!$D$14*Inputs!$I$14+Inputs!$D$15*Inputs!$I$15+Inputs!$D$16*Inputs!$I$16)</f>
        <v>0</v>
      </c>
      <c r="D8" s="21">
        <f>(Inputs!$D$12*Inputs!$I$12*D25+Inputs!$D$13*Inputs!$I$13*D53+Inputs!$D$14*Inputs!$I$14*D81+Inputs!$D$15*Inputs!$I$15*D109+Inputs!$D$16*Inputs!$I$16*D137)/(Inputs!$D$12*Inputs!$I$12+Inputs!$D$13*Inputs!$I$13+Inputs!$D$14*Inputs!$I$14+Inputs!$D$15*Inputs!$I$15+Inputs!$D$16*Inputs!$I$16)</f>
        <v>0</v>
      </c>
      <c r="E8" s="21">
        <f>(Inputs!$D$12*Inputs!$I$12*E25+Inputs!$D$13*Inputs!$I$13*E53+Inputs!$D$14*Inputs!$I$14*E81+Inputs!$D$15*Inputs!$I$15*E109+Inputs!$D$16*Inputs!$I$16*E137)/(Inputs!$D$12*Inputs!$I$12+Inputs!$D$13*Inputs!$I$13+Inputs!$D$14*Inputs!$I$14+Inputs!$D$15*Inputs!$I$15+Inputs!$D$16*Inputs!$I$16)</f>
        <v>0</v>
      </c>
      <c r="F8" s="21">
        <f>(Inputs!$D$12*Inputs!$I$12*F25+Inputs!$D$13*Inputs!$I$13*F53+Inputs!$D$14*Inputs!$I$14*F81+Inputs!$D$15*Inputs!$I$15*F109+Inputs!$D$16*Inputs!$I$16*F137)/(Inputs!$D$12*Inputs!$I$12+Inputs!$D$13*Inputs!$I$13+Inputs!$D$14*Inputs!$I$14+Inputs!$D$15*Inputs!$I$15+Inputs!$D$16*Inputs!$I$16)</f>
        <v>0</v>
      </c>
      <c r="G8" s="21">
        <f>(Inputs!$D$12*Inputs!$I$12*G25+Inputs!$D$13*Inputs!$I$13*G53+Inputs!$D$14*Inputs!$I$14*G81+Inputs!$D$15*Inputs!$I$15*G109+Inputs!$D$16*Inputs!$I$16*G137)/(Inputs!$D$12*Inputs!$I$12+Inputs!$D$13*Inputs!$I$13+Inputs!$D$14*Inputs!$I$14+Inputs!$D$15*Inputs!$I$15+Inputs!$D$16*Inputs!$I$16)</f>
        <v>0</v>
      </c>
      <c r="H8" s="21">
        <f>(Inputs!$D$12*Inputs!$I$12*H25+Inputs!$D$13*Inputs!$I$13*H53+Inputs!$D$14*Inputs!$I$14*H81+Inputs!$D$15*Inputs!$I$15*H109+Inputs!$D$16*Inputs!$I$16*H137)/(Inputs!$D$12*Inputs!$I$12+Inputs!$D$13*Inputs!$I$13+Inputs!$D$14*Inputs!$I$14+Inputs!$D$15*Inputs!$I$15+Inputs!$D$16*Inputs!$I$16)</f>
        <v>0</v>
      </c>
      <c r="I8" s="21">
        <f>(Inputs!$D$12*Inputs!$I$12*I25+Inputs!$D$13*Inputs!$I$13*I53+Inputs!$D$14*Inputs!$I$14*I81+Inputs!$D$15*Inputs!$I$15*I109+Inputs!$D$16*Inputs!$I$16*I137)/(Inputs!$D$12*Inputs!$I$12+Inputs!$D$13*Inputs!$I$13+Inputs!$D$14*Inputs!$I$14+Inputs!$D$15*Inputs!$I$15+Inputs!$D$16*Inputs!$I$16)</f>
        <v>0</v>
      </c>
      <c r="J8" s="21">
        <f>(Inputs!$D$12*Inputs!$I$12*J25+Inputs!$D$13*Inputs!$I$13*J53+Inputs!$D$14*Inputs!$I$14*J81+Inputs!$D$15*Inputs!$I$15*J109+Inputs!$D$16*Inputs!$I$16*J137)/(Inputs!$D$12*Inputs!$I$12+Inputs!$D$13*Inputs!$I$13+Inputs!$D$14*Inputs!$I$14+Inputs!$D$15*Inputs!$I$15+Inputs!$D$16*Inputs!$I$16)</f>
        <v>0</v>
      </c>
      <c r="K8" s="21">
        <f>(Inputs!$D$12*Inputs!$I$12*K25+Inputs!$D$13*Inputs!$I$13*K53+Inputs!$D$14*Inputs!$I$14*K81+Inputs!$D$15*Inputs!$I$15*K109+Inputs!$D$16*Inputs!$I$16*K137)/(Inputs!$D$12*Inputs!$I$12+Inputs!$D$13*Inputs!$I$13+Inputs!$D$14*Inputs!$I$14+Inputs!$D$15*Inputs!$I$15+Inputs!$D$16*Inputs!$I$16)</f>
        <v>0</v>
      </c>
      <c r="L8" s="21">
        <f>(Inputs!$D$12*Inputs!$I$12*L25+Inputs!$D$13*Inputs!$I$13*L53+Inputs!$D$14*Inputs!$I$14*L81+Inputs!$D$15*Inputs!$I$15*L109+Inputs!$D$16*Inputs!$I$16*L137)/(Inputs!$D$12*Inputs!$I$12+Inputs!$D$13*Inputs!$I$13+Inputs!$D$14*Inputs!$I$14+Inputs!$D$15*Inputs!$I$15+Inputs!$D$16*Inputs!$I$16)</f>
        <v>0</v>
      </c>
      <c r="M8" s="21">
        <f>(Inputs!$D$12*Inputs!$I$12*M25+Inputs!$D$13*Inputs!$I$13*M53+Inputs!$D$14*Inputs!$I$14*M81+Inputs!$D$15*Inputs!$I$15*M109+Inputs!$D$16*Inputs!$I$16*M137)/(Inputs!$D$12*Inputs!$I$12+Inputs!$D$13*Inputs!$I$13+Inputs!$D$14*Inputs!$I$14+Inputs!$D$15*Inputs!$I$15+Inputs!$D$16*Inputs!$I$16)</f>
        <v>0</v>
      </c>
      <c r="N8" s="21">
        <f>(Inputs!$D$12*Inputs!$I$12*N25+Inputs!$D$13*Inputs!$I$13*N53+Inputs!$D$14*Inputs!$I$14*N81+Inputs!$D$15*Inputs!$I$15*N109+Inputs!$D$16*Inputs!$I$16*N137)/(Inputs!$D$12*Inputs!$I$12+Inputs!$D$13*Inputs!$I$13+Inputs!$D$14*Inputs!$I$14+Inputs!$D$15*Inputs!$I$15+Inputs!$D$16*Inputs!$I$16)</f>
        <v>0</v>
      </c>
      <c r="O8" s="21">
        <f>(Inputs!$D$12*Inputs!$I$12*O25+Inputs!$D$13*Inputs!$I$13*O53+Inputs!$D$14*Inputs!$I$14*O81+Inputs!$D$15*Inputs!$I$15*O109+Inputs!$D$16*Inputs!$I$16*O137)/(Inputs!$D$12*Inputs!$I$12+Inputs!$D$13*Inputs!$I$13+Inputs!$D$14*Inputs!$I$14+Inputs!$D$15*Inputs!$I$15+Inputs!$D$16*Inputs!$I$16)</f>
        <v>0</v>
      </c>
      <c r="P8" s="21">
        <f>(Inputs!$D$12*Inputs!$I$12*P25+Inputs!$D$13*Inputs!$I$13*P53+Inputs!$D$14*Inputs!$I$14*P81+Inputs!$D$15*Inputs!$I$15*P109+Inputs!$D$16*Inputs!$I$16*P137)/(Inputs!$D$12*Inputs!$I$12+Inputs!$D$13*Inputs!$I$13+Inputs!$D$14*Inputs!$I$14+Inputs!$D$15*Inputs!$I$15+Inputs!$D$16*Inputs!$I$16)</f>
        <v>0</v>
      </c>
      <c r="Q8" s="21">
        <f>(Inputs!$D$12*Inputs!$I$12*Q25+Inputs!$D$13*Inputs!$I$13*Q53+Inputs!$D$14*Inputs!$I$14*Q81+Inputs!$D$15*Inputs!$I$15*Q109+Inputs!$D$16*Inputs!$I$16*Q137)/(Inputs!$D$12*Inputs!$I$12+Inputs!$D$13*Inputs!$I$13+Inputs!$D$14*Inputs!$I$14+Inputs!$D$15*Inputs!$I$15+Inputs!$D$16*Inputs!$I$16)</f>
        <v>0</v>
      </c>
      <c r="R8" s="21">
        <f>(Inputs!$D$12*Inputs!$I$12*R25+Inputs!$D$13*Inputs!$I$13*R53+Inputs!$D$14*Inputs!$I$14*R81+Inputs!$D$15*Inputs!$I$15*R109+Inputs!$D$16*Inputs!$I$16*R137)/(Inputs!$D$12*Inputs!$I$12+Inputs!$D$13*Inputs!$I$13+Inputs!$D$14*Inputs!$I$14+Inputs!$D$15*Inputs!$I$15+Inputs!$D$16*Inputs!$I$16)</f>
        <v>0</v>
      </c>
      <c r="S8" s="21">
        <f>(Inputs!$D$12*Inputs!$I$12*S25+Inputs!$D$13*Inputs!$I$13*S53+Inputs!$D$14*Inputs!$I$14*S81+Inputs!$D$15*Inputs!$I$15*S109+Inputs!$D$16*Inputs!$I$16*S137)/(Inputs!$D$12*Inputs!$I$12+Inputs!$D$13*Inputs!$I$13+Inputs!$D$14*Inputs!$I$14+Inputs!$D$15*Inputs!$I$15+Inputs!$D$16*Inputs!$I$16)</f>
        <v>0</v>
      </c>
      <c r="T8" s="21">
        <f>(Inputs!$D$12*Inputs!$I$12*T25+Inputs!$D$13*Inputs!$I$13*T53+Inputs!$D$14*Inputs!$I$14*T81+Inputs!$D$15*Inputs!$I$15*T109+Inputs!$D$16*Inputs!$I$16*T137)/(Inputs!$D$12*Inputs!$I$12+Inputs!$D$13*Inputs!$I$13+Inputs!$D$14*Inputs!$I$14+Inputs!$D$15*Inputs!$I$15+Inputs!$D$16*Inputs!$I$16)</f>
        <v>0</v>
      </c>
      <c r="U8" s="21">
        <f>(Inputs!$D$12*Inputs!$I$12*U25+Inputs!$D$13*Inputs!$I$13*U53+Inputs!$D$14*Inputs!$I$14*U81+Inputs!$D$15*Inputs!$I$15*U109+Inputs!$D$16*Inputs!$I$16*U137)/(Inputs!$D$12*Inputs!$I$12+Inputs!$D$13*Inputs!$I$13+Inputs!$D$14*Inputs!$I$14+Inputs!$D$15*Inputs!$I$15+Inputs!$D$16*Inputs!$I$16)</f>
        <v>0</v>
      </c>
      <c r="V8" s="21">
        <f>(Inputs!$D$12*Inputs!$I$12*V25+Inputs!$D$13*Inputs!$I$13*V53+Inputs!$D$14*Inputs!$I$14*V81+Inputs!$D$15*Inputs!$I$15*V109+Inputs!$D$16*Inputs!$I$16*V137)/(Inputs!$D$12*Inputs!$I$12+Inputs!$D$13*Inputs!$I$13+Inputs!$D$14*Inputs!$I$14+Inputs!$D$15*Inputs!$I$15+Inputs!$D$16*Inputs!$I$16)</f>
        <v>0</v>
      </c>
      <c r="W8" s="21">
        <f>(Inputs!$D$12*Inputs!$I$12*W25+Inputs!$D$13*Inputs!$I$13*W53+Inputs!$D$14*Inputs!$I$14*W81+Inputs!$D$15*Inputs!$I$15*W109+Inputs!$D$16*Inputs!$I$16*W137)/(Inputs!$D$12*Inputs!$I$12+Inputs!$D$13*Inputs!$I$13+Inputs!$D$14*Inputs!$I$14+Inputs!$D$15*Inputs!$I$15+Inputs!$D$16*Inputs!$I$16)</f>
        <v>0</v>
      </c>
    </row>
    <row r="9" spans="1:23" ht="18" customHeight="1" x14ac:dyDescent="0.25">
      <c r="A9" s="11" t="str">
        <f>NGS_Bacteria_Input!A9</f>
        <v>Bac_taxon_5</v>
      </c>
      <c r="B9" s="21">
        <f>(Inputs!$D$12*Inputs!$I$12*B26+Inputs!$D$13*Inputs!$I$13*B54+Inputs!$D$14*Inputs!$I$14*B82+Inputs!$D$15*Inputs!$I$15*B110+Inputs!$D$16*Inputs!$I$16*B138)/(Inputs!$D$12*Inputs!$I$12+Inputs!$D$13*Inputs!$I$13+Inputs!$D$14*Inputs!$I$14+Inputs!$D$15*Inputs!$I$15+Inputs!$D$16*Inputs!$I$16)</f>
        <v>0</v>
      </c>
      <c r="C9" s="21">
        <f>(Inputs!$D$12*Inputs!$I$12*C26+Inputs!$D$13*Inputs!$I$13*C54+Inputs!$D$14*Inputs!$I$14*C82+Inputs!$D$15*Inputs!$I$15*C110+Inputs!$D$16*Inputs!$I$16*C138)/(Inputs!$D$12*Inputs!$I$12+Inputs!$D$13*Inputs!$I$13+Inputs!$D$14*Inputs!$I$14+Inputs!$D$15*Inputs!$I$15+Inputs!$D$16*Inputs!$I$16)</f>
        <v>0</v>
      </c>
      <c r="D9" s="21">
        <f>(Inputs!$D$12*Inputs!$I$12*D26+Inputs!$D$13*Inputs!$I$13*D54+Inputs!$D$14*Inputs!$I$14*D82+Inputs!$D$15*Inputs!$I$15*D110+Inputs!$D$16*Inputs!$I$16*D138)/(Inputs!$D$12*Inputs!$I$12+Inputs!$D$13*Inputs!$I$13+Inputs!$D$14*Inputs!$I$14+Inputs!$D$15*Inputs!$I$15+Inputs!$D$16*Inputs!$I$16)</f>
        <v>0</v>
      </c>
      <c r="E9" s="21">
        <f>(Inputs!$D$12*Inputs!$I$12*E26+Inputs!$D$13*Inputs!$I$13*E54+Inputs!$D$14*Inputs!$I$14*E82+Inputs!$D$15*Inputs!$I$15*E110+Inputs!$D$16*Inputs!$I$16*E138)/(Inputs!$D$12*Inputs!$I$12+Inputs!$D$13*Inputs!$I$13+Inputs!$D$14*Inputs!$I$14+Inputs!$D$15*Inputs!$I$15+Inputs!$D$16*Inputs!$I$16)</f>
        <v>0</v>
      </c>
      <c r="F9" s="21">
        <f>(Inputs!$D$12*Inputs!$I$12*F26+Inputs!$D$13*Inputs!$I$13*F54+Inputs!$D$14*Inputs!$I$14*F82+Inputs!$D$15*Inputs!$I$15*F110+Inputs!$D$16*Inputs!$I$16*F138)/(Inputs!$D$12*Inputs!$I$12+Inputs!$D$13*Inputs!$I$13+Inputs!$D$14*Inputs!$I$14+Inputs!$D$15*Inputs!$I$15+Inputs!$D$16*Inputs!$I$16)</f>
        <v>0</v>
      </c>
      <c r="G9" s="21">
        <f>(Inputs!$D$12*Inputs!$I$12*G26+Inputs!$D$13*Inputs!$I$13*G54+Inputs!$D$14*Inputs!$I$14*G82+Inputs!$D$15*Inputs!$I$15*G110+Inputs!$D$16*Inputs!$I$16*G138)/(Inputs!$D$12*Inputs!$I$12+Inputs!$D$13*Inputs!$I$13+Inputs!$D$14*Inputs!$I$14+Inputs!$D$15*Inputs!$I$15+Inputs!$D$16*Inputs!$I$16)</f>
        <v>0</v>
      </c>
      <c r="H9" s="21">
        <f>(Inputs!$D$12*Inputs!$I$12*H26+Inputs!$D$13*Inputs!$I$13*H54+Inputs!$D$14*Inputs!$I$14*H82+Inputs!$D$15*Inputs!$I$15*H110+Inputs!$D$16*Inputs!$I$16*H138)/(Inputs!$D$12*Inputs!$I$12+Inputs!$D$13*Inputs!$I$13+Inputs!$D$14*Inputs!$I$14+Inputs!$D$15*Inputs!$I$15+Inputs!$D$16*Inputs!$I$16)</f>
        <v>0</v>
      </c>
      <c r="I9" s="21">
        <f>(Inputs!$D$12*Inputs!$I$12*I26+Inputs!$D$13*Inputs!$I$13*I54+Inputs!$D$14*Inputs!$I$14*I82+Inputs!$D$15*Inputs!$I$15*I110+Inputs!$D$16*Inputs!$I$16*I138)/(Inputs!$D$12*Inputs!$I$12+Inputs!$D$13*Inputs!$I$13+Inputs!$D$14*Inputs!$I$14+Inputs!$D$15*Inputs!$I$15+Inputs!$D$16*Inputs!$I$16)</f>
        <v>0</v>
      </c>
      <c r="J9" s="21">
        <f>(Inputs!$D$12*Inputs!$I$12*J26+Inputs!$D$13*Inputs!$I$13*J54+Inputs!$D$14*Inputs!$I$14*J82+Inputs!$D$15*Inputs!$I$15*J110+Inputs!$D$16*Inputs!$I$16*J138)/(Inputs!$D$12*Inputs!$I$12+Inputs!$D$13*Inputs!$I$13+Inputs!$D$14*Inputs!$I$14+Inputs!$D$15*Inputs!$I$15+Inputs!$D$16*Inputs!$I$16)</f>
        <v>0</v>
      </c>
      <c r="K9" s="21">
        <f>(Inputs!$D$12*Inputs!$I$12*K26+Inputs!$D$13*Inputs!$I$13*K54+Inputs!$D$14*Inputs!$I$14*K82+Inputs!$D$15*Inputs!$I$15*K110+Inputs!$D$16*Inputs!$I$16*K138)/(Inputs!$D$12*Inputs!$I$12+Inputs!$D$13*Inputs!$I$13+Inputs!$D$14*Inputs!$I$14+Inputs!$D$15*Inputs!$I$15+Inputs!$D$16*Inputs!$I$16)</f>
        <v>0</v>
      </c>
      <c r="L9" s="21">
        <f>(Inputs!$D$12*Inputs!$I$12*L26+Inputs!$D$13*Inputs!$I$13*L54+Inputs!$D$14*Inputs!$I$14*L82+Inputs!$D$15*Inputs!$I$15*L110+Inputs!$D$16*Inputs!$I$16*L138)/(Inputs!$D$12*Inputs!$I$12+Inputs!$D$13*Inputs!$I$13+Inputs!$D$14*Inputs!$I$14+Inputs!$D$15*Inputs!$I$15+Inputs!$D$16*Inputs!$I$16)</f>
        <v>0</v>
      </c>
      <c r="M9" s="21">
        <f>(Inputs!$D$12*Inputs!$I$12*M26+Inputs!$D$13*Inputs!$I$13*M54+Inputs!$D$14*Inputs!$I$14*M82+Inputs!$D$15*Inputs!$I$15*M110+Inputs!$D$16*Inputs!$I$16*M138)/(Inputs!$D$12*Inputs!$I$12+Inputs!$D$13*Inputs!$I$13+Inputs!$D$14*Inputs!$I$14+Inputs!$D$15*Inputs!$I$15+Inputs!$D$16*Inputs!$I$16)</f>
        <v>0</v>
      </c>
      <c r="N9" s="21">
        <f>(Inputs!$D$12*Inputs!$I$12*N26+Inputs!$D$13*Inputs!$I$13*N54+Inputs!$D$14*Inputs!$I$14*N82+Inputs!$D$15*Inputs!$I$15*N110+Inputs!$D$16*Inputs!$I$16*N138)/(Inputs!$D$12*Inputs!$I$12+Inputs!$D$13*Inputs!$I$13+Inputs!$D$14*Inputs!$I$14+Inputs!$D$15*Inputs!$I$15+Inputs!$D$16*Inputs!$I$16)</f>
        <v>0</v>
      </c>
      <c r="O9" s="21">
        <f>(Inputs!$D$12*Inputs!$I$12*O26+Inputs!$D$13*Inputs!$I$13*O54+Inputs!$D$14*Inputs!$I$14*O82+Inputs!$D$15*Inputs!$I$15*O110+Inputs!$D$16*Inputs!$I$16*O138)/(Inputs!$D$12*Inputs!$I$12+Inputs!$D$13*Inputs!$I$13+Inputs!$D$14*Inputs!$I$14+Inputs!$D$15*Inputs!$I$15+Inputs!$D$16*Inputs!$I$16)</f>
        <v>0</v>
      </c>
      <c r="P9" s="21">
        <f>(Inputs!$D$12*Inputs!$I$12*P26+Inputs!$D$13*Inputs!$I$13*P54+Inputs!$D$14*Inputs!$I$14*P82+Inputs!$D$15*Inputs!$I$15*P110+Inputs!$D$16*Inputs!$I$16*P138)/(Inputs!$D$12*Inputs!$I$12+Inputs!$D$13*Inputs!$I$13+Inputs!$D$14*Inputs!$I$14+Inputs!$D$15*Inputs!$I$15+Inputs!$D$16*Inputs!$I$16)</f>
        <v>0</v>
      </c>
      <c r="Q9" s="21">
        <f>(Inputs!$D$12*Inputs!$I$12*Q26+Inputs!$D$13*Inputs!$I$13*Q54+Inputs!$D$14*Inputs!$I$14*Q82+Inputs!$D$15*Inputs!$I$15*Q110+Inputs!$D$16*Inputs!$I$16*Q138)/(Inputs!$D$12*Inputs!$I$12+Inputs!$D$13*Inputs!$I$13+Inputs!$D$14*Inputs!$I$14+Inputs!$D$15*Inputs!$I$15+Inputs!$D$16*Inputs!$I$16)</f>
        <v>0</v>
      </c>
      <c r="R9" s="21">
        <f>(Inputs!$D$12*Inputs!$I$12*R26+Inputs!$D$13*Inputs!$I$13*R54+Inputs!$D$14*Inputs!$I$14*R82+Inputs!$D$15*Inputs!$I$15*R110+Inputs!$D$16*Inputs!$I$16*R138)/(Inputs!$D$12*Inputs!$I$12+Inputs!$D$13*Inputs!$I$13+Inputs!$D$14*Inputs!$I$14+Inputs!$D$15*Inputs!$I$15+Inputs!$D$16*Inputs!$I$16)</f>
        <v>0</v>
      </c>
      <c r="S9" s="21">
        <f>(Inputs!$D$12*Inputs!$I$12*S26+Inputs!$D$13*Inputs!$I$13*S54+Inputs!$D$14*Inputs!$I$14*S82+Inputs!$D$15*Inputs!$I$15*S110+Inputs!$D$16*Inputs!$I$16*S138)/(Inputs!$D$12*Inputs!$I$12+Inputs!$D$13*Inputs!$I$13+Inputs!$D$14*Inputs!$I$14+Inputs!$D$15*Inputs!$I$15+Inputs!$D$16*Inputs!$I$16)</f>
        <v>0</v>
      </c>
      <c r="T9" s="21">
        <f>(Inputs!$D$12*Inputs!$I$12*T26+Inputs!$D$13*Inputs!$I$13*T54+Inputs!$D$14*Inputs!$I$14*T82+Inputs!$D$15*Inputs!$I$15*T110+Inputs!$D$16*Inputs!$I$16*T138)/(Inputs!$D$12*Inputs!$I$12+Inputs!$D$13*Inputs!$I$13+Inputs!$D$14*Inputs!$I$14+Inputs!$D$15*Inputs!$I$15+Inputs!$D$16*Inputs!$I$16)</f>
        <v>0</v>
      </c>
      <c r="U9" s="21">
        <f>(Inputs!$D$12*Inputs!$I$12*U26+Inputs!$D$13*Inputs!$I$13*U54+Inputs!$D$14*Inputs!$I$14*U82+Inputs!$D$15*Inputs!$I$15*U110+Inputs!$D$16*Inputs!$I$16*U138)/(Inputs!$D$12*Inputs!$I$12+Inputs!$D$13*Inputs!$I$13+Inputs!$D$14*Inputs!$I$14+Inputs!$D$15*Inputs!$I$15+Inputs!$D$16*Inputs!$I$16)</f>
        <v>0</v>
      </c>
      <c r="V9" s="21">
        <f>(Inputs!$D$12*Inputs!$I$12*V26+Inputs!$D$13*Inputs!$I$13*V54+Inputs!$D$14*Inputs!$I$14*V82+Inputs!$D$15*Inputs!$I$15*V110+Inputs!$D$16*Inputs!$I$16*V138)/(Inputs!$D$12*Inputs!$I$12+Inputs!$D$13*Inputs!$I$13+Inputs!$D$14*Inputs!$I$14+Inputs!$D$15*Inputs!$I$15+Inputs!$D$16*Inputs!$I$16)</f>
        <v>0</v>
      </c>
      <c r="W9" s="21">
        <f>(Inputs!$D$12*Inputs!$I$12*W26+Inputs!$D$13*Inputs!$I$13*W54+Inputs!$D$14*Inputs!$I$14*W82+Inputs!$D$15*Inputs!$I$15*W110+Inputs!$D$16*Inputs!$I$16*W138)/(Inputs!$D$12*Inputs!$I$12+Inputs!$D$13*Inputs!$I$13+Inputs!$D$14*Inputs!$I$14+Inputs!$D$15*Inputs!$I$15+Inputs!$D$16*Inputs!$I$16)</f>
        <v>0</v>
      </c>
    </row>
    <row r="10" spans="1:23" ht="18" customHeight="1" x14ac:dyDescent="0.25">
      <c r="A10" s="11" t="str">
        <f>NGS_Bacteria_Input!A10</f>
        <v>Bac_taxon_6</v>
      </c>
      <c r="B10" s="21">
        <f>(Inputs!$D$12*Inputs!$I$12*B27+Inputs!$D$13*Inputs!$I$13*B55+Inputs!$D$14*Inputs!$I$14*B83+Inputs!$D$15*Inputs!$I$15*B111+Inputs!$D$16*Inputs!$I$16*B139)/(Inputs!$D$12*Inputs!$I$12+Inputs!$D$13*Inputs!$I$13+Inputs!$D$14*Inputs!$I$14+Inputs!$D$15*Inputs!$I$15+Inputs!$D$16*Inputs!$I$16)</f>
        <v>0</v>
      </c>
      <c r="C10" s="21">
        <f>(Inputs!$D$12*Inputs!$I$12*C27+Inputs!$D$13*Inputs!$I$13*C55+Inputs!$D$14*Inputs!$I$14*C83+Inputs!$D$15*Inputs!$I$15*C111+Inputs!$D$16*Inputs!$I$16*C139)/(Inputs!$D$12*Inputs!$I$12+Inputs!$D$13*Inputs!$I$13+Inputs!$D$14*Inputs!$I$14+Inputs!$D$15*Inputs!$I$15+Inputs!$D$16*Inputs!$I$16)</f>
        <v>0</v>
      </c>
      <c r="D10" s="21">
        <f>(Inputs!$D$12*Inputs!$I$12*D27+Inputs!$D$13*Inputs!$I$13*D55+Inputs!$D$14*Inputs!$I$14*D83+Inputs!$D$15*Inputs!$I$15*D111+Inputs!$D$16*Inputs!$I$16*D139)/(Inputs!$D$12*Inputs!$I$12+Inputs!$D$13*Inputs!$I$13+Inputs!$D$14*Inputs!$I$14+Inputs!$D$15*Inputs!$I$15+Inputs!$D$16*Inputs!$I$16)</f>
        <v>0</v>
      </c>
      <c r="E10" s="21">
        <f>(Inputs!$D$12*Inputs!$I$12*E27+Inputs!$D$13*Inputs!$I$13*E55+Inputs!$D$14*Inputs!$I$14*E83+Inputs!$D$15*Inputs!$I$15*E111+Inputs!$D$16*Inputs!$I$16*E139)/(Inputs!$D$12*Inputs!$I$12+Inputs!$D$13*Inputs!$I$13+Inputs!$D$14*Inputs!$I$14+Inputs!$D$15*Inputs!$I$15+Inputs!$D$16*Inputs!$I$16)</f>
        <v>0</v>
      </c>
      <c r="F10" s="21">
        <f>(Inputs!$D$12*Inputs!$I$12*F27+Inputs!$D$13*Inputs!$I$13*F55+Inputs!$D$14*Inputs!$I$14*F83+Inputs!$D$15*Inputs!$I$15*F111+Inputs!$D$16*Inputs!$I$16*F139)/(Inputs!$D$12*Inputs!$I$12+Inputs!$D$13*Inputs!$I$13+Inputs!$D$14*Inputs!$I$14+Inputs!$D$15*Inputs!$I$15+Inputs!$D$16*Inputs!$I$16)</f>
        <v>0</v>
      </c>
      <c r="G10" s="21">
        <f>(Inputs!$D$12*Inputs!$I$12*G27+Inputs!$D$13*Inputs!$I$13*G55+Inputs!$D$14*Inputs!$I$14*G83+Inputs!$D$15*Inputs!$I$15*G111+Inputs!$D$16*Inputs!$I$16*G139)/(Inputs!$D$12*Inputs!$I$12+Inputs!$D$13*Inputs!$I$13+Inputs!$D$14*Inputs!$I$14+Inputs!$D$15*Inputs!$I$15+Inputs!$D$16*Inputs!$I$16)</f>
        <v>0</v>
      </c>
      <c r="H10" s="21">
        <f>(Inputs!$D$12*Inputs!$I$12*H27+Inputs!$D$13*Inputs!$I$13*H55+Inputs!$D$14*Inputs!$I$14*H83+Inputs!$D$15*Inputs!$I$15*H111+Inputs!$D$16*Inputs!$I$16*H139)/(Inputs!$D$12*Inputs!$I$12+Inputs!$D$13*Inputs!$I$13+Inputs!$D$14*Inputs!$I$14+Inputs!$D$15*Inputs!$I$15+Inputs!$D$16*Inputs!$I$16)</f>
        <v>0</v>
      </c>
      <c r="I10" s="21">
        <f>(Inputs!$D$12*Inputs!$I$12*I27+Inputs!$D$13*Inputs!$I$13*I55+Inputs!$D$14*Inputs!$I$14*I83+Inputs!$D$15*Inputs!$I$15*I111+Inputs!$D$16*Inputs!$I$16*I139)/(Inputs!$D$12*Inputs!$I$12+Inputs!$D$13*Inputs!$I$13+Inputs!$D$14*Inputs!$I$14+Inputs!$D$15*Inputs!$I$15+Inputs!$D$16*Inputs!$I$16)</f>
        <v>0</v>
      </c>
      <c r="J10" s="21">
        <f>(Inputs!$D$12*Inputs!$I$12*J27+Inputs!$D$13*Inputs!$I$13*J55+Inputs!$D$14*Inputs!$I$14*J83+Inputs!$D$15*Inputs!$I$15*J111+Inputs!$D$16*Inputs!$I$16*J139)/(Inputs!$D$12*Inputs!$I$12+Inputs!$D$13*Inputs!$I$13+Inputs!$D$14*Inputs!$I$14+Inputs!$D$15*Inputs!$I$15+Inputs!$D$16*Inputs!$I$16)</f>
        <v>0</v>
      </c>
      <c r="K10" s="21">
        <f>(Inputs!$D$12*Inputs!$I$12*K27+Inputs!$D$13*Inputs!$I$13*K55+Inputs!$D$14*Inputs!$I$14*K83+Inputs!$D$15*Inputs!$I$15*K111+Inputs!$D$16*Inputs!$I$16*K139)/(Inputs!$D$12*Inputs!$I$12+Inputs!$D$13*Inputs!$I$13+Inputs!$D$14*Inputs!$I$14+Inputs!$D$15*Inputs!$I$15+Inputs!$D$16*Inputs!$I$16)</f>
        <v>0</v>
      </c>
      <c r="L10" s="21">
        <f>(Inputs!$D$12*Inputs!$I$12*L27+Inputs!$D$13*Inputs!$I$13*L55+Inputs!$D$14*Inputs!$I$14*L83+Inputs!$D$15*Inputs!$I$15*L111+Inputs!$D$16*Inputs!$I$16*L139)/(Inputs!$D$12*Inputs!$I$12+Inputs!$D$13*Inputs!$I$13+Inputs!$D$14*Inputs!$I$14+Inputs!$D$15*Inputs!$I$15+Inputs!$D$16*Inputs!$I$16)</f>
        <v>0</v>
      </c>
      <c r="M10" s="21">
        <f>(Inputs!$D$12*Inputs!$I$12*M27+Inputs!$D$13*Inputs!$I$13*M55+Inputs!$D$14*Inputs!$I$14*M83+Inputs!$D$15*Inputs!$I$15*M111+Inputs!$D$16*Inputs!$I$16*M139)/(Inputs!$D$12*Inputs!$I$12+Inputs!$D$13*Inputs!$I$13+Inputs!$D$14*Inputs!$I$14+Inputs!$D$15*Inputs!$I$15+Inputs!$D$16*Inputs!$I$16)</f>
        <v>0</v>
      </c>
      <c r="N10" s="21">
        <f>(Inputs!$D$12*Inputs!$I$12*N27+Inputs!$D$13*Inputs!$I$13*N55+Inputs!$D$14*Inputs!$I$14*N83+Inputs!$D$15*Inputs!$I$15*N111+Inputs!$D$16*Inputs!$I$16*N139)/(Inputs!$D$12*Inputs!$I$12+Inputs!$D$13*Inputs!$I$13+Inputs!$D$14*Inputs!$I$14+Inputs!$D$15*Inputs!$I$15+Inputs!$D$16*Inputs!$I$16)</f>
        <v>0</v>
      </c>
      <c r="O10" s="21">
        <f>(Inputs!$D$12*Inputs!$I$12*O27+Inputs!$D$13*Inputs!$I$13*O55+Inputs!$D$14*Inputs!$I$14*O83+Inputs!$D$15*Inputs!$I$15*O111+Inputs!$D$16*Inputs!$I$16*O139)/(Inputs!$D$12*Inputs!$I$12+Inputs!$D$13*Inputs!$I$13+Inputs!$D$14*Inputs!$I$14+Inputs!$D$15*Inputs!$I$15+Inputs!$D$16*Inputs!$I$16)</f>
        <v>0</v>
      </c>
      <c r="P10" s="21">
        <f>(Inputs!$D$12*Inputs!$I$12*P27+Inputs!$D$13*Inputs!$I$13*P55+Inputs!$D$14*Inputs!$I$14*P83+Inputs!$D$15*Inputs!$I$15*P111+Inputs!$D$16*Inputs!$I$16*P139)/(Inputs!$D$12*Inputs!$I$12+Inputs!$D$13*Inputs!$I$13+Inputs!$D$14*Inputs!$I$14+Inputs!$D$15*Inputs!$I$15+Inputs!$D$16*Inputs!$I$16)</f>
        <v>0</v>
      </c>
      <c r="Q10" s="21">
        <f>(Inputs!$D$12*Inputs!$I$12*Q27+Inputs!$D$13*Inputs!$I$13*Q55+Inputs!$D$14*Inputs!$I$14*Q83+Inputs!$D$15*Inputs!$I$15*Q111+Inputs!$D$16*Inputs!$I$16*Q139)/(Inputs!$D$12*Inputs!$I$12+Inputs!$D$13*Inputs!$I$13+Inputs!$D$14*Inputs!$I$14+Inputs!$D$15*Inputs!$I$15+Inputs!$D$16*Inputs!$I$16)</f>
        <v>0</v>
      </c>
      <c r="R10" s="21">
        <f>(Inputs!$D$12*Inputs!$I$12*R27+Inputs!$D$13*Inputs!$I$13*R55+Inputs!$D$14*Inputs!$I$14*R83+Inputs!$D$15*Inputs!$I$15*R111+Inputs!$D$16*Inputs!$I$16*R139)/(Inputs!$D$12*Inputs!$I$12+Inputs!$D$13*Inputs!$I$13+Inputs!$D$14*Inputs!$I$14+Inputs!$D$15*Inputs!$I$15+Inputs!$D$16*Inputs!$I$16)</f>
        <v>0</v>
      </c>
      <c r="S10" s="21">
        <f>(Inputs!$D$12*Inputs!$I$12*S27+Inputs!$D$13*Inputs!$I$13*S55+Inputs!$D$14*Inputs!$I$14*S83+Inputs!$D$15*Inputs!$I$15*S111+Inputs!$D$16*Inputs!$I$16*S139)/(Inputs!$D$12*Inputs!$I$12+Inputs!$D$13*Inputs!$I$13+Inputs!$D$14*Inputs!$I$14+Inputs!$D$15*Inputs!$I$15+Inputs!$D$16*Inputs!$I$16)</f>
        <v>0</v>
      </c>
      <c r="T10" s="21">
        <f>(Inputs!$D$12*Inputs!$I$12*T27+Inputs!$D$13*Inputs!$I$13*T55+Inputs!$D$14*Inputs!$I$14*T83+Inputs!$D$15*Inputs!$I$15*T111+Inputs!$D$16*Inputs!$I$16*T139)/(Inputs!$D$12*Inputs!$I$12+Inputs!$D$13*Inputs!$I$13+Inputs!$D$14*Inputs!$I$14+Inputs!$D$15*Inputs!$I$15+Inputs!$D$16*Inputs!$I$16)</f>
        <v>0</v>
      </c>
      <c r="U10" s="21">
        <f>(Inputs!$D$12*Inputs!$I$12*U27+Inputs!$D$13*Inputs!$I$13*U55+Inputs!$D$14*Inputs!$I$14*U83+Inputs!$D$15*Inputs!$I$15*U111+Inputs!$D$16*Inputs!$I$16*U139)/(Inputs!$D$12*Inputs!$I$12+Inputs!$D$13*Inputs!$I$13+Inputs!$D$14*Inputs!$I$14+Inputs!$D$15*Inputs!$I$15+Inputs!$D$16*Inputs!$I$16)</f>
        <v>0</v>
      </c>
      <c r="V10" s="21">
        <f>(Inputs!$D$12*Inputs!$I$12*V27+Inputs!$D$13*Inputs!$I$13*V55+Inputs!$D$14*Inputs!$I$14*V83+Inputs!$D$15*Inputs!$I$15*V111+Inputs!$D$16*Inputs!$I$16*V139)/(Inputs!$D$12*Inputs!$I$12+Inputs!$D$13*Inputs!$I$13+Inputs!$D$14*Inputs!$I$14+Inputs!$D$15*Inputs!$I$15+Inputs!$D$16*Inputs!$I$16)</f>
        <v>0</v>
      </c>
      <c r="W10" s="21">
        <f>(Inputs!$D$12*Inputs!$I$12*W27+Inputs!$D$13*Inputs!$I$13*W55+Inputs!$D$14*Inputs!$I$14*W83+Inputs!$D$15*Inputs!$I$15*W111+Inputs!$D$16*Inputs!$I$16*W139)/(Inputs!$D$12*Inputs!$I$12+Inputs!$D$13*Inputs!$I$13+Inputs!$D$14*Inputs!$I$14+Inputs!$D$15*Inputs!$I$15+Inputs!$D$16*Inputs!$I$16)</f>
        <v>0</v>
      </c>
    </row>
    <row r="11" spans="1:23" ht="18" customHeight="1" x14ac:dyDescent="0.25">
      <c r="A11" s="11" t="str">
        <f>NGS_Bacteria_Input!A11</f>
        <v>Bac_taxon_7</v>
      </c>
      <c r="B11" s="21">
        <f>(Inputs!$D$12*Inputs!$I$12*B28+Inputs!$D$13*Inputs!$I$13*B56+Inputs!$D$14*Inputs!$I$14*B84+Inputs!$D$15*Inputs!$I$15*B112+Inputs!$D$16*Inputs!$I$16*B140)/(Inputs!$D$12*Inputs!$I$12+Inputs!$D$13*Inputs!$I$13+Inputs!$D$14*Inputs!$I$14+Inputs!$D$15*Inputs!$I$15+Inputs!$D$16*Inputs!$I$16)</f>
        <v>0</v>
      </c>
      <c r="C11" s="21">
        <f>(Inputs!$D$12*Inputs!$I$12*C28+Inputs!$D$13*Inputs!$I$13*C56+Inputs!$D$14*Inputs!$I$14*C84+Inputs!$D$15*Inputs!$I$15*C112+Inputs!$D$16*Inputs!$I$16*C140)/(Inputs!$D$12*Inputs!$I$12+Inputs!$D$13*Inputs!$I$13+Inputs!$D$14*Inputs!$I$14+Inputs!$D$15*Inputs!$I$15+Inputs!$D$16*Inputs!$I$16)</f>
        <v>0</v>
      </c>
      <c r="D11" s="21">
        <f>(Inputs!$D$12*Inputs!$I$12*D28+Inputs!$D$13*Inputs!$I$13*D56+Inputs!$D$14*Inputs!$I$14*D84+Inputs!$D$15*Inputs!$I$15*D112+Inputs!$D$16*Inputs!$I$16*D140)/(Inputs!$D$12*Inputs!$I$12+Inputs!$D$13*Inputs!$I$13+Inputs!$D$14*Inputs!$I$14+Inputs!$D$15*Inputs!$I$15+Inputs!$D$16*Inputs!$I$16)</f>
        <v>0</v>
      </c>
      <c r="E11" s="21">
        <f>(Inputs!$D$12*Inputs!$I$12*E28+Inputs!$D$13*Inputs!$I$13*E56+Inputs!$D$14*Inputs!$I$14*E84+Inputs!$D$15*Inputs!$I$15*E112+Inputs!$D$16*Inputs!$I$16*E140)/(Inputs!$D$12*Inputs!$I$12+Inputs!$D$13*Inputs!$I$13+Inputs!$D$14*Inputs!$I$14+Inputs!$D$15*Inputs!$I$15+Inputs!$D$16*Inputs!$I$16)</f>
        <v>0</v>
      </c>
      <c r="F11" s="21">
        <f>(Inputs!$D$12*Inputs!$I$12*F28+Inputs!$D$13*Inputs!$I$13*F56+Inputs!$D$14*Inputs!$I$14*F84+Inputs!$D$15*Inputs!$I$15*F112+Inputs!$D$16*Inputs!$I$16*F140)/(Inputs!$D$12*Inputs!$I$12+Inputs!$D$13*Inputs!$I$13+Inputs!$D$14*Inputs!$I$14+Inputs!$D$15*Inputs!$I$15+Inputs!$D$16*Inputs!$I$16)</f>
        <v>0</v>
      </c>
      <c r="G11" s="21">
        <f>(Inputs!$D$12*Inputs!$I$12*G28+Inputs!$D$13*Inputs!$I$13*G56+Inputs!$D$14*Inputs!$I$14*G84+Inputs!$D$15*Inputs!$I$15*G112+Inputs!$D$16*Inputs!$I$16*G140)/(Inputs!$D$12*Inputs!$I$12+Inputs!$D$13*Inputs!$I$13+Inputs!$D$14*Inputs!$I$14+Inputs!$D$15*Inputs!$I$15+Inputs!$D$16*Inputs!$I$16)</f>
        <v>0</v>
      </c>
      <c r="H11" s="21">
        <f>(Inputs!$D$12*Inputs!$I$12*H28+Inputs!$D$13*Inputs!$I$13*H56+Inputs!$D$14*Inputs!$I$14*H84+Inputs!$D$15*Inputs!$I$15*H112+Inputs!$D$16*Inputs!$I$16*H140)/(Inputs!$D$12*Inputs!$I$12+Inputs!$D$13*Inputs!$I$13+Inputs!$D$14*Inputs!$I$14+Inputs!$D$15*Inputs!$I$15+Inputs!$D$16*Inputs!$I$16)</f>
        <v>0</v>
      </c>
      <c r="I11" s="21">
        <f>(Inputs!$D$12*Inputs!$I$12*I28+Inputs!$D$13*Inputs!$I$13*I56+Inputs!$D$14*Inputs!$I$14*I84+Inputs!$D$15*Inputs!$I$15*I112+Inputs!$D$16*Inputs!$I$16*I140)/(Inputs!$D$12*Inputs!$I$12+Inputs!$D$13*Inputs!$I$13+Inputs!$D$14*Inputs!$I$14+Inputs!$D$15*Inputs!$I$15+Inputs!$D$16*Inputs!$I$16)</f>
        <v>0</v>
      </c>
      <c r="J11" s="21">
        <f>(Inputs!$D$12*Inputs!$I$12*J28+Inputs!$D$13*Inputs!$I$13*J56+Inputs!$D$14*Inputs!$I$14*J84+Inputs!$D$15*Inputs!$I$15*J112+Inputs!$D$16*Inputs!$I$16*J140)/(Inputs!$D$12*Inputs!$I$12+Inputs!$D$13*Inputs!$I$13+Inputs!$D$14*Inputs!$I$14+Inputs!$D$15*Inputs!$I$15+Inputs!$D$16*Inputs!$I$16)</f>
        <v>0</v>
      </c>
      <c r="K11" s="21">
        <f>(Inputs!$D$12*Inputs!$I$12*K28+Inputs!$D$13*Inputs!$I$13*K56+Inputs!$D$14*Inputs!$I$14*K84+Inputs!$D$15*Inputs!$I$15*K112+Inputs!$D$16*Inputs!$I$16*K140)/(Inputs!$D$12*Inputs!$I$12+Inputs!$D$13*Inputs!$I$13+Inputs!$D$14*Inputs!$I$14+Inputs!$D$15*Inputs!$I$15+Inputs!$D$16*Inputs!$I$16)</f>
        <v>0</v>
      </c>
      <c r="L11" s="21">
        <f>(Inputs!$D$12*Inputs!$I$12*L28+Inputs!$D$13*Inputs!$I$13*L56+Inputs!$D$14*Inputs!$I$14*L84+Inputs!$D$15*Inputs!$I$15*L112+Inputs!$D$16*Inputs!$I$16*L140)/(Inputs!$D$12*Inputs!$I$12+Inputs!$D$13*Inputs!$I$13+Inputs!$D$14*Inputs!$I$14+Inputs!$D$15*Inputs!$I$15+Inputs!$D$16*Inputs!$I$16)</f>
        <v>0</v>
      </c>
      <c r="M11" s="21">
        <f>(Inputs!$D$12*Inputs!$I$12*M28+Inputs!$D$13*Inputs!$I$13*M56+Inputs!$D$14*Inputs!$I$14*M84+Inputs!$D$15*Inputs!$I$15*M112+Inputs!$D$16*Inputs!$I$16*M140)/(Inputs!$D$12*Inputs!$I$12+Inputs!$D$13*Inputs!$I$13+Inputs!$D$14*Inputs!$I$14+Inputs!$D$15*Inputs!$I$15+Inputs!$D$16*Inputs!$I$16)</f>
        <v>0</v>
      </c>
      <c r="N11" s="21">
        <f>(Inputs!$D$12*Inputs!$I$12*N28+Inputs!$D$13*Inputs!$I$13*N56+Inputs!$D$14*Inputs!$I$14*N84+Inputs!$D$15*Inputs!$I$15*N112+Inputs!$D$16*Inputs!$I$16*N140)/(Inputs!$D$12*Inputs!$I$12+Inputs!$D$13*Inputs!$I$13+Inputs!$D$14*Inputs!$I$14+Inputs!$D$15*Inputs!$I$15+Inputs!$D$16*Inputs!$I$16)</f>
        <v>0</v>
      </c>
      <c r="O11" s="21">
        <f>(Inputs!$D$12*Inputs!$I$12*O28+Inputs!$D$13*Inputs!$I$13*O56+Inputs!$D$14*Inputs!$I$14*O84+Inputs!$D$15*Inputs!$I$15*O112+Inputs!$D$16*Inputs!$I$16*O140)/(Inputs!$D$12*Inputs!$I$12+Inputs!$D$13*Inputs!$I$13+Inputs!$D$14*Inputs!$I$14+Inputs!$D$15*Inputs!$I$15+Inputs!$D$16*Inputs!$I$16)</f>
        <v>0</v>
      </c>
      <c r="P11" s="21">
        <f>(Inputs!$D$12*Inputs!$I$12*P28+Inputs!$D$13*Inputs!$I$13*P56+Inputs!$D$14*Inputs!$I$14*P84+Inputs!$D$15*Inputs!$I$15*P112+Inputs!$D$16*Inputs!$I$16*P140)/(Inputs!$D$12*Inputs!$I$12+Inputs!$D$13*Inputs!$I$13+Inputs!$D$14*Inputs!$I$14+Inputs!$D$15*Inputs!$I$15+Inputs!$D$16*Inputs!$I$16)</f>
        <v>0</v>
      </c>
      <c r="Q11" s="21">
        <f>(Inputs!$D$12*Inputs!$I$12*Q28+Inputs!$D$13*Inputs!$I$13*Q56+Inputs!$D$14*Inputs!$I$14*Q84+Inputs!$D$15*Inputs!$I$15*Q112+Inputs!$D$16*Inputs!$I$16*Q140)/(Inputs!$D$12*Inputs!$I$12+Inputs!$D$13*Inputs!$I$13+Inputs!$D$14*Inputs!$I$14+Inputs!$D$15*Inputs!$I$15+Inputs!$D$16*Inputs!$I$16)</f>
        <v>0</v>
      </c>
      <c r="R11" s="21">
        <f>(Inputs!$D$12*Inputs!$I$12*R28+Inputs!$D$13*Inputs!$I$13*R56+Inputs!$D$14*Inputs!$I$14*R84+Inputs!$D$15*Inputs!$I$15*R112+Inputs!$D$16*Inputs!$I$16*R140)/(Inputs!$D$12*Inputs!$I$12+Inputs!$D$13*Inputs!$I$13+Inputs!$D$14*Inputs!$I$14+Inputs!$D$15*Inputs!$I$15+Inputs!$D$16*Inputs!$I$16)</f>
        <v>0</v>
      </c>
      <c r="S11" s="21">
        <f>(Inputs!$D$12*Inputs!$I$12*S28+Inputs!$D$13*Inputs!$I$13*S56+Inputs!$D$14*Inputs!$I$14*S84+Inputs!$D$15*Inputs!$I$15*S112+Inputs!$D$16*Inputs!$I$16*S140)/(Inputs!$D$12*Inputs!$I$12+Inputs!$D$13*Inputs!$I$13+Inputs!$D$14*Inputs!$I$14+Inputs!$D$15*Inputs!$I$15+Inputs!$D$16*Inputs!$I$16)</f>
        <v>0</v>
      </c>
      <c r="T11" s="21">
        <f>(Inputs!$D$12*Inputs!$I$12*T28+Inputs!$D$13*Inputs!$I$13*T56+Inputs!$D$14*Inputs!$I$14*T84+Inputs!$D$15*Inputs!$I$15*T112+Inputs!$D$16*Inputs!$I$16*T140)/(Inputs!$D$12*Inputs!$I$12+Inputs!$D$13*Inputs!$I$13+Inputs!$D$14*Inputs!$I$14+Inputs!$D$15*Inputs!$I$15+Inputs!$D$16*Inputs!$I$16)</f>
        <v>0</v>
      </c>
      <c r="U11" s="21">
        <f>(Inputs!$D$12*Inputs!$I$12*U28+Inputs!$D$13*Inputs!$I$13*U56+Inputs!$D$14*Inputs!$I$14*U84+Inputs!$D$15*Inputs!$I$15*U112+Inputs!$D$16*Inputs!$I$16*U140)/(Inputs!$D$12*Inputs!$I$12+Inputs!$D$13*Inputs!$I$13+Inputs!$D$14*Inputs!$I$14+Inputs!$D$15*Inputs!$I$15+Inputs!$D$16*Inputs!$I$16)</f>
        <v>0</v>
      </c>
      <c r="V11" s="21">
        <f>(Inputs!$D$12*Inputs!$I$12*V28+Inputs!$D$13*Inputs!$I$13*V56+Inputs!$D$14*Inputs!$I$14*V84+Inputs!$D$15*Inputs!$I$15*V112+Inputs!$D$16*Inputs!$I$16*V140)/(Inputs!$D$12*Inputs!$I$12+Inputs!$D$13*Inputs!$I$13+Inputs!$D$14*Inputs!$I$14+Inputs!$D$15*Inputs!$I$15+Inputs!$D$16*Inputs!$I$16)</f>
        <v>0</v>
      </c>
      <c r="W11" s="21">
        <f>(Inputs!$D$12*Inputs!$I$12*W28+Inputs!$D$13*Inputs!$I$13*W56+Inputs!$D$14*Inputs!$I$14*W84+Inputs!$D$15*Inputs!$I$15*W112+Inputs!$D$16*Inputs!$I$16*W140)/(Inputs!$D$12*Inputs!$I$12+Inputs!$D$13*Inputs!$I$13+Inputs!$D$14*Inputs!$I$14+Inputs!$D$15*Inputs!$I$15+Inputs!$D$16*Inputs!$I$16)</f>
        <v>0</v>
      </c>
    </row>
    <row r="12" spans="1:23" ht="18" customHeight="1" x14ac:dyDescent="0.25">
      <c r="A12" s="11" t="str">
        <f>NGS_Bacteria_Input!A12</f>
        <v>Bac_taxon_8</v>
      </c>
      <c r="B12" s="21">
        <f>(Inputs!$D$12*Inputs!$I$12*B29+Inputs!$D$13*Inputs!$I$13*B57+Inputs!$D$14*Inputs!$I$14*B85+Inputs!$D$15*Inputs!$I$15*B113+Inputs!$D$16*Inputs!$I$16*B141)/(Inputs!$D$12*Inputs!$I$12+Inputs!$D$13*Inputs!$I$13+Inputs!$D$14*Inputs!$I$14+Inputs!$D$15*Inputs!$I$15+Inputs!$D$16*Inputs!$I$16)</f>
        <v>0</v>
      </c>
      <c r="C12" s="21">
        <f>(Inputs!$D$12*Inputs!$I$12*C29+Inputs!$D$13*Inputs!$I$13*C57+Inputs!$D$14*Inputs!$I$14*C85+Inputs!$D$15*Inputs!$I$15*C113+Inputs!$D$16*Inputs!$I$16*C141)/(Inputs!$D$12*Inputs!$I$12+Inputs!$D$13*Inputs!$I$13+Inputs!$D$14*Inputs!$I$14+Inputs!$D$15*Inputs!$I$15+Inputs!$D$16*Inputs!$I$16)</f>
        <v>0</v>
      </c>
      <c r="D12" s="21">
        <f>(Inputs!$D$12*Inputs!$I$12*D29+Inputs!$D$13*Inputs!$I$13*D57+Inputs!$D$14*Inputs!$I$14*D85+Inputs!$D$15*Inputs!$I$15*D113+Inputs!$D$16*Inputs!$I$16*D141)/(Inputs!$D$12*Inputs!$I$12+Inputs!$D$13*Inputs!$I$13+Inputs!$D$14*Inputs!$I$14+Inputs!$D$15*Inputs!$I$15+Inputs!$D$16*Inputs!$I$16)</f>
        <v>0</v>
      </c>
      <c r="E12" s="21">
        <f>(Inputs!$D$12*Inputs!$I$12*E29+Inputs!$D$13*Inputs!$I$13*E57+Inputs!$D$14*Inputs!$I$14*E85+Inputs!$D$15*Inputs!$I$15*E113+Inputs!$D$16*Inputs!$I$16*E141)/(Inputs!$D$12*Inputs!$I$12+Inputs!$D$13*Inputs!$I$13+Inputs!$D$14*Inputs!$I$14+Inputs!$D$15*Inputs!$I$15+Inputs!$D$16*Inputs!$I$16)</f>
        <v>0</v>
      </c>
      <c r="F12" s="21">
        <f>(Inputs!$D$12*Inputs!$I$12*F29+Inputs!$D$13*Inputs!$I$13*F57+Inputs!$D$14*Inputs!$I$14*F85+Inputs!$D$15*Inputs!$I$15*F113+Inputs!$D$16*Inputs!$I$16*F141)/(Inputs!$D$12*Inputs!$I$12+Inputs!$D$13*Inputs!$I$13+Inputs!$D$14*Inputs!$I$14+Inputs!$D$15*Inputs!$I$15+Inputs!$D$16*Inputs!$I$16)</f>
        <v>0</v>
      </c>
      <c r="G12" s="21">
        <f>(Inputs!$D$12*Inputs!$I$12*G29+Inputs!$D$13*Inputs!$I$13*G57+Inputs!$D$14*Inputs!$I$14*G85+Inputs!$D$15*Inputs!$I$15*G113+Inputs!$D$16*Inputs!$I$16*G141)/(Inputs!$D$12*Inputs!$I$12+Inputs!$D$13*Inputs!$I$13+Inputs!$D$14*Inputs!$I$14+Inputs!$D$15*Inputs!$I$15+Inputs!$D$16*Inputs!$I$16)</f>
        <v>0</v>
      </c>
      <c r="H12" s="21">
        <f>(Inputs!$D$12*Inputs!$I$12*H29+Inputs!$D$13*Inputs!$I$13*H57+Inputs!$D$14*Inputs!$I$14*H85+Inputs!$D$15*Inputs!$I$15*H113+Inputs!$D$16*Inputs!$I$16*H141)/(Inputs!$D$12*Inputs!$I$12+Inputs!$D$13*Inputs!$I$13+Inputs!$D$14*Inputs!$I$14+Inputs!$D$15*Inputs!$I$15+Inputs!$D$16*Inputs!$I$16)</f>
        <v>0</v>
      </c>
      <c r="I12" s="21">
        <f>(Inputs!$D$12*Inputs!$I$12*I29+Inputs!$D$13*Inputs!$I$13*I57+Inputs!$D$14*Inputs!$I$14*I85+Inputs!$D$15*Inputs!$I$15*I113+Inputs!$D$16*Inputs!$I$16*I141)/(Inputs!$D$12*Inputs!$I$12+Inputs!$D$13*Inputs!$I$13+Inputs!$D$14*Inputs!$I$14+Inputs!$D$15*Inputs!$I$15+Inputs!$D$16*Inputs!$I$16)</f>
        <v>0</v>
      </c>
      <c r="J12" s="21">
        <f>(Inputs!$D$12*Inputs!$I$12*J29+Inputs!$D$13*Inputs!$I$13*J57+Inputs!$D$14*Inputs!$I$14*J85+Inputs!$D$15*Inputs!$I$15*J113+Inputs!$D$16*Inputs!$I$16*J141)/(Inputs!$D$12*Inputs!$I$12+Inputs!$D$13*Inputs!$I$13+Inputs!$D$14*Inputs!$I$14+Inputs!$D$15*Inputs!$I$15+Inputs!$D$16*Inputs!$I$16)</f>
        <v>0</v>
      </c>
      <c r="K12" s="21">
        <f>(Inputs!$D$12*Inputs!$I$12*K29+Inputs!$D$13*Inputs!$I$13*K57+Inputs!$D$14*Inputs!$I$14*K85+Inputs!$D$15*Inputs!$I$15*K113+Inputs!$D$16*Inputs!$I$16*K141)/(Inputs!$D$12*Inputs!$I$12+Inputs!$D$13*Inputs!$I$13+Inputs!$D$14*Inputs!$I$14+Inputs!$D$15*Inputs!$I$15+Inputs!$D$16*Inputs!$I$16)</f>
        <v>0</v>
      </c>
      <c r="L12" s="21">
        <f>(Inputs!$D$12*Inputs!$I$12*L29+Inputs!$D$13*Inputs!$I$13*L57+Inputs!$D$14*Inputs!$I$14*L85+Inputs!$D$15*Inputs!$I$15*L113+Inputs!$D$16*Inputs!$I$16*L141)/(Inputs!$D$12*Inputs!$I$12+Inputs!$D$13*Inputs!$I$13+Inputs!$D$14*Inputs!$I$14+Inputs!$D$15*Inputs!$I$15+Inputs!$D$16*Inputs!$I$16)</f>
        <v>0</v>
      </c>
      <c r="M12" s="21">
        <f>(Inputs!$D$12*Inputs!$I$12*M29+Inputs!$D$13*Inputs!$I$13*M57+Inputs!$D$14*Inputs!$I$14*M85+Inputs!$D$15*Inputs!$I$15*M113+Inputs!$D$16*Inputs!$I$16*M141)/(Inputs!$D$12*Inputs!$I$12+Inputs!$D$13*Inputs!$I$13+Inputs!$D$14*Inputs!$I$14+Inputs!$D$15*Inputs!$I$15+Inputs!$D$16*Inputs!$I$16)</f>
        <v>0</v>
      </c>
      <c r="N12" s="21">
        <f>(Inputs!$D$12*Inputs!$I$12*N29+Inputs!$D$13*Inputs!$I$13*N57+Inputs!$D$14*Inputs!$I$14*N85+Inputs!$D$15*Inputs!$I$15*N113+Inputs!$D$16*Inputs!$I$16*N141)/(Inputs!$D$12*Inputs!$I$12+Inputs!$D$13*Inputs!$I$13+Inputs!$D$14*Inputs!$I$14+Inputs!$D$15*Inputs!$I$15+Inputs!$D$16*Inputs!$I$16)</f>
        <v>0</v>
      </c>
      <c r="O12" s="21">
        <f>(Inputs!$D$12*Inputs!$I$12*O29+Inputs!$D$13*Inputs!$I$13*O57+Inputs!$D$14*Inputs!$I$14*O85+Inputs!$D$15*Inputs!$I$15*O113+Inputs!$D$16*Inputs!$I$16*O141)/(Inputs!$D$12*Inputs!$I$12+Inputs!$D$13*Inputs!$I$13+Inputs!$D$14*Inputs!$I$14+Inputs!$D$15*Inputs!$I$15+Inputs!$D$16*Inputs!$I$16)</f>
        <v>0</v>
      </c>
      <c r="P12" s="21">
        <f>(Inputs!$D$12*Inputs!$I$12*P29+Inputs!$D$13*Inputs!$I$13*P57+Inputs!$D$14*Inputs!$I$14*P85+Inputs!$D$15*Inputs!$I$15*P113+Inputs!$D$16*Inputs!$I$16*P141)/(Inputs!$D$12*Inputs!$I$12+Inputs!$D$13*Inputs!$I$13+Inputs!$D$14*Inputs!$I$14+Inputs!$D$15*Inputs!$I$15+Inputs!$D$16*Inputs!$I$16)</f>
        <v>0</v>
      </c>
      <c r="Q12" s="21">
        <f>(Inputs!$D$12*Inputs!$I$12*Q29+Inputs!$D$13*Inputs!$I$13*Q57+Inputs!$D$14*Inputs!$I$14*Q85+Inputs!$D$15*Inputs!$I$15*Q113+Inputs!$D$16*Inputs!$I$16*Q141)/(Inputs!$D$12*Inputs!$I$12+Inputs!$D$13*Inputs!$I$13+Inputs!$D$14*Inputs!$I$14+Inputs!$D$15*Inputs!$I$15+Inputs!$D$16*Inputs!$I$16)</f>
        <v>0</v>
      </c>
      <c r="R12" s="21">
        <f>(Inputs!$D$12*Inputs!$I$12*R29+Inputs!$D$13*Inputs!$I$13*R57+Inputs!$D$14*Inputs!$I$14*R85+Inputs!$D$15*Inputs!$I$15*R113+Inputs!$D$16*Inputs!$I$16*R141)/(Inputs!$D$12*Inputs!$I$12+Inputs!$D$13*Inputs!$I$13+Inputs!$D$14*Inputs!$I$14+Inputs!$D$15*Inputs!$I$15+Inputs!$D$16*Inputs!$I$16)</f>
        <v>0</v>
      </c>
      <c r="S12" s="21">
        <f>(Inputs!$D$12*Inputs!$I$12*S29+Inputs!$D$13*Inputs!$I$13*S57+Inputs!$D$14*Inputs!$I$14*S85+Inputs!$D$15*Inputs!$I$15*S113+Inputs!$D$16*Inputs!$I$16*S141)/(Inputs!$D$12*Inputs!$I$12+Inputs!$D$13*Inputs!$I$13+Inputs!$D$14*Inputs!$I$14+Inputs!$D$15*Inputs!$I$15+Inputs!$D$16*Inputs!$I$16)</f>
        <v>0</v>
      </c>
      <c r="T12" s="21">
        <f>(Inputs!$D$12*Inputs!$I$12*T29+Inputs!$D$13*Inputs!$I$13*T57+Inputs!$D$14*Inputs!$I$14*T85+Inputs!$D$15*Inputs!$I$15*T113+Inputs!$D$16*Inputs!$I$16*T141)/(Inputs!$D$12*Inputs!$I$12+Inputs!$D$13*Inputs!$I$13+Inputs!$D$14*Inputs!$I$14+Inputs!$D$15*Inputs!$I$15+Inputs!$D$16*Inputs!$I$16)</f>
        <v>0</v>
      </c>
      <c r="U12" s="21">
        <f>(Inputs!$D$12*Inputs!$I$12*U29+Inputs!$D$13*Inputs!$I$13*U57+Inputs!$D$14*Inputs!$I$14*U85+Inputs!$D$15*Inputs!$I$15*U113+Inputs!$D$16*Inputs!$I$16*U141)/(Inputs!$D$12*Inputs!$I$12+Inputs!$D$13*Inputs!$I$13+Inputs!$D$14*Inputs!$I$14+Inputs!$D$15*Inputs!$I$15+Inputs!$D$16*Inputs!$I$16)</f>
        <v>0</v>
      </c>
      <c r="V12" s="21">
        <f>(Inputs!$D$12*Inputs!$I$12*V29+Inputs!$D$13*Inputs!$I$13*V57+Inputs!$D$14*Inputs!$I$14*V85+Inputs!$D$15*Inputs!$I$15*V113+Inputs!$D$16*Inputs!$I$16*V141)/(Inputs!$D$12*Inputs!$I$12+Inputs!$D$13*Inputs!$I$13+Inputs!$D$14*Inputs!$I$14+Inputs!$D$15*Inputs!$I$15+Inputs!$D$16*Inputs!$I$16)</f>
        <v>0</v>
      </c>
      <c r="W12" s="21">
        <f>(Inputs!$D$12*Inputs!$I$12*W29+Inputs!$D$13*Inputs!$I$13*W57+Inputs!$D$14*Inputs!$I$14*W85+Inputs!$D$15*Inputs!$I$15*W113+Inputs!$D$16*Inputs!$I$16*W141)/(Inputs!$D$12*Inputs!$I$12+Inputs!$D$13*Inputs!$I$13+Inputs!$D$14*Inputs!$I$14+Inputs!$D$15*Inputs!$I$15+Inputs!$D$16*Inputs!$I$16)</f>
        <v>0</v>
      </c>
    </row>
    <row r="13" spans="1:23" ht="18" customHeight="1" x14ac:dyDescent="0.25">
      <c r="A13" s="11" t="str">
        <f>NGS_Bacteria_Input!A13</f>
        <v>Bac_taxon_9</v>
      </c>
      <c r="B13" s="21">
        <f>(Inputs!$D$12*Inputs!$I$12*B30+Inputs!$D$13*Inputs!$I$13*B58+Inputs!$D$14*Inputs!$I$14*B86+Inputs!$D$15*Inputs!$I$15*B114+Inputs!$D$16*Inputs!$I$16*B142)/(Inputs!$D$12*Inputs!$I$12+Inputs!$D$13*Inputs!$I$13+Inputs!$D$14*Inputs!$I$14+Inputs!$D$15*Inputs!$I$15+Inputs!$D$16*Inputs!$I$16)</f>
        <v>0</v>
      </c>
      <c r="C13" s="21">
        <f>(Inputs!$D$12*Inputs!$I$12*C30+Inputs!$D$13*Inputs!$I$13*C58+Inputs!$D$14*Inputs!$I$14*C86+Inputs!$D$15*Inputs!$I$15*C114+Inputs!$D$16*Inputs!$I$16*C142)/(Inputs!$D$12*Inputs!$I$12+Inputs!$D$13*Inputs!$I$13+Inputs!$D$14*Inputs!$I$14+Inputs!$D$15*Inputs!$I$15+Inputs!$D$16*Inputs!$I$16)</f>
        <v>0</v>
      </c>
      <c r="D13" s="21">
        <f>(Inputs!$D$12*Inputs!$I$12*D30+Inputs!$D$13*Inputs!$I$13*D58+Inputs!$D$14*Inputs!$I$14*D86+Inputs!$D$15*Inputs!$I$15*D114+Inputs!$D$16*Inputs!$I$16*D142)/(Inputs!$D$12*Inputs!$I$12+Inputs!$D$13*Inputs!$I$13+Inputs!$D$14*Inputs!$I$14+Inputs!$D$15*Inputs!$I$15+Inputs!$D$16*Inputs!$I$16)</f>
        <v>0</v>
      </c>
      <c r="E13" s="21">
        <f>(Inputs!$D$12*Inputs!$I$12*E30+Inputs!$D$13*Inputs!$I$13*E58+Inputs!$D$14*Inputs!$I$14*E86+Inputs!$D$15*Inputs!$I$15*E114+Inputs!$D$16*Inputs!$I$16*E142)/(Inputs!$D$12*Inputs!$I$12+Inputs!$D$13*Inputs!$I$13+Inputs!$D$14*Inputs!$I$14+Inputs!$D$15*Inputs!$I$15+Inputs!$D$16*Inputs!$I$16)</f>
        <v>0</v>
      </c>
      <c r="F13" s="21">
        <f>(Inputs!$D$12*Inputs!$I$12*F30+Inputs!$D$13*Inputs!$I$13*F58+Inputs!$D$14*Inputs!$I$14*F86+Inputs!$D$15*Inputs!$I$15*F114+Inputs!$D$16*Inputs!$I$16*F142)/(Inputs!$D$12*Inputs!$I$12+Inputs!$D$13*Inputs!$I$13+Inputs!$D$14*Inputs!$I$14+Inputs!$D$15*Inputs!$I$15+Inputs!$D$16*Inputs!$I$16)</f>
        <v>0</v>
      </c>
      <c r="G13" s="21">
        <f>(Inputs!$D$12*Inputs!$I$12*G30+Inputs!$D$13*Inputs!$I$13*G58+Inputs!$D$14*Inputs!$I$14*G86+Inputs!$D$15*Inputs!$I$15*G114+Inputs!$D$16*Inputs!$I$16*G142)/(Inputs!$D$12*Inputs!$I$12+Inputs!$D$13*Inputs!$I$13+Inputs!$D$14*Inputs!$I$14+Inputs!$D$15*Inputs!$I$15+Inputs!$D$16*Inputs!$I$16)</f>
        <v>0</v>
      </c>
      <c r="H13" s="21">
        <f>(Inputs!$D$12*Inputs!$I$12*H30+Inputs!$D$13*Inputs!$I$13*H58+Inputs!$D$14*Inputs!$I$14*H86+Inputs!$D$15*Inputs!$I$15*H114+Inputs!$D$16*Inputs!$I$16*H142)/(Inputs!$D$12*Inputs!$I$12+Inputs!$D$13*Inputs!$I$13+Inputs!$D$14*Inputs!$I$14+Inputs!$D$15*Inputs!$I$15+Inputs!$D$16*Inputs!$I$16)</f>
        <v>0</v>
      </c>
      <c r="I13" s="21">
        <f>(Inputs!$D$12*Inputs!$I$12*I30+Inputs!$D$13*Inputs!$I$13*I58+Inputs!$D$14*Inputs!$I$14*I86+Inputs!$D$15*Inputs!$I$15*I114+Inputs!$D$16*Inputs!$I$16*I142)/(Inputs!$D$12*Inputs!$I$12+Inputs!$D$13*Inputs!$I$13+Inputs!$D$14*Inputs!$I$14+Inputs!$D$15*Inputs!$I$15+Inputs!$D$16*Inputs!$I$16)</f>
        <v>0</v>
      </c>
      <c r="J13" s="21">
        <f>(Inputs!$D$12*Inputs!$I$12*J30+Inputs!$D$13*Inputs!$I$13*J58+Inputs!$D$14*Inputs!$I$14*J86+Inputs!$D$15*Inputs!$I$15*J114+Inputs!$D$16*Inputs!$I$16*J142)/(Inputs!$D$12*Inputs!$I$12+Inputs!$D$13*Inputs!$I$13+Inputs!$D$14*Inputs!$I$14+Inputs!$D$15*Inputs!$I$15+Inputs!$D$16*Inputs!$I$16)</f>
        <v>0</v>
      </c>
      <c r="K13" s="21">
        <f>(Inputs!$D$12*Inputs!$I$12*K30+Inputs!$D$13*Inputs!$I$13*K58+Inputs!$D$14*Inputs!$I$14*K86+Inputs!$D$15*Inputs!$I$15*K114+Inputs!$D$16*Inputs!$I$16*K142)/(Inputs!$D$12*Inputs!$I$12+Inputs!$D$13*Inputs!$I$13+Inputs!$D$14*Inputs!$I$14+Inputs!$D$15*Inputs!$I$15+Inputs!$D$16*Inputs!$I$16)</f>
        <v>0</v>
      </c>
      <c r="L13" s="21">
        <f>(Inputs!$D$12*Inputs!$I$12*L30+Inputs!$D$13*Inputs!$I$13*L58+Inputs!$D$14*Inputs!$I$14*L86+Inputs!$D$15*Inputs!$I$15*L114+Inputs!$D$16*Inputs!$I$16*L142)/(Inputs!$D$12*Inputs!$I$12+Inputs!$D$13*Inputs!$I$13+Inputs!$D$14*Inputs!$I$14+Inputs!$D$15*Inputs!$I$15+Inputs!$D$16*Inputs!$I$16)</f>
        <v>0</v>
      </c>
      <c r="M13" s="21">
        <f>(Inputs!$D$12*Inputs!$I$12*M30+Inputs!$D$13*Inputs!$I$13*M58+Inputs!$D$14*Inputs!$I$14*M86+Inputs!$D$15*Inputs!$I$15*M114+Inputs!$D$16*Inputs!$I$16*M142)/(Inputs!$D$12*Inputs!$I$12+Inputs!$D$13*Inputs!$I$13+Inputs!$D$14*Inputs!$I$14+Inputs!$D$15*Inputs!$I$15+Inputs!$D$16*Inputs!$I$16)</f>
        <v>0</v>
      </c>
      <c r="N13" s="21">
        <f>(Inputs!$D$12*Inputs!$I$12*N30+Inputs!$D$13*Inputs!$I$13*N58+Inputs!$D$14*Inputs!$I$14*N86+Inputs!$D$15*Inputs!$I$15*N114+Inputs!$D$16*Inputs!$I$16*N142)/(Inputs!$D$12*Inputs!$I$12+Inputs!$D$13*Inputs!$I$13+Inputs!$D$14*Inputs!$I$14+Inputs!$D$15*Inputs!$I$15+Inputs!$D$16*Inputs!$I$16)</f>
        <v>0</v>
      </c>
      <c r="O13" s="21">
        <f>(Inputs!$D$12*Inputs!$I$12*O30+Inputs!$D$13*Inputs!$I$13*O58+Inputs!$D$14*Inputs!$I$14*O86+Inputs!$D$15*Inputs!$I$15*O114+Inputs!$D$16*Inputs!$I$16*O142)/(Inputs!$D$12*Inputs!$I$12+Inputs!$D$13*Inputs!$I$13+Inputs!$D$14*Inputs!$I$14+Inputs!$D$15*Inputs!$I$15+Inputs!$D$16*Inputs!$I$16)</f>
        <v>0</v>
      </c>
      <c r="P13" s="21">
        <f>(Inputs!$D$12*Inputs!$I$12*P30+Inputs!$D$13*Inputs!$I$13*P58+Inputs!$D$14*Inputs!$I$14*P86+Inputs!$D$15*Inputs!$I$15*P114+Inputs!$D$16*Inputs!$I$16*P142)/(Inputs!$D$12*Inputs!$I$12+Inputs!$D$13*Inputs!$I$13+Inputs!$D$14*Inputs!$I$14+Inputs!$D$15*Inputs!$I$15+Inputs!$D$16*Inputs!$I$16)</f>
        <v>0</v>
      </c>
      <c r="Q13" s="21">
        <f>(Inputs!$D$12*Inputs!$I$12*Q30+Inputs!$D$13*Inputs!$I$13*Q58+Inputs!$D$14*Inputs!$I$14*Q86+Inputs!$D$15*Inputs!$I$15*Q114+Inputs!$D$16*Inputs!$I$16*Q142)/(Inputs!$D$12*Inputs!$I$12+Inputs!$D$13*Inputs!$I$13+Inputs!$D$14*Inputs!$I$14+Inputs!$D$15*Inputs!$I$15+Inputs!$D$16*Inputs!$I$16)</f>
        <v>0</v>
      </c>
      <c r="R13" s="21">
        <f>(Inputs!$D$12*Inputs!$I$12*R30+Inputs!$D$13*Inputs!$I$13*R58+Inputs!$D$14*Inputs!$I$14*R86+Inputs!$D$15*Inputs!$I$15*R114+Inputs!$D$16*Inputs!$I$16*R142)/(Inputs!$D$12*Inputs!$I$12+Inputs!$D$13*Inputs!$I$13+Inputs!$D$14*Inputs!$I$14+Inputs!$D$15*Inputs!$I$15+Inputs!$D$16*Inputs!$I$16)</f>
        <v>0</v>
      </c>
      <c r="S13" s="21">
        <f>(Inputs!$D$12*Inputs!$I$12*S30+Inputs!$D$13*Inputs!$I$13*S58+Inputs!$D$14*Inputs!$I$14*S86+Inputs!$D$15*Inputs!$I$15*S114+Inputs!$D$16*Inputs!$I$16*S142)/(Inputs!$D$12*Inputs!$I$12+Inputs!$D$13*Inputs!$I$13+Inputs!$D$14*Inputs!$I$14+Inputs!$D$15*Inputs!$I$15+Inputs!$D$16*Inputs!$I$16)</f>
        <v>0</v>
      </c>
      <c r="T13" s="21">
        <f>(Inputs!$D$12*Inputs!$I$12*T30+Inputs!$D$13*Inputs!$I$13*T58+Inputs!$D$14*Inputs!$I$14*T86+Inputs!$D$15*Inputs!$I$15*T114+Inputs!$D$16*Inputs!$I$16*T142)/(Inputs!$D$12*Inputs!$I$12+Inputs!$D$13*Inputs!$I$13+Inputs!$D$14*Inputs!$I$14+Inputs!$D$15*Inputs!$I$15+Inputs!$D$16*Inputs!$I$16)</f>
        <v>0</v>
      </c>
      <c r="U13" s="21">
        <f>(Inputs!$D$12*Inputs!$I$12*U30+Inputs!$D$13*Inputs!$I$13*U58+Inputs!$D$14*Inputs!$I$14*U86+Inputs!$D$15*Inputs!$I$15*U114+Inputs!$D$16*Inputs!$I$16*U142)/(Inputs!$D$12*Inputs!$I$12+Inputs!$D$13*Inputs!$I$13+Inputs!$D$14*Inputs!$I$14+Inputs!$D$15*Inputs!$I$15+Inputs!$D$16*Inputs!$I$16)</f>
        <v>0</v>
      </c>
      <c r="V13" s="21">
        <f>(Inputs!$D$12*Inputs!$I$12*V30+Inputs!$D$13*Inputs!$I$13*V58+Inputs!$D$14*Inputs!$I$14*V86+Inputs!$D$15*Inputs!$I$15*V114+Inputs!$D$16*Inputs!$I$16*V142)/(Inputs!$D$12*Inputs!$I$12+Inputs!$D$13*Inputs!$I$13+Inputs!$D$14*Inputs!$I$14+Inputs!$D$15*Inputs!$I$15+Inputs!$D$16*Inputs!$I$16)</f>
        <v>0</v>
      </c>
      <c r="W13" s="21">
        <f>(Inputs!$D$12*Inputs!$I$12*W30+Inputs!$D$13*Inputs!$I$13*W58+Inputs!$D$14*Inputs!$I$14*W86+Inputs!$D$15*Inputs!$I$15*W114+Inputs!$D$16*Inputs!$I$16*W142)/(Inputs!$D$12*Inputs!$I$12+Inputs!$D$13*Inputs!$I$13+Inputs!$D$14*Inputs!$I$14+Inputs!$D$15*Inputs!$I$15+Inputs!$D$16*Inputs!$I$16)</f>
        <v>0</v>
      </c>
    </row>
    <row r="14" spans="1:23" ht="18" customHeight="1" x14ac:dyDescent="0.25">
      <c r="A14" s="11" t="str">
        <f>NGS_Bacteria_Input!A14</f>
        <v>Bac_taxon_10</v>
      </c>
      <c r="B14" s="21">
        <f>(Inputs!$D$12*Inputs!$I$12*B31+Inputs!$D$13*Inputs!$I$13*B59+Inputs!$D$14*Inputs!$I$14*B87+Inputs!$D$15*Inputs!$I$15*B115+Inputs!$D$16*Inputs!$I$16*B143)/(Inputs!$D$12*Inputs!$I$12+Inputs!$D$13*Inputs!$I$13+Inputs!$D$14*Inputs!$I$14+Inputs!$D$15*Inputs!$I$15+Inputs!$D$16*Inputs!$I$16)</f>
        <v>0</v>
      </c>
      <c r="C14" s="21">
        <f>(Inputs!$D$12*Inputs!$I$12*C31+Inputs!$D$13*Inputs!$I$13*C59+Inputs!$D$14*Inputs!$I$14*C87+Inputs!$D$15*Inputs!$I$15*C115+Inputs!$D$16*Inputs!$I$16*C143)/(Inputs!$D$12*Inputs!$I$12+Inputs!$D$13*Inputs!$I$13+Inputs!$D$14*Inputs!$I$14+Inputs!$D$15*Inputs!$I$15+Inputs!$D$16*Inputs!$I$16)</f>
        <v>0</v>
      </c>
      <c r="D14" s="21">
        <f>(Inputs!$D$12*Inputs!$I$12*D31+Inputs!$D$13*Inputs!$I$13*D59+Inputs!$D$14*Inputs!$I$14*D87+Inputs!$D$15*Inputs!$I$15*D115+Inputs!$D$16*Inputs!$I$16*D143)/(Inputs!$D$12*Inputs!$I$12+Inputs!$D$13*Inputs!$I$13+Inputs!$D$14*Inputs!$I$14+Inputs!$D$15*Inputs!$I$15+Inputs!$D$16*Inputs!$I$16)</f>
        <v>0</v>
      </c>
      <c r="E14" s="21">
        <f>(Inputs!$D$12*Inputs!$I$12*E31+Inputs!$D$13*Inputs!$I$13*E59+Inputs!$D$14*Inputs!$I$14*E87+Inputs!$D$15*Inputs!$I$15*E115+Inputs!$D$16*Inputs!$I$16*E143)/(Inputs!$D$12*Inputs!$I$12+Inputs!$D$13*Inputs!$I$13+Inputs!$D$14*Inputs!$I$14+Inputs!$D$15*Inputs!$I$15+Inputs!$D$16*Inputs!$I$16)</f>
        <v>0</v>
      </c>
      <c r="F14" s="21">
        <f>(Inputs!$D$12*Inputs!$I$12*F31+Inputs!$D$13*Inputs!$I$13*F59+Inputs!$D$14*Inputs!$I$14*F87+Inputs!$D$15*Inputs!$I$15*F115+Inputs!$D$16*Inputs!$I$16*F143)/(Inputs!$D$12*Inputs!$I$12+Inputs!$D$13*Inputs!$I$13+Inputs!$D$14*Inputs!$I$14+Inputs!$D$15*Inputs!$I$15+Inputs!$D$16*Inputs!$I$16)</f>
        <v>0</v>
      </c>
      <c r="G14" s="21">
        <f>(Inputs!$D$12*Inputs!$I$12*G31+Inputs!$D$13*Inputs!$I$13*G59+Inputs!$D$14*Inputs!$I$14*G87+Inputs!$D$15*Inputs!$I$15*G115+Inputs!$D$16*Inputs!$I$16*G143)/(Inputs!$D$12*Inputs!$I$12+Inputs!$D$13*Inputs!$I$13+Inputs!$D$14*Inputs!$I$14+Inputs!$D$15*Inputs!$I$15+Inputs!$D$16*Inputs!$I$16)</f>
        <v>0</v>
      </c>
      <c r="H14" s="21">
        <f>(Inputs!$D$12*Inputs!$I$12*H31+Inputs!$D$13*Inputs!$I$13*H59+Inputs!$D$14*Inputs!$I$14*H87+Inputs!$D$15*Inputs!$I$15*H115+Inputs!$D$16*Inputs!$I$16*H143)/(Inputs!$D$12*Inputs!$I$12+Inputs!$D$13*Inputs!$I$13+Inputs!$D$14*Inputs!$I$14+Inputs!$D$15*Inputs!$I$15+Inputs!$D$16*Inputs!$I$16)</f>
        <v>0</v>
      </c>
      <c r="I14" s="21">
        <f>(Inputs!$D$12*Inputs!$I$12*I31+Inputs!$D$13*Inputs!$I$13*I59+Inputs!$D$14*Inputs!$I$14*I87+Inputs!$D$15*Inputs!$I$15*I115+Inputs!$D$16*Inputs!$I$16*I143)/(Inputs!$D$12*Inputs!$I$12+Inputs!$D$13*Inputs!$I$13+Inputs!$D$14*Inputs!$I$14+Inputs!$D$15*Inputs!$I$15+Inputs!$D$16*Inputs!$I$16)</f>
        <v>0</v>
      </c>
      <c r="J14" s="21">
        <f>(Inputs!$D$12*Inputs!$I$12*J31+Inputs!$D$13*Inputs!$I$13*J59+Inputs!$D$14*Inputs!$I$14*J87+Inputs!$D$15*Inputs!$I$15*J115+Inputs!$D$16*Inputs!$I$16*J143)/(Inputs!$D$12*Inputs!$I$12+Inputs!$D$13*Inputs!$I$13+Inputs!$D$14*Inputs!$I$14+Inputs!$D$15*Inputs!$I$15+Inputs!$D$16*Inputs!$I$16)</f>
        <v>0</v>
      </c>
      <c r="K14" s="21">
        <f>(Inputs!$D$12*Inputs!$I$12*K31+Inputs!$D$13*Inputs!$I$13*K59+Inputs!$D$14*Inputs!$I$14*K87+Inputs!$D$15*Inputs!$I$15*K115+Inputs!$D$16*Inputs!$I$16*K143)/(Inputs!$D$12*Inputs!$I$12+Inputs!$D$13*Inputs!$I$13+Inputs!$D$14*Inputs!$I$14+Inputs!$D$15*Inputs!$I$15+Inputs!$D$16*Inputs!$I$16)</f>
        <v>0</v>
      </c>
      <c r="L14" s="21">
        <f>(Inputs!$D$12*Inputs!$I$12*L31+Inputs!$D$13*Inputs!$I$13*L59+Inputs!$D$14*Inputs!$I$14*L87+Inputs!$D$15*Inputs!$I$15*L115+Inputs!$D$16*Inputs!$I$16*L143)/(Inputs!$D$12*Inputs!$I$12+Inputs!$D$13*Inputs!$I$13+Inputs!$D$14*Inputs!$I$14+Inputs!$D$15*Inputs!$I$15+Inputs!$D$16*Inputs!$I$16)</f>
        <v>0</v>
      </c>
      <c r="M14" s="21">
        <f>(Inputs!$D$12*Inputs!$I$12*M31+Inputs!$D$13*Inputs!$I$13*M59+Inputs!$D$14*Inputs!$I$14*M87+Inputs!$D$15*Inputs!$I$15*M115+Inputs!$D$16*Inputs!$I$16*M143)/(Inputs!$D$12*Inputs!$I$12+Inputs!$D$13*Inputs!$I$13+Inputs!$D$14*Inputs!$I$14+Inputs!$D$15*Inputs!$I$15+Inputs!$D$16*Inputs!$I$16)</f>
        <v>0</v>
      </c>
      <c r="N14" s="21">
        <f>(Inputs!$D$12*Inputs!$I$12*N31+Inputs!$D$13*Inputs!$I$13*N59+Inputs!$D$14*Inputs!$I$14*N87+Inputs!$D$15*Inputs!$I$15*N115+Inputs!$D$16*Inputs!$I$16*N143)/(Inputs!$D$12*Inputs!$I$12+Inputs!$D$13*Inputs!$I$13+Inputs!$D$14*Inputs!$I$14+Inputs!$D$15*Inputs!$I$15+Inputs!$D$16*Inputs!$I$16)</f>
        <v>0</v>
      </c>
      <c r="O14" s="21">
        <f>(Inputs!$D$12*Inputs!$I$12*O31+Inputs!$D$13*Inputs!$I$13*O59+Inputs!$D$14*Inputs!$I$14*O87+Inputs!$D$15*Inputs!$I$15*O115+Inputs!$D$16*Inputs!$I$16*O143)/(Inputs!$D$12*Inputs!$I$12+Inputs!$D$13*Inputs!$I$13+Inputs!$D$14*Inputs!$I$14+Inputs!$D$15*Inputs!$I$15+Inputs!$D$16*Inputs!$I$16)</f>
        <v>0</v>
      </c>
      <c r="P14" s="21">
        <f>(Inputs!$D$12*Inputs!$I$12*P31+Inputs!$D$13*Inputs!$I$13*P59+Inputs!$D$14*Inputs!$I$14*P87+Inputs!$D$15*Inputs!$I$15*P115+Inputs!$D$16*Inputs!$I$16*P143)/(Inputs!$D$12*Inputs!$I$12+Inputs!$D$13*Inputs!$I$13+Inputs!$D$14*Inputs!$I$14+Inputs!$D$15*Inputs!$I$15+Inputs!$D$16*Inputs!$I$16)</f>
        <v>0</v>
      </c>
      <c r="Q14" s="21">
        <f>(Inputs!$D$12*Inputs!$I$12*Q31+Inputs!$D$13*Inputs!$I$13*Q59+Inputs!$D$14*Inputs!$I$14*Q87+Inputs!$D$15*Inputs!$I$15*Q115+Inputs!$D$16*Inputs!$I$16*Q143)/(Inputs!$D$12*Inputs!$I$12+Inputs!$D$13*Inputs!$I$13+Inputs!$D$14*Inputs!$I$14+Inputs!$D$15*Inputs!$I$15+Inputs!$D$16*Inputs!$I$16)</f>
        <v>0</v>
      </c>
      <c r="R14" s="21">
        <f>(Inputs!$D$12*Inputs!$I$12*R31+Inputs!$D$13*Inputs!$I$13*R59+Inputs!$D$14*Inputs!$I$14*R87+Inputs!$D$15*Inputs!$I$15*R115+Inputs!$D$16*Inputs!$I$16*R143)/(Inputs!$D$12*Inputs!$I$12+Inputs!$D$13*Inputs!$I$13+Inputs!$D$14*Inputs!$I$14+Inputs!$D$15*Inputs!$I$15+Inputs!$D$16*Inputs!$I$16)</f>
        <v>0</v>
      </c>
      <c r="S14" s="21">
        <f>(Inputs!$D$12*Inputs!$I$12*S31+Inputs!$D$13*Inputs!$I$13*S59+Inputs!$D$14*Inputs!$I$14*S87+Inputs!$D$15*Inputs!$I$15*S115+Inputs!$D$16*Inputs!$I$16*S143)/(Inputs!$D$12*Inputs!$I$12+Inputs!$D$13*Inputs!$I$13+Inputs!$D$14*Inputs!$I$14+Inputs!$D$15*Inputs!$I$15+Inputs!$D$16*Inputs!$I$16)</f>
        <v>0</v>
      </c>
      <c r="T14" s="21">
        <f>(Inputs!$D$12*Inputs!$I$12*T31+Inputs!$D$13*Inputs!$I$13*T59+Inputs!$D$14*Inputs!$I$14*T87+Inputs!$D$15*Inputs!$I$15*T115+Inputs!$D$16*Inputs!$I$16*T143)/(Inputs!$D$12*Inputs!$I$12+Inputs!$D$13*Inputs!$I$13+Inputs!$D$14*Inputs!$I$14+Inputs!$D$15*Inputs!$I$15+Inputs!$D$16*Inputs!$I$16)</f>
        <v>0</v>
      </c>
      <c r="U14" s="21">
        <f>(Inputs!$D$12*Inputs!$I$12*U31+Inputs!$D$13*Inputs!$I$13*U59+Inputs!$D$14*Inputs!$I$14*U87+Inputs!$D$15*Inputs!$I$15*U115+Inputs!$D$16*Inputs!$I$16*U143)/(Inputs!$D$12*Inputs!$I$12+Inputs!$D$13*Inputs!$I$13+Inputs!$D$14*Inputs!$I$14+Inputs!$D$15*Inputs!$I$15+Inputs!$D$16*Inputs!$I$16)</f>
        <v>0</v>
      </c>
      <c r="V14" s="21">
        <f>(Inputs!$D$12*Inputs!$I$12*V31+Inputs!$D$13*Inputs!$I$13*V59+Inputs!$D$14*Inputs!$I$14*V87+Inputs!$D$15*Inputs!$I$15*V115+Inputs!$D$16*Inputs!$I$16*V143)/(Inputs!$D$12*Inputs!$I$12+Inputs!$D$13*Inputs!$I$13+Inputs!$D$14*Inputs!$I$14+Inputs!$D$15*Inputs!$I$15+Inputs!$D$16*Inputs!$I$16)</f>
        <v>0</v>
      </c>
      <c r="W14" s="21">
        <f>(Inputs!$D$12*Inputs!$I$12*W31+Inputs!$D$13*Inputs!$I$13*W59+Inputs!$D$14*Inputs!$I$14*W87+Inputs!$D$15*Inputs!$I$15*W115+Inputs!$D$16*Inputs!$I$16*W143)/(Inputs!$D$12*Inputs!$I$12+Inputs!$D$13*Inputs!$I$13+Inputs!$D$14*Inputs!$I$14+Inputs!$D$15*Inputs!$I$15+Inputs!$D$16*Inputs!$I$16)</f>
        <v>0</v>
      </c>
    </row>
    <row r="15" spans="1:23" ht="18" customHeight="1" x14ac:dyDescent="0.25">
      <c r="A15" s="11" t="str">
        <f>NGS_Bacteria_Input!A15</f>
        <v>Others</v>
      </c>
      <c r="B15" s="21">
        <f>(Inputs!$D$12*Inputs!$I$12*B32+Inputs!$D$13*Inputs!$I$13*B60+Inputs!$D$14*Inputs!$I$14*B88+Inputs!$D$15*Inputs!$I$15*B116+Inputs!$D$16*Inputs!$I$16*B144)/(Inputs!$D$12*Inputs!$I$12+Inputs!$D$13*Inputs!$I$13+Inputs!$D$14*Inputs!$I$14+Inputs!$D$15*Inputs!$I$15+Inputs!$D$16*Inputs!$I$16)</f>
        <v>1349408.7449664546</v>
      </c>
      <c r="C15" s="21">
        <f>(Inputs!$D$12*Inputs!$I$12*C32+Inputs!$D$13*Inputs!$I$13*C60+Inputs!$D$14*Inputs!$I$14*C88+Inputs!$D$15*Inputs!$I$15*C116+Inputs!$D$16*Inputs!$I$16*C144)/(Inputs!$D$12*Inputs!$I$12+Inputs!$D$13*Inputs!$I$13+Inputs!$D$14*Inputs!$I$14+Inputs!$D$15*Inputs!$I$15+Inputs!$D$16*Inputs!$I$16)</f>
        <v>1320552.5599355637</v>
      </c>
      <c r="D15" s="21">
        <f>(Inputs!$D$12*Inputs!$I$12*D32+Inputs!$D$13*Inputs!$I$13*D60+Inputs!$D$14*Inputs!$I$14*D88+Inputs!$D$15*Inputs!$I$15*D116+Inputs!$D$16*Inputs!$I$16*D144)/(Inputs!$D$12*Inputs!$I$12+Inputs!$D$13*Inputs!$I$13+Inputs!$D$14*Inputs!$I$14+Inputs!$D$15*Inputs!$I$15+Inputs!$D$16*Inputs!$I$16)</f>
        <v>1292355.7054703257</v>
      </c>
      <c r="E15" s="21">
        <f>(Inputs!$D$12*Inputs!$I$12*E32+Inputs!$D$13*Inputs!$I$13*E60+Inputs!$D$14*Inputs!$I$14*E88+Inputs!$D$15*Inputs!$I$15*E116+Inputs!$D$16*Inputs!$I$16*E144)/(Inputs!$D$12*Inputs!$I$12+Inputs!$D$13*Inputs!$I$13+Inputs!$D$14*Inputs!$I$14+Inputs!$D$15*Inputs!$I$15+Inputs!$D$16*Inputs!$I$16)</f>
        <v>1264801.7421188119</v>
      </c>
      <c r="F15" s="21">
        <f>(Inputs!$D$12*Inputs!$I$12*F32+Inputs!$D$13*Inputs!$I$13*F60+Inputs!$D$14*Inputs!$I$14*F88+Inputs!$D$15*Inputs!$I$15*F116+Inputs!$D$16*Inputs!$I$16*F144)/(Inputs!$D$12*Inputs!$I$12+Inputs!$D$13*Inputs!$I$13+Inputs!$D$14*Inputs!$I$14+Inputs!$D$15*Inputs!$I$15+Inputs!$D$16*Inputs!$I$16)</f>
        <v>1237874.7009688923</v>
      </c>
      <c r="G15" s="21">
        <f>(Inputs!$D$12*Inputs!$I$12*G32+Inputs!$D$13*Inputs!$I$13*G60+Inputs!$D$14*Inputs!$I$14*G88+Inputs!$D$15*Inputs!$I$15*G116+Inputs!$D$16*Inputs!$I$16*G144)/(Inputs!$D$12*Inputs!$I$12+Inputs!$D$13*Inputs!$I$13+Inputs!$D$14*Inputs!$I$14+Inputs!$D$15*Inputs!$I$15+Inputs!$D$16*Inputs!$I$16)</f>
        <v>1211559.0677261299</v>
      </c>
      <c r="H15" s="21">
        <f>(Inputs!$D$12*Inputs!$I$12*H32+Inputs!$D$13*Inputs!$I$13*H60+Inputs!$D$14*Inputs!$I$14*H88+Inputs!$D$15*Inputs!$I$15*H116+Inputs!$D$16*Inputs!$I$16*H144)/(Inputs!$D$12*Inputs!$I$12+Inputs!$D$13*Inputs!$I$13+Inputs!$D$14*Inputs!$I$14+Inputs!$D$15*Inputs!$I$15+Inputs!$D$16*Inputs!$I$16)</f>
        <v>1185839.7674170309</v>
      </c>
      <c r="I15" s="21">
        <f>(Inputs!$D$12*Inputs!$I$12*I32+Inputs!$D$13*Inputs!$I$13*I60+Inputs!$D$14*Inputs!$I$14*I88+Inputs!$D$15*Inputs!$I$15*I116+Inputs!$D$16*Inputs!$I$16*I144)/(Inputs!$D$12*Inputs!$I$12+Inputs!$D$13*Inputs!$I$13+Inputs!$D$14*Inputs!$I$14+Inputs!$D$15*Inputs!$I$15+Inputs!$D$16*Inputs!$I$16)</f>
        <v>1160702.1496905112</v>
      </c>
      <c r="J15" s="21">
        <f>(Inputs!$D$12*Inputs!$I$12*J32+Inputs!$D$13*Inputs!$I$13*J60+Inputs!$D$14*Inputs!$I$14*J88+Inputs!$D$15*Inputs!$I$15*J116+Inputs!$D$16*Inputs!$I$16*J144)/(Inputs!$D$12*Inputs!$I$12+Inputs!$D$13*Inputs!$I$13+Inputs!$D$14*Inputs!$I$14+Inputs!$D$15*Inputs!$I$15+Inputs!$D$16*Inputs!$I$16)</f>
        <v>1136131.974691666</v>
      </c>
      <c r="K15" s="21">
        <f>(Inputs!$D$12*Inputs!$I$12*K32+Inputs!$D$13*Inputs!$I$13*K60+Inputs!$D$14*Inputs!$I$14*K88+Inputs!$D$15*Inputs!$I$15*K116+Inputs!$D$16*Inputs!$I$16*K144)/(Inputs!$D$12*Inputs!$I$12+Inputs!$D$13*Inputs!$I$13+Inputs!$D$14*Inputs!$I$14+Inputs!$D$15*Inputs!$I$15+Inputs!$D$16*Inputs!$I$16)</f>
        <v>1112115.3994831289</v>
      </c>
      <c r="L15" s="21">
        <f>(Inputs!$D$12*Inputs!$I$12*L32+Inputs!$D$13*Inputs!$I$13*L60+Inputs!$D$14*Inputs!$I$14*L88+Inputs!$D$15*Inputs!$I$15*L116+Inputs!$D$16*Inputs!$I$16*L144)/(Inputs!$D$12*Inputs!$I$12+Inputs!$D$13*Inputs!$I$13+Inputs!$D$14*Inputs!$I$14+Inputs!$D$15*Inputs!$I$15+Inputs!$D$16*Inputs!$I$16)</f>
        <v>1088638.9649904352</v>
      </c>
      <c r="M15" s="21">
        <f>(Inputs!$D$12*Inputs!$I$12*M32+Inputs!$D$13*Inputs!$I$13*M60+Inputs!$D$14*Inputs!$I$14*M88+Inputs!$D$15*Inputs!$I$15*M116+Inputs!$D$16*Inputs!$I$16*M144)/(Inputs!$D$12*Inputs!$I$12+Inputs!$D$13*Inputs!$I$13+Inputs!$D$14*Inputs!$I$14+Inputs!$D$15*Inputs!$I$15+Inputs!$D$16*Inputs!$I$16)</f>
        <v>1065689.5834488771</v>
      </c>
      <c r="N15" s="21">
        <f>(Inputs!$D$12*Inputs!$I$12*N32+Inputs!$D$13*Inputs!$I$13*N60+Inputs!$D$14*Inputs!$I$14*N88+Inputs!$D$15*Inputs!$I$15*N116+Inputs!$D$16*Inputs!$I$16*N144)/(Inputs!$D$12*Inputs!$I$12+Inputs!$D$13*Inputs!$I$13+Inputs!$D$14*Inputs!$I$14+Inputs!$D$15*Inputs!$I$15+Inputs!$D$16*Inputs!$I$16)</f>
        <v>1043254.5263303698</v>
      </c>
      <c r="O15" s="21">
        <f>(Inputs!$D$12*Inputs!$I$12*O32+Inputs!$D$13*Inputs!$I$13*O60+Inputs!$D$14*Inputs!$I$14*O88+Inputs!$D$15*Inputs!$I$15*O116+Inputs!$D$16*Inputs!$I$16*O144)/(Inputs!$D$12*Inputs!$I$12+Inputs!$D$13*Inputs!$I$13+Inputs!$D$14*Inputs!$I$14+Inputs!$D$15*Inputs!$I$15+Inputs!$D$16*Inputs!$I$16)</f>
        <v>1021321.4127298262</v>
      </c>
      <c r="P15" s="21">
        <f>(Inputs!$D$12*Inputs!$I$12*P32+Inputs!$D$13*Inputs!$I$13*P60+Inputs!$D$14*Inputs!$I$14*P88+Inputs!$D$15*Inputs!$I$15*P116+Inputs!$D$16*Inputs!$I$16*P144)/(Inputs!$D$12*Inputs!$I$12+Inputs!$D$13*Inputs!$I$13+Inputs!$D$14*Inputs!$I$14+Inputs!$D$15*Inputs!$I$15+Inputs!$D$16*Inputs!$I$16)</f>
        <v>999878.19819147035</v>
      </c>
      <c r="Q15" s="21">
        <f>(Inputs!$D$12*Inputs!$I$12*Q32+Inputs!$D$13*Inputs!$I$13*Q60+Inputs!$D$14*Inputs!$I$14*Q88+Inputs!$D$15*Inputs!$I$15*Q116+Inputs!$D$16*Inputs!$I$16*Q144)/(Inputs!$D$12*Inputs!$I$12+Inputs!$D$13*Inputs!$I$13+Inputs!$D$14*Inputs!$I$14+Inputs!$D$15*Inputs!$I$15+Inputs!$D$16*Inputs!$I$16)</f>
        <v>978913.16395640292</v>
      </c>
      <c r="R15" s="21">
        <f>(Inputs!$D$12*Inputs!$I$12*R32+Inputs!$D$13*Inputs!$I$13*R60+Inputs!$D$14*Inputs!$I$14*R88+Inputs!$D$15*Inputs!$I$15*R116+Inputs!$D$16*Inputs!$I$16*R144)/(Inputs!$D$12*Inputs!$I$12+Inputs!$D$13*Inputs!$I$13+Inputs!$D$14*Inputs!$I$14+Inputs!$D$15*Inputs!$I$15+Inputs!$D$16*Inputs!$I$16)</f>
        <v>958414.90661359078</v>
      </c>
      <c r="S15" s="21">
        <f>(Inputs!$D$12*Inputs!$I$12*S32+Inputs!$D$13*Inputs!$I$13*S60+Inputs!$D$14*Inputs!$I$14*S88+Inputs!$D$15*Inputs!$I$15*S116+Inputs!$D$16*Inputs!$I$16*S144)/(Inputs!$D$12*Inputs!$I$12+Inputs!$D$13*Inputs!$I$13+Inputs!$D$14*Inputs!$I$14+Inputs!$D$15*Inputs!$I$15+Inputs!$D$16*Inputs!$I$16)</f>
        <v>938372.3281372505</v>
      </c>
      <c r="T15" s="21">
        <f>(Inputs!$D$12*Inputs!$I$12*T32+Inputs!$D$13*Inputs!$I$13*T60+Inputs!$D$14*Inputs!$I$14*T88+Inputs!$D$15*Inputs!$I$15*T116+Inputs!$D$16*Inputs!$I$16*T144)/(Inputs!$D$12*Inputs!$I$12+Inputs!$D$13*Inputs!$I$13+Inputs!$D$14*Inputs!$I$14+Inputs!$D$15*Inputs!$I$15+Inputs!$D$16*Inputs!$I$16)</f>
        <v>918774.62629436597</v>
      </c>
      <c r="U15" s="21">
        <f>(Inputs!$D$12*Inputs!$I$12*U32+Inputs!$D$13*Inputs!$I$13*U60+Inputs!$D$14*Inputs!$I$14*U88+Inputs!$D$15*Inputs!$I$15*U116+Inputs!$D$16*Inputs!$I$16*U144)/(Inputs!$D$12*Inputs!$I$12+Inputs!$D$13*Inputs!$I$13+Inputs!$D$14*Inputs!$I$14+Inputs!$D$15*Inputs!$I$15+Inputs!$D$16*Inputs!$I$16)</f>
        <v>899611.28540682397</v>
      </c>
      <c r="V15" s="21">
        <f>(Inputs!$D$12*Inputs!$I$12*V32+Inputs!$D$13*Inputs!$I$13*V60+Inputs!$D$14*Inputs!$I$14*V88+Inputs!$D$15*Inputs!$I$15*V116+Inputs!$D$16*Inputs!$I$16*V144)/(Inputs!$D$12*Inputs!$I$12+Inputs!$D$13*Inputs!$I$13+Inputs!$D$14*Inputs!$I$14+Inputs!$D$15*Inputs!$I$15+Inputs!$D$16*Inputs!$I$16)</f>
        <v>880872.06745333341</v>
      </c>
      <c r="W15" s="21">
        <f>(Inputs!$D$12*Inputs!$I$12*W32+Inputs!$D$13*Inputs!$I$13*W60+Inputs!$D$14*Inputs!$I$14*W88+Inputs!$D$15*Inputs!$I$15*W116+Inputs!$D$16*Inputs!$I$16*W144)/(Inputs!$D$12*Inputs!$I$12+Inputs!$D$13*Inputs!$I$13+Inputs!$D$14*Inputs!$I$14+Inputs!$D$15*Inputs!$I$15+Inputs!$D$16*Inputs!$I$16)</f>
        <v>862547.00349698134</v>
      </c>
    </row>
    <row r="16" spans="1:23" ht="18" customHeight="1" x14ac:dyDescent="0.25"/>
    <row r="17" spans="1:23" ht="18" customHeight="1" x14ac:dyDescent="0.25"/>
    <row r="18" spans="1:23" ht="18" customHeight="1" x14ac:dyDescent="0.25"/>
    <row r="19" spans="1:23" ht="18" customHeight="1" x14ac:dyDescent="0.25"/>
    <row r="20" spans="1:23" ht="18" customHeight="1" x14ac:dyDescent="0.25">
      <c r="A20" s="29" t="s">
        <v>49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8" customHeight="1" x14ac:dyDescent="0.25">
      <c r="A21" s="25" t="s">
        <v>161</v>
      </c>
    </row>
    <row r="22" spans="1:23" ht="18" customHeight="1" x14ac:dyDescent="0.25">
      <c r="A22" s="11" t="str">
        <f>NGS_Bacteria_Input!A5</f>
        <v>Bac_taxon_1</v>
      </c>
      <c r="B22" s="21">
        <f>IF(Inputs!$G$35="","",Inputs!$G$35*NGS_Bacteria_Input!$D$5)</f>
        <v>0</v>
      </c>
      <c r="C22" s="21">
        <f>IF(B22="","",B22+Inputs!$B$5/Inputs!$B$12*(Inputs!$C$12*(Inputs!$C$28*NGS_Bacteria_Input!$B$5-B22)+Inputs!$D$12*(B5-B22)+Inputs!$E$12*(Inputs!$D$28*NGS_Bacteria_Input!$C$5-B22)))</f>
        <v>0</v>
      </c>
      <c r="D22" s="21">
        <f>IF(C22="","",C22+Inputs!$B$5/Inputs!$B$12*(Inputs!$C$12*(Inputs!$C$28*NGS_Bacteria_Input!$B$5-C22)+Inputs!$D$12*(C5-C22)+Inputs!$E$12*(Inputs!$D$28*NGS_Bacteria_Input!$C$5-C22)))</f>
        <v>0</v>
      </c>
      <c r="E22" s="21">
        <f>IF(D22="","",D22+Inputs!$B$5/Inputs!$B$12*(Inputs!$C$12*(Inputs!$C$28*NGS_Bacteria_Input!$B$5-D22)+Inputs!$D$12*(D5-D22)+Inputs!$E$12*(Inputs!$D$28*NGS_Bacteria_Input!$C$5-D22)))</f>
        <v>0</v>
      </c>
      <c r="F22" s="21">
        <f>IF(E22="","",E22+Inputs!$B$5/Inputs!$B$12*(Inputs!$C$12*(Inputs!$C$28*NGS_Bacteria_Input!$B$5-E22)+Inputs!$D$12*(E5-E22)+Inputs!$E$12*(Inputs!$D$28*NGS_Bacteria_Input!$C$5-E22)))</f>
        <v>0</v>
      </c>
      <c r="G22" s="21">
        <f>IF(F22="","",F22+Inputs!$B$5/Inputs!$B$12*(Inputs!$C$12*(Inputs!$C$28*NGS_Bacteria_Input!$B$5-F22)+Inputs!$D$12*(F5-F22)+Inputs!$E$12*(Inputs!$D$28*NGS_Bacteria_Input!$C$5-F22)))</f>
        <v>0</v>
      </c>
      <c r="H22" s="21">
        <f>IF(G22="","",G22+Inputs!$B$5/Inputs!$B$12*(Inputs!$C$12*(Inputs!$C$28*NGS_Bacteria_Input!$B$5-G22)+Inputs!$D$12*(G5-G22)+Inputs!$E$12*(Inputs!$D$28*NGS_Bacteria_Input!$C$5-G22)))</f>
        <v>0</v>
      </c>
      <c r="I22" s="21">
        <f>IF(H22="","",H22+Inputs!$B$5/Inputs!$B$12*(Inputs!$C$12*(Inputs!$C$28*NGS_Bacteria_Input!$B$5-H22)+Inputs!$D$12*(H5-H22)+Inputs!$E$12*(Inputs!$D$28*NGS_Bacteria_Input!$C$5-H22)))</f>
        <v>0</v>
      </c>
      <c r="J22" s="21">
        <f>IF(I22="","",I22+Inputs!$B$5/Inputs!$B$12*(Inputs!$C$12*(Inputs!$C$28*NGS_Bacteria_Input!$B$5-I22)+Inputs!$D$12*(I5-I22)+Inputs!$E$12*(Inputs!$D$28*NGS_Bacteria_Input!$C$5-I22)))</f>
        <v>0</v>
      </c>
      <c r="K22" s="21">
        <f>IF(J22="","",J22+Inputs!$B$5/Inputs!$B$12*(Inputs!$C$12*(Inputs!$C$28*NGS_Bacteria_Input!$B$5-J22)+Inputs!$D$12*(J5-J22)+Inputs!$E$12*(Inputs!$D$28*NGS_Bacteria_Input!$C$5-J22)))</f>
        <v>0</v>
      </c>
      <c r="L22" s="21">
        <f>IF(K22="","",K22+Inputs!$B$5/Inputs!$B$12*(Inputs!$C$12*(Inputs!$C$28*NGS_Bacteria_Input!$B$5-K22)+Inputs!$D$12*(K5-K22)+Inputs!$E$12*(Inputs!$D$28*NGS_Bacteria_Input!$C$5-K22)))</f>
        <v>0</v>
      </c>
      <c r="M22" s="21">
        <f>IF(L22="","",L22+Inputs!$B$5/Inputs!$B$12*(Inputs!$C$12*(Inputs!$C$28*NGS_Bacteria_Input!$B$5-L22)+Inputs!$D$12*(L5-L22)+Inputs!$E$12*(Inputs!$D$28*NGS_Bacteria_Input!$C$5-L22)))</f>
        <v>0</v>
      </c>
      <c r="N22" s="21">
        <f>IF(M22="","",M22+Inputs!$B$5/Inputs!$B$12*(Inputs!$C$12*(Inputs!$C$28*NGS_Bacteria_Input!$B$5-M22)+Inputs!$D$12*(M5-M22)+Inputs!$E$12*(Inputs!$D$28*NGS_Bacteria_Input!$C$5-M22)))</f>
        <v>0</v>
      </c>
      <c r="O22" s="21">
        <f>IF(N22="","",N22+Inputs!$B$5/Inputs!$B$12*(Inputs!$C$12*(Inputs!$C$28*NGS_Bacteria_Input!$B$5-N22)+Inputs!$D$12*(N5-N22)+Inputs!$E$12*(Inputs!$D$28*NGS_Bacteria_Input!$C$5-N22)))</f>
        <v>0</v>
      </c>
      <c r="P22" s="21">
        <f>IF(O22="","",O22+Inputs!$B$5/Inputs!$B$12*(Inputs!$C$12*(Inputs!$C$28*NGS_Bacteria_Input!$B$5-O22)+Inputs!$D$12*(O5-O22)+Inputs!$E$12*(Inputs!$D$28*NGS_Bacteria_Input!$C$5-O22)))</f>
        <v>0</v>
      </c>
      <c r="Q22" s="21">
        <f>IF(P22="","",P22+Inputs!$B$5/Inputs!$B$12*(Inputs!$C$12*(Inputs!$C$28*NGS_Bacteria_Input!$B$5-P22)+Inputs!$D$12*(P5-P22)+Inputs!$E$12*(Inputs!$D$28*NGS_Bacteria_Input!$C$5-P22)))</f>
        <v>0</v>
      </c>
      <c r="R22" s="21">
        <f>IF(Q22="","",Q22+Inputs!$B$5/Inputs!$B$12*(Inputs!$C$12*(Inputs!$C$28*NGS_Bacteria_Input!$B$5-Q22)+Inputs!$D$12*(Q5-Q22)+Inputs!$E$12*(Inputs!$D$28*NGS_Bacteria_Input!$C$5-Q22)))</f>
        <v>0</v>
      </c>
      <c r="S22" s="21">
        <f>IF(R22="","",R22+Inputs!$B$5/Inputs!$B$12*(Inputs!$C$12*(Inputs!$C$28*NGS_Bacteria_Input!$B$5-R22)+Inputs!$D$12*(R5-R22)+Inputs!$E$12*(Inputs!$D$28*NGS_Bacteria_Input!$C$5-R22)))</f>
        <v>0</v>
      </c>
      <c r="T22" s="21">
        <f>IF(S22="","",S22+Inputs!$B$5/Inputs!$B$12*(Inputs!$C$12*(Inputs!$C$28*NGS_Bacteria_Input!$B$5-S22)+Inputs!$D$12*(S5-S22)+Inputs!$E$12*(Inputs!$D$28*NGS_Bacteria_Input!$C$5-S22)))</f>
        <v>0</v>
      </c>
      <c r="U22" s="21">
        <f>IF(T22="","",T22+Inputs!$B$5/Inputs!$B$12*(Inputs!$C$12*(Inputs!$C$28*NGS_Bacteria_Input!$B$5-T22)+Inputs!$D$12*(T5-T22)+Inputs!$E$12*(Inputs!$D$28*NGS_Bacteria_Input!$C$5-T22)))</f>
        <v>0</v>
      </c>
      <c r="V22" s="21">
        <f>IF(U22="","",U22+Inputs!$B$5/Inputs!$B$12*(Inputs!$C$12*(Inputs!$C$28*NGS_Bacteria_Input!$B$5-U22)+Inputs!$D$12*(U5-U22)+Inputs!$E$12*(Inputs!$D$28*NGS_Bacteria_Input!$C$5-U22)))</f>
        <v>0</v>
      </c>
      <c r="W22" s="21">
        <f>IF(V22="","",V22+Inputs!$B$5/Inputs!$B$12*(Inputs!$C$12*(Inputs!$C$28*NGS_Bacteria_Input!$B$5-V22)+Inputs!$D$12*(V5-V22)+Inputs!$E$12*(Inputs!$D$28*NGS_Bacteria_Input!$C$5-V22)))</f>
        <v>0</v>
      </c>
    </row>
    <row r="23" spans="1:23" ht="18" customHeight="1" x14ac:dyDescent="0.25">
      <c r="A23" s="11" t="str">
        <f>NGS_Bacteria_Input!A6</f>
        <v>Bac_taxon_2</v>
      </c>
      <c r="B23" s="21">
        <f>IF(Inputs!$G$35="","",Inputs!$G$35*NGS_Bacteria_Input!$D$6)</f>
        <v>0</v>
      </c>
      <c r="C23" s="21">
        <f>IF(B23="","",B23+Inputs!$B$5/Inputs!$B$12*(Inputs!$C$12*(Inputs!$C$28*NGS_Bacteria_Input!$B$6-B23)+Inputs!$D$12*(B6-B23)+Inputs!$E$12*(Inputs!$D$28*NGS_Bacteria_Input!$C$6-B23)))</f>
        <v>0</v>
      </c>
      <c r="D23" s="21">
        <f>IF(C23="","",C23+Inputs!$B$5/Inputs!$B$12*(Inputs!$C$12*(Inputs!$C$28*NGS_Bacteria_Input!$B$6-C23)+Inputs!$D$12*(C6-C23)+Inputs!$E$12*(Inputs!$D$28*NGS_Bacteria_Input!$C$6-C23)))</f>
        <v>0</v>
      </c>
      <c r="E23" s="21">
        <f>IF(D23="","",D23+Inputs!$B$5/Inputs!$B$12*(Inputs!$C$12*(Inputs!$C$28*NGS_Bacteria_Input!$B$6-D23)+Inputs!$D$12*(D6-D23)+Inputs!$E$12*(Inputs!$D$28*NGS_Bacteria_Input!$C$6-D23)))</f>
        <v>0</v>
      </c>
      <c r="F23" s="21">
        <f>IF(E23="","",E23+Inputs!$B$5/Inputs!$B$12*(Inputs!$C$12*(Inputs!$C$28*NGS_Bacteria_Input!$B$6-E23)+Inputs!$D$12*(E6-E23)+Inputs!$E$12*(Inputs!$D$28*NGS_Bacteria_Input!$C$6-E23)))</f>
        <v>0</v>
      </c>
      <c r="G23" s="21">
        <f>IF(F23="","",F23+Inputs!$B$5/Inputs!$B$12*(Inputs!$C$12*(Inputs!$C$28*NGS_Bacteria_Input!$B$6-F23)+Inputs!$D$12*(F6-F23)+Inputs!$E$12*(Inputs!$D$28*NGS_Bacteria_Input!$C$6-F23)))</f>
        <v>0</v>
      </c>
      <c r="H23" s="21">
        <f>IF(G23="","",G23+Inputs!$B$5/Inputs!$B$12*(Inputs!$C$12*(Inputs!$C$28*NGS_Bacteria_Input!$B$6-G23)+Inputs!$D$12*(G6-G23)+Inputs!$E$12*(Inputs!$D$28*NGS_Bacteria_Input!$C$6-G23)))</f>
        <v>0</v>
      </c>
      <c r="I23" s="21">
        <f>IF(H23="","",H23+Inputs!$B$5/Inputs!$B$12*(Inputs!$C$12*(Inputs!$C$28*NGS_Bacteria_Input!$B$6-H23)+Inputs!$D$12*(H6-H23)+Inputs!$E$12*(Inputs!$D$28*NGS_Bacteria_Input!$C$6-H23)))</f>
        <v>0</v>
      </c>
      <c r="J23" s="21">
        <f>IF(I23="","",I23+Inputs!$B$5/Inputs!$B$12*(Inputs!$C$12*(Inputs!$C$28*NGS_Bacteria_Input!$B$6-I23)+Inputs!$D$12*(I6-I23)+Inputs!$E$12*(Inputs!$D$28*NGS_Bacteria_Input!$C$6-I23)))</f>
        <v>0</v>
      </c>
      <c r="K23" s="21">
        <f>IF(J23="","",J23+Inputs!$B$5/Inputs!$B$12*(Inputs!$C$12*(Inputs!$C$28*NGS_Bacteria_Input!$B$6-J23)+Inputs!$D$12*(J6-J23)+Inputs!$E$12*(Inputs!$D$28*NGS_Bacteria_Input!$C$6-J23)))</f>
        <v>0</v>
      </c>
      <c r="L23" s="21">
        <f>IF(K23="","",K23+Inputs!$B$5/Inputs!$B$12*(Inputs!$C$12*(Inputs!$C$28*NGS_Bacteria_Input!$B$6-K23)+Inputs!$D$12*(K6-K23)+Inputs!$E$12*(Inputs!$D$28*NGS_Bacteria_Input!$C$6-K23)))</f>
        <v>0</v>
      </c>
      <c r="M23" s="21">
        <f>IF(L23="","",L23+Inputs!$B$5/Inputs!$B$12*(Inputs!$C$12*(Inputs!$C$28*NGS_Bacteria_Input!$B$6-L23)+Inputs!$D$12*(L6-L23)+Inputs!$E$12*(Inputs!$D$28*NGS_Bacteria_Input!$C$6-L23)))</f>
        <v>0</v>
      </c>
      <c r="N23" s="21">
        <f>IF(M23="","",M23+Inputs!$B$5/Inputs!$B$12*(Inputs!$C$12*(Inputs!$C$28*NGS_Bacteria_Input!$B$6-M23)+Inputs!$D$12*(M6-M23)+Inputs!$E$12*(Inputs!$D$28*NGS_Bacteria_Input!$C$6-M23)))</f>
        <v>0</v>
      </c>
      <c r="O23" s="21">
        <f>IF(N23="","",N23+Inputs!$B$5/Inputs!$B$12*(Inputs!$C$12*(Inputs!$C$28*NGS_Bacteria_Input!$B$6-N23)+Inputs!$D$12*(N6-N23)+Inputs!$E$12*(Inputs!$D$28*NGS_Bacteria_Input!$C$6-N23)))</f>
        <v>0</v>
      </c>
      <c r="P23" s="21">
        <f>IF(O23="","",O23+Inputs!$B$5/Inputs!$B$12*(Inputs!$C$12*(Inputs!$C$28*NGS_Bacteria_Input!$B$6-O23)+Inputs!$D$12*(O6-O23)+Inputs!$E$12*(Inputs!$D$28*NGS_Bacteria_Input!$C$6-O23)))</f>
        <v>0</v>
      </c>
      <c r="Q23" s="21">
        <f>IF(P23="","",P23+Inputs!$B$5/Inputs!$B$12*(Inputs!$C$12*(Inputs!$C$28*NGS_Bacteria_Input!$B$6-P23)+Inputs!$D$12*(P6-P23)+Inputs!$E$12*(Inputs!$D$28*NGS_Bacteria_Input!$C$6-P23)))</f>
        <v>0</v>
      </c>
      <c r="R23" s="21">
        <f>IF(Q23="","",Q23+Inputs!$B$5/Inputs!$B$12*(Inputs!$C$12*(Inputs!$C$28*NGS_Bacteria_Input!$B$6-Q23)+Inputs!$D$12*(Q6-Q23)+Inputs!$E$12*(Inputs!$D$28*NGS_Bacteria_Input!$C$6-Q23)))</f>
        <v>0</v>
      </c>
      <c r="S23" s="21">
        <f>IF(R23="","",R23+Inputs!$B$5/Inputs!$B$12*(Inputs!$C$12*(Inputs!$C$28*NGS_Bacteria_Input!$B$6-R23)+Inputs!$D$12*(R6-R23)+Inputs!$E$12*(Inputs!$D$28*NGS_Bacteria_Input!$C$6-R23)))</f>
        <v>0</v>
      </c>
      <c r="T23" s="21">
        <f>IF(S23="","",S23+Inputs!$B$5/Inputs!$B$12*(Inputs!$C$12*(Inputs!$C$28*NGS_Bacteria_Input!$B$6-S23)+Inputs!$D$12*(S6-S23)+Inputs!$E$12*(Inputs!$D$28*NGS_Bacteria_Input!$C$6-S23)))</f>
        <v>0</v>
      </c>
      <c r="U23" s="21">
        <f>IF(T23="","",T23+Inputs!$B$5/Inputs!$B$12*(Inputs!$C$12*(Inputs!$C$28*NGS_Bacteria_Input!$B$6-T23)+Inputs!$D$12*(T6-T23)+Inputs!$E$12*(Inputs!$D$28*NGS_Bacteria_Input!$C$6-T23)))</f>
        <v>0</v>
      </c>
      <c r="V23" s="21">
        <f>IF(U23="","",U23+Inputs!$B$5/Inputs!$B$12*(Inputs!$C$12*(Inputs!$C$28*NGS_Bacteria_Input!$B$6-U23)+Inputs!$D$12*(U6-U23)+Inputs!$E$12*(Inputs!$D$28*NGS_Bacteria_Input!$C$6-U23)))</f>
        <v>0</v>
      </c>
      <c r="W23" s="21">
        <f>IF(V23="","",V23+Inputs!$B$5/Inputs!$B$12*(Inputs!$C$12*(Inputs!$C$28*NGS_Bacteria_Input!$B$6-V23)+Inputs!$D$12*(V6-V23)+Inputs!$E$12*(Inputs!$D$28*NGS_Bacteria_Input!$C$6-V23)))</f>
        <v>0</v>
      </c>
    </row>
    <row r="24" spans="1:23" ht="18" customHeight="1" x14ac:dyDescent="0.25">
      <c r="A24" s="11" t="str">
        <f>NGS_Bacteria_Input!A7</f>
        <v>Bac_taxon_3</v>
      </c>
      <c r="B24" s="21">
        <f>IF(Inputs!$G$35="","",Inputs!$G$35*NGS_Bacteria_Input!$D$7)</f>
        <v>0</v>
      </c>
      <c r="C24" s="21">
        <f>IF(B24="","",B24+Inputs!$B$5/Inputs!$B$12*(Inputs!$C$12*(Inputs!$C$28*NGS_Bacteria_Input!$B$7-B24)+Inputs!$D$12*(B7-B24)+Inputs!$E$12*(Inputs!$D$28*NGS_Bacteria_Input!$C$7-B24)))</f>
        <v>0</v>
      </c>
      <c r="D24" s="21">
        <f>IF(C24="","",C24+Inputs!$B$5/Inputs!$B$12*(Inputs!$C$12*(Inputs!$C$28*NGS_Bacteria_Input!$B$7-C24)+Inputs!$D$12*(C7-C24)+Inputs!$E$12*(Inputs!$D$28*NGS_Bacteria_Input!$C$7-C24)))</f>
        <v>0</v>
      </c>
      <c r="E24" s="21">
        <f>IF(D24="","",D24+Inputs!$B$5/Inputs!$B$12*(Inputs!$C$12*(Inputs!$C$28*NGS_Bacteria_Input!$B$7-D24)+Inputs!$D$12*(D7-D24)+Inputs!$E$12*(Inputs!$D$28*NGS_Bacteria_Input!$C$7-D24)))</f>
        <v>0</v>
      </c>
      <c r="F24" s="21">
        <f>IF(E24="","",E24+Inputs!$B$5/Inputs!$B$12*(Inputs!$C$12*(Inputs!$C$28*NGS_Bacteria_Input!$B$7-E24)+Inputs!$D$12*(E7-E24)+Inputs!$E$12*(Inputs!$D$28*NGS_Bacteria_Input!$C$7-E24)))</f>
        <v>0</v>
      </c>
      <c r="G24" s="21">
        <f>IF(F24="","",F24+Inputs!$B$5/Inputs!$B$12*(Inputs!$C$12*(Inputs!$C$28*NGS_Bacteria_Input!$B$7-F24)+Inputs!$D$12*(F7-F24)+Inputs!$E$12*(Inputs!$D$28*NGS_Bacteria_Input!$C$7-F24)))</f>
        <v>0</v>
      </c>
      <c r="H24" s="21">
        <f>IF(G24="","",G24+Inputs!$B$5/Inputs!$B$12*(Inputs!$C$12*(Inputs!$C$28*NGS_Bacteria_Input!$B$7-G24)+Inputs!$D$12*(G7-G24)+Inputs!$E$12*(Inputs!$D$28*NGS_Bacteria_Input!$C$7-G24)))</f>
        <v>0</v>
      </c>
      <c r="I24" s="21">
        <f>IF(H24="","",H24+Inputs!$B$5/Inputs!$B$12*(Inputs!$C$12*(Inputs!$C$28*NGS_Bacteria_Input!$B$7-H24)+Inputs!$D$12*(H7-H24)+Inputs!$E$12*(Inputs!$D$28*NGS_Bacteria_Input!$C$7-H24)))</f>
        <v>0</v>
      </c>
      <c r="J24" s="21">
        <f>IF(I24="","",I24+Inputs!$B$5/Inputs!$B$12*(Inputs!$C$12*(Inputs!$C$28*NGS_Bacteria_Input!$B$7-I24)+Inputs!$D$12*(I7-I24)+Inputs!$E$12*(Inputs!$D$28*NGS_Bacteria_Input!$C$7-I24)))</f>
        <v>0</v>
      </c>
      <c r="K24" s="21">
        <f>IF(J24="","",J24+Inputs!$B$5/Inputs!$B$12*(Inputs!$C$12*(Inputs!$C$28*NGS_Bacteria_Input!$B$7-J24)+Inputs!$D$12*(J7-J24)+Inputs!$E$12*(Inputs!$D$28*NGS_Bacteria_Input!$C$7-J24)))</f>
        <v>0</v>
      </c>
      <c r="L24" s="21">
        <f>IF(K24="","",K24+Inputs!$B$5/Inputs!$B$12*(Inputs!$C$12*(Inputs!$C$28*NGS_Bacteria_Input!$B$7-K24)+Inputs!$D$12*(K7-K24)+Inputs!$E$12*(Inputs!$D$28*NGS_Bacteria_Input!$C$7-K24)))</f>
        <v>0</v>
      </c>
      <c r="M24" s="21">
        <f>IF(L24="","",L24+Inputs!$B$5/Inputs!$B$12*(Inputs!$C$12*(Inputs!$C$28*NGS_Bacteria_Input!$B$7-L24)+Inputs!$D$12*(L7-L24)+Inputs!$E$12*(Inputs!$D$28*NGS_Bacteria_Input!$C$7-L24)))</f>
        <v>0</v>
      </c>
      <c r="N24" s="21">
        <f>IF(M24="","",M24+Inputs!$B$5/Inputs!$B$12*(Inputs!$C$12*(Inputs!$C$28*NGS_Bacteria_Input!$B$7-M24)+Inputs!$D$12*(M7-M24)+Inputs!$E$12*(Inputs!$D$28*NGS_Bacteria_Input!$C$7-M24)))</f>
        <v>0</v>
      </c>
      <c r="O24" s="21">
        <f>IF(N24="","",N24+Inputs!$B$5/Inputs!$B$12*(Inputs!$C$12*(Inputs!$C$28*NGS_Bacteria_Input!$B$7-N24)+Inputs!$D$12*(N7-N24)+Inputs!$E$12*(Inputs!$D$28*NGS_Bacteria_Input!$C$7-N24)))</f>
        <v>0</v>
      </c>
      <c r="P24" s="21">
        <f>IF(O24="","",O24+Inputs!$B$5/Inputs!$B$12*(Inputs!$C$12*(Inputs!$C$28*NGS_Bacteria_Input!$B$7-O24)+Inputs!$D$12*(O7-O24)+Inputs!$E$12*(Inputs!$D$28*NGS_Bacteria_Input!$C$7-O24)))</f>
        <v>0</v>
      </c>
      <c r="Q24" s="21">
        <f>IF(P24="","",P24+Inputs!$B$5/Inputs!$B$12*(Inputs!$C$12*(Inputs!$C$28*NGS_Bacteria_Input!$B$7-P24)+Inputs!$D$12*(P7-P24)+Inputs!$E$12*(Inputs!$D$28*NGS_Bacteria_Input!$C$7-P24)))</f>
        <v>0</v>
      </c>
      <c r="R24" s="21">
        <f>IF(Q24="","",Q24+Inputs!$B$5/Inputs!$B$12*(Inputs!$C$12*(Inputs!$C$28*NGS_Bacteria_Input!$B$7-Q24)+Inputs!$D$12*(Q7-Q24)+Inputs!$E$12*(Inputs!$D$28*NGS_Bacteria_Input!$C$7-Q24)))</f>
        <v>0</v>
      </c>
      <c r="S24" s="21">
        <f>IF(R24="","",R24+Inputs!$B$5/Inputs!$B$12*(Inputs!$C$12*(Inputs!$C$28*NGS_Bacteria_Input!$B$7-R24)+Inputs!$D$12*(R7-R24)+Inputs!$E$12*(Inputs!$D$28*NGS_Bacteria_Input!$C$7-R24)))</f>
        <v>0</v>
      </c>
      <c r="T24" s="21">
        <f>IF(S24="","",S24+Inputs!$B$5/Inputs!$B$12*(Inputs!$C$12*(Inputs!$C$28*NGS_Bacteria_Input!$B$7-S24)+Inputs!$D$12*(S7-S24)+Inputs!$E$12*(Inputs!$D$28*NGS_Bacteria_Input!$C$7-S24)))</f>
        <v>0</v>
      </c>
      <c r="U24" s="21">
        <f>IF(T24="","",T24+Inputs!$B$5/Inputs!$B$12*(Inputs!$C$12*(Inputs!$C$28*NGS_Bacteria_Input!$B$7-T24)+Inputs!$D$12*(T7-T24)+Inputs!$E$12*(Inputs!$D$28*NGS_Bacteria_Input!$C$7-T24)))</f>
        <v>0</v>
      </c>
      <c r="V24" s="21">
        <f>IF(U24="","",U24+Inputs!$B$5/Inputs!$B$12*(Inputs!$C$12*(Inputs!$C$28*NGS_Bacteria_Input!$B$7-U24)+Inputs!$D$12*(U7-U24)+Inputs!$E$12*(Inputs!$D$28*NGS_Bacteria_Input!$C$7-U24)))</f>
        <v>0</v>
      </c>
      <c r="W24" s="21">
        <f>IF(V24="","",V24+Inputs!$B$5/Inputs!$B$12*(Inputs!$C$12*(Inputs!$C$28*NGS_Bacteria_Input!$B$7-V24)+Inputs!$D$12*(V7-V24)+Inputs!$E$12*(Inputs!$D$28*NGS_Bacteria_Input!$C$7-V24)))</f>
        <v>0</v>
      </c>
    </row>
    <row r="25" spans="1:23" ht="18" customHeight="1" x14ac:dyDescent="0.25">
      <c r="A25" s="11" t="str">
        <f>NGS_Bacteria_Input!A8</f>
        <v>Bac_taxon_4</v>
      </c>
      <c r="B25" s="21">
        <f>IF(Inputs!$G$35="","",Inputs!$G$35*NGS_Bacteria_Input!$D$8)</f>
        <v>0</v>
      </c>
      <c r="C25" s="21">
        <f>IF(B25="","",B25+Inputs!$B$5/Inputs!$B$12*(Inputs!$C$12*(Inputs!$C$28*NGS_Bacteria_Input!$B$8-B25)+Inputs!$D$12*(B8-B25)+Inputs!$E$12*(Inputs!$D$28*NGS_Bacteria_Input!$C$8-B25)))</f>
        <v>0</v>
      </c>
      <c r="D25" s="21">
        <f>IF(C25="","",C25+Inputs!$B$5/Inputs!$B$12*(Inputs!$C$12*(Inputs!$C$28*NGS_Bacteria_Input!$B$8-C25)+Inputs!$D$12*(C8-C25)+Inputs!$E$12*(Inputs!$D$28*NGS_Bacteria_Input!$C$8-C25)))</f>
        <v>0</v>
      </c>
      <c r="E25" s="21">
        <f>IF(D25="","",D25+Inputs!$B$5/Inputs!$B$12*(Inputs!$C$12*(Inputs!$C$28*NGS_Bacteria_Input!$B$8-D25)+Inputs!$D$12*(D8-D25)+Inputs!$E$12*(Inputs!$D$28*NGS_Bacteria_Input!$C$8-D25)))</f>
        <v>0</v>
      </c>
      <c r="F25" s="21">
        <f>IF(E25="","",E25+Inputs!$B$5/Inputs!$B$12*(Inputs!$C$12*(Inputs!$C$28*NGS_Bacteria_Input!$B$8-E25)+Inputs!$D$12*(E8-E25)+Inputs!$E$12*(Inputs!$D$28*NGS_Bacteria_Input!$C$8-E25)))</f>
        <v>0</v>
      </c>
      <c r="G25" s="21">
        <f>IF(F25="","",F25+Inputs!$B$5/Inputs!$B$12*(Inputs!$C$12*(Inputs!$C$28*NGS_Bacteria_Input!$B$8-F25)+Inputs!$D$12*(F8-F25)+Inputs!$E$12*(Inputs!$D$28*NGS_Bacteria_Input!$C$8-F25)))</f>
        <v>0</v>
      </c>
      <c r="H25" s="21">
        <f>IF(G25="","",G25+Inputs!$B$5/Inputs!$B$12*(Inputs!$C$12*(Inputs!$C$28*NGS_Bacteria_Input!$B$8-G25)+Inputs!$D$12*(G8-G25)+Inputs!$E$12*(Inputs!$D$28*NGS_Bacteria_Input!$C$8-G25)))</f>
        <v>0</v>
      </c>
      <c r="I25" s="21">
        <f>IF(H25="","",H25+Inputs!$B$5/Inputs!$B$12*(Inputs!$C$12*(Inputs!$C$28*NGS_Bacteria_Input!$B$8-H25)+Inputs!$D$12*(H8-H25)+Inputs!$E$12*(Inputs!$D$28*NGS_Bacteria_Input!$C$8-H25)))</f>
        <v>0</v>
      </c>
      <c r="J25" s="21">
        <f>IF(I25="","",I25+Inputs!$B$5/Inputs!$B$12*(Inputs!$C$12*(Inputs!$C$28*NGS_Bacteria_Input!$B$8-I25)+Inputs!$D$12*(I8-I25)+Inputs!$E$12*(Inputs!$D$28*NGS_Bacteria_Input!$C$8-I25)))</f>
        <v>0</v>
      </c>
      <c r="K25" s="21">
        <f>IF(J25="","",J25+Inputs!$B$5/Inputs!$B$12*(Inputs!$C$12*(Inputs!$C$28*NGS_Bacteria_Input!$B$8-J25)+Inputs!$D$12*(J8-J25)+Inputs!$E$12*(Inputs!$D$28*NGS_Bacteria_Input!$C$8-J25)))</f>
        <v>0</v>
      </c>
      <c r="L25" s="21">
        <f>IF(K25="","",K25+Inputs!$B$5/Inputs!$B$12*(Inputs!$C$12*(Inputs!$C$28*NGS_Bacteria_Input!$B$8-K25)+Inputs!$D$12*(K8-K25)+Inputs!$E$12*(Inputs!$D$28*NGS_Bacteria_Input!$C$8-K25)))</f>
        <v>0</v>
      </c>
      <c r="M25" s="21">
        <f>IF(L25="","",L25+Inputs!$B$5/Inputs!$B$12*(Inputs!$C$12*(Inputs!$C$28*NGS_Bacteria_Input!$B$8-L25)+Inputs!$D$12*(L8-L25)+Inputs!$E$12*(Inputs!$D$28*NGS_Bacteria_Input!$C$8-L25)))</f>
        <v>0</v>
      </c>
      <c r="N25" s="21">
        <f>IF(M25="","",M25+Inputs!$B$5/Inputs!$B$12*(Inputs!$C$12*(Inputs!$C$28*NGS_Bacteria_Input!$B$8-M25)+Inputs!$D$12*(M8-M25)+Inputs!$E$12*(Inputs!$D$28*NGS_Bacteria_Input!$C$8-M25)))</f>
        <v>0</v>
      </c>
      <c r="O25" s="21">
        <f>IF(N25="","",N25+Inputs!$B$5/Inputs!$B$12*(Inputs!$C$12*(Inputs!$C$28*NGS_Bacteria_Input!$B$8-N25)+Inputs!$D$12*(N8-N25)+Inputs!$E$12*(Inputs!$D$28*NGS_Bacteria_Input!$C$8-N25)))</f>
        <v>0</v>
      </c>
      <c r="P25" s="21">
        <f>IF(O25="","",O25+Inputs!$B$5/Inputs!$B$12*(Inputs!$C$12*(Inputs!$C$28*NGS_Bacteria_Input!$B$8-O25)+Inputs!$D$12*(O8-O25)+Inputs!$E$12*(Inputs!$D$28*NGS_Bacteria_Input!$C$8-O25)))</f>
        <v>0</v>
      </c>
      <c r="Q25" s="21">
        <f>IF(P25="","",P25+Inputs!$B$5/Inputs!$B$12*(Inputs!$C$12*(Inputs!$C$28*NGS_Bacteria_Input!$B$8-P25)+Inputs!$D$12*(P8-P25)+Inputs!$E$12*(Inputs!$D$28*NGS_Bacteria_Input!$C$8-P25)))</f>
        <v>0</v>
      </c>
      <c r="R25" s="21">
        <f>IF(Q25="","",Q25+Inputs!$B$5/Inputs!$B$12*(Inputs!$C$12*(Inputs!$C$28*NGS_Bacteria_Input!$B$8-Q25)+Inputs!$D$12*(Q8-Q25)+Inputs!$E$12*(Inputs!$D$28*NGS_Bacteria_Input!$C$8-Q25)))</f>
        <v>0</v>
      </c>
      <c r="S25" s="21">
        <f>IF(R25="","",R25+Inputs!$B$5/Inputs!$B$12*(Inputs!$C$12*(Inputs!$C$28*NGS_Bacteria_Input!$B$8-R25)+Inputs!$D$12*(R8-R25)+Inputs!$E$12*(Inputs!$D$28*NGS_Bacteria_Input!$C$8-R25)))</f>
        <v>0</v>
      </c>
      <c r="T25" s="21">
        <f>IF(S25="","",S25+Inputs!$B$5/Inputs!$B$12*(Inputs!$C$12*(Inputs!$C$28*NGS_Bacteria_Input!$B$8-S25)+Inputs!$D$12*(S8-S25)+Inputs!$E$12*(Inputs!$D$28*NGS_Bacteria_Input!$C$8-S25)))</f>
        <v>0</v>
      </c>
      <c r="U25" s="21">
        <f>IF(T25="","",T25+Inputs!$B$5/Inputs!$B$12*(Inputs!$C$12*(Inputs!$C$28*NGS_Bacteria_Input!$B$8-T25)+Inputs!$D$12*(T8-T25)+Inputs!$E$12*(Inputs!$D$28*NGS_Bacteria_Input!$C$8-T25)))</f>
        <v>0</v>
      </c>
      <c r="V25" s="21">
        <f>IF(U25="","",U25+Inputs!$B$5/Inputs!$B$12*(Inputs!$C$12*(Inputs!$C$28*NGS_Bacteria_Input!$B$8-U25)+Inputs!$D$12*(U8-U25)+Inputs!$E$12*(Inputs!$D$28*NGS_Bacteria_Input!$C$8-U25)))</f>
        <v>0</v>
      </c>
      <c r="W25" s="21">
        <f>IF(V25="","",V25+Inputs!$B$5/Inputs!$B$12*(Inputs!$C$12*(Inputs!$C$28*NGS_Bacteria_Input!$B$8-V25)+Inputs!$D$12*(V8-V25)+Inputs!$E$12*(Inputs!$D$28*NGS_Bacteria_Input!$C$8-V25)))</f>
        <v>0</v>
      </c>
    </row>
    <row r="26" spans="1:23" ht="18" customHeight="1" x14ac:dyDescent="0.25">
      <c r="A26" s="11" t="str">
        <f>NGS_Bacteria_Input!A9</f>
        <v>Bac_taxon_5</v>
      </c>
      <c r="B26" s="21">
        <f>IF(Inputs!$G$35="","",Inputs!$G$35*NGS_Bacteria_Input!$D$9)</f>
        <v>0</v>
      </c>
      <c r="C26" s="21">
        <f>IF(B26="","",B26+Inputs!$B$5/Inputs!$B$12*(Inputs!$C$12*(Inputs!$C$28*NGS_Bacteria_Input!$B$9-B26)+Inputs!$D$12*(B9-B26)+Inputs!$E$12*(Inputs!$D$28*NGS_Bacteria_Input!$C$9-B26)))</f>
        <v>0</v>
      </c>
      <c r="D26" s="21">
        <f>IF(C26="","",C26+Inputs!$B$5/Inputs!$B$12*(Inputs!$C$12*(Inputs!$C$28*NGS_Bacteria_Input!$B$9-C26)+Inputs!$D$12*(C9-C26)+Inputs!$E$12*(Inputs!$D$28*NGS_Bacteria_Input!$C$9-C26)))</f>
        <v>0</v>
      </c>
      <c r="E26" s="21">
        <f>IF(D26="","",D26+Inputs!$B$5/Inputs!$B$12*(Inputs!$C$12*(Inputs!$C$28*NGS_Bacteria_Input!$B$9-D26)+Inputs!$D$12*(D9-D26)+Inputs!$E$12*(Inputs!$D$28*NGS_Bacteria_Input!$C$9-D26)))</f>
        <v>0</v>
      </c>
      <c r="F26" s="21">
        <f>IF(E26="","",E26+Inputs!$B$5/Inputs!$B$12*(Inputs!$C$12*(Inputs!$C$28*NGS_Bacteria_Input!$B$9-E26)+Inputs!$D$12*(E9-E26)+Inputs!$E$12*(Inputs!$D$28*NGS_Bacteria_Input!$C$9-E26)))</f>
        <v>0</v>
      </c>
      <c r="G26" s="21">
        <f>IF(F26="","",F26+Inputs!$B$5/Inputs!$B$12*(Inputs!$C$12*(Inputs!$C$28*NGS_Bacteria_Input!$B$9-F26)+Inputs!$D$12*(F9-F26)+Inputs!$E$12*(Inputs!$D$28*NGS_Bacteria_Input!$C$9-F26)))</f>
        <v>0</v>
      </c>
      <c r="H26" s="21">
        <f>IF(G26="","",G26+Inputs!$B$5/Inputs!$B$12*(Inputs!$C$12*(Inputs!$C$28*NGS_Bacteria_Input!$B$9-G26)+Inputs!$D$12*(G9-G26)+Inputs!$E$12*(Inputs!$D$28*NGS_Bacteria_Input!$C$9-G26)))</f>
        <v>0</v>
      </c>
      <c r="I26" s="21">
        <f>IF(H26="","",H26+Inputs!$B$5/Inputs!$B$12*(Inputs!$C$12*(Inputs!$C$28*NGS_Bacteria_Input!$B$9-H26)+Inputs!$D$12*(H9-H26)+Inputs!$E$12*(Inputs!$D$28*NGS_Bacteria_Input!$C$9-H26)))</f>
        <v>0</v>
      </c>
      <c r="J26" s="21">
        <f>IF(I26="","",I26+Inputs!$B$5/Inputs!$B$12*(Inputs!$C$12*(Inputs!$C$28*NGS_Bacteria_Input!$B$9-I26)+Inputs!$D$12*(I9-I26)+Inputs!$E$12*(Inputs!$D$28*NGS_Bacteria_Input!$C$9-I26)))</f>
        <v>0</v>
      </c>
      <c r="K26" s="21">
        <f>IF(J26="","",J26+Inputs!$B$5/Inputs!$B$12*(Inputs!$C$12*(Inputs!$C$28*NGS_Bacteria_Input!$B$9-J26)+Inputs!$D$12*(J9-J26)+Inputs!$E$12*(Inputs!$D$28*NGS_Bacteria_Input!$C$9-J26)))</f>
        <v>0</v>
      </c>
      <c r="L26" s="21">
        <f>IF(K26="","",K26+Inputs!$B$5/Inputs!$B$12*(Inputs!$C$12*(Inputs!$C$28*NGS_Bacteria_Input!$B$9-K26)+Inputs!$D$12*(K9-K26)+Inputs!$E$12*(Inputs!$D$28*NGS_Bacteria_Input!$C$9-K26)))</f>
        <v>0</v>
      </c>
      <c r="M26" s="21">
        <f>IF(L26="","",L26+Inputs!$B$5/Inputs!$B$12*(Inputs!$C$12*(Inputs!$C$28*NGS_Bacteria_Input!$B$9-L26)+Inputs!$D$12*(L9-L26)+Inputs!$E$12*(Inputs!$D$28*NGS_Bacteria_Input!$C$9-L26)))</f>
        <v>0</v>
      </c>
      <c r="N26" s="21">
        <f>IF(M26="","",M26+Inputs!$B$5/Inputs!$B$12*(Inputs!$C$12*(Inputs!$C$28*NGS_Bacteria_Input!$B$9-M26)+Inputs!$D$12*(M9-M26)+Inputs!$E$12*(Inputs!$D$28*NGS_Bacteria_Input!$C$9-M26)))</f>
        <v>0</v>
      </c>
      <c r="O26" s="21">
        <f>IF(N26="","",N26+Inputs!$B$5/Inputs!$B$12*(Inputs!$C$12*(Inputs!$C$28*NGS_Bacteria_Input!$B$9-N26)+Inputs!$D$12*(N9-N26)+Inputs!$E$12*(Inputs!$D$28*NGS_Bacteria_Input!$C$9-N26)))</f>
        <v>0</v>
      </c>
      <c r="P26" s="21">
        <f>IF(O26="","",O26+Inputs!$B$5/Inputs!$B$12*(Inputs!$C$12*(Inputs!$C$28*NGS_Bacteria_Input!$B$9-O26)+Inputs!$D$12*(O9-O26)+Inputs!$E$12*(Inputs!$D$28*NGS_Bacteria_Input!$C$9-O26)))</f>
        <v>0</v>
      </c>
      <c r="Q26" s="21">
        <f>IF(P26="","",P26+Inputs!$B$5/Inputs!$B$12*(Inputs!$C$12*(Inputs!$C$28*NGS_Bacteria_Input!$B$9-P26)+Inputs!$D$12*(P9-P26)+Inputs!$E$12*(Inputs!$D$28*NGS_Bacteria_Input!$C$9-P26)))</f>
        <v>0</v>
      </c>
      <c r="R26" s="21">
        <f>IF(Q26="","",Q26+Inputs!$B$5/Inputs!$B$12*(Inputs!$C$12*(Inputs!$C$28*NGS_Bacteria_Input!$B$9-Q26)+Inputs!$D$12*(Q9-Q26)+Inputs!$E$12*(Inputs!$D$28*NGS_Bacteria_Input!$C$9-Q26)))</f>
        <v>0</v>
      </c>
      <c r="S26" s="21">
        <f>IF(R26="","",R26+Inputs!$B$5/Inputs!$B$12*(Inputs!$C$12*(Inputs!$C$28*NGS_Bacteria_Input!$B$9-R26)+Inputs!$D$12*(R9-R26)+Inputs!$E$12*(Inputs!$D$28*NGS_Bacteria_Input!$C$9-R26)))</f>
        <v>0</v>
      </c>
      <c r="T26" s="21">
        <f>IF(S26="","",S26+Inputs!$B$5/Inputs!$B$12*(Inputs!$C$12*(Inputs!$C$28*NGS_Bacteria_Input!$B$9-S26)+Inputs!$D$12*(S9-S26)+Inputs!$E$12*(Inputs!$D$28*NGS_Bacteria_Input!$C$9-S26)))</f>
        <v>0</v>
      </c>
      <c r="U26" s="21">
        <f>IF(T26="","",T26+Inputs!$B$5/Inputs!$B$12*(Inputs!$C$12*(Inputs!$C$28*NGS_Bacteria_Input!$B$9-T26)+Inputs!$D$12*(T9-T26)+Inputs!$E$12*(Inputs!$D$28*NGS_Bacteria_Input!$C$9-T26)))</f>
        <v>0</v>
      </c>
      <c r="V26" s="21">
        <f>IF(U26="","",U26+Inputs!$B$5/Inputs!$B$12*(Inputs!$C$12*(Inputs!$C$28*NGS_Bacteria_Input!$B$9-U26)+Inputs!$D$12*(U9-U26)+Inputs!$E$12*(Inputs!$D$28*NGS_Bacteria_Input!$C$9-U26)))</f>
        <v>0</v>
      </c>
      <c r="W26" s="21">
        <f>IF(V26="","",V26+Inputs!$B$5/Inputs!$B$12*(Inputs!$C$12*(Inputs!$C$28*NGS_Bacteria_Input!$B$9-V26)+Inputs!$D$12*(V9-V26)+Inputs!$E$12*(Inputs!$D$28*NGS_Bacteria_Input!$C$9-V26)))</f>
        <v>0</v>
      </c>
    </row>
    <row r="27" spans="1:23" ht="18" customHeight="1" x14ac:dyDescent="0.25">
      <c r="A27" s="11" t="str">
        <f>NGS_Bacteria_Input!A10</f>
        <v>Bac_taxon_6</v>
      </c>
      <c r="B27" s="21">
        <f>IF(Inputs!$G$35="","",Inputs!$G$35*NGS_Bacteria_Input!$D$10)</f>
        <v>0</v>
      </c>
      <c r="C27" s="21">
        <f>IF(B27="","",B27+Inputs!$B$5/Inputs!$B$12*(Inputs!$C$12*(Inputs!$C$28*NGS_Bacteria_Input!$B$10-B27)+Inputs!$D$12*(B10-B27)+Inputs!$E$12*(Inputs!$D$28*NGS_Bacteria_Input!$C$10-B27)))</f>
        <v>0</v>
      </c>
      <c r="D27" s="21">
        <f>IF(C27="","",C27+Inputs!$B$5/Inputs!$B$12*(Inputs!$C$12*(Inputs!$C$28*NGS_Bacteria_Input!$B$10-C27)+Inputs!$D$12*(C10-C27)+Inputs!$E$12*(Inputs!$D$28*NGS_Bacteria_Input!$C$10-C27)))</f>
        <v>0</v>
      </c>
      <c r="E27" s="21">
        <f>IF(D27="","",D27+Inputs!$B$5/Inputs!$B$12*(Inputs!$C$12*(Inputs!$C$28*NGS_Bacteria_Input!$B$10-D27)+Inputs!$D$12*(D10-D27)+Inputs!$E$12*(Inputs!$D$28*NGS_Bacteria_Input!$C$10-D27)))</f>
        <v>0</v>
      </c>
      <c r="F27" s="21">
        <f>IF(E27="","",E27+Inputs!$B$5/Inputs!$B$12*(Inputs!$C$12*(Inputs!$C$28*NGS_Bacteria_Input!$B$10-E27)+Inputs!$D$12*(E10-E27)+Inputs!$E$12*(Inputs!$D$28*NGS_Bacteria_Input!$C$10-E27)))</f>
        <v>0</v>
      </c>
      <c r="G27" s="21">
        <f>IF(F27="","",F27+Inputs!$B$5/Inputs!$B$12*(Inputs!$C$12*(Inputs!$C$28*NGS_Bacteria_Input!$B$10-F27)+Inputs!$D$12*(F10-F27)+Inputs!$E$12*(Inputs!$D$28*NGS_Bacteria_Input!$C$10-F27)))</f>
        <v>0</v>
      </c>
      <c r="H27" s="21">
        <f>IF(G27="","",G27+Inputs!$B$5/Inputs!$B$12*(Inputs!$C$12*(Inputs!$C$28*NGS_Bacteria_Input!$B$10-G27)+Inputs!$D$12*(G10-G27)+Inputs!$E$12*(Inputs!$D$28*NGS_Bacteria_Input!$C$10-G27)))</f>
        <v>0</v>
      </c>
      <c r="I27" s="21">
        <f>IF(H27="","",H27+Inputs!$B$5/Inputs!$B$12*(Inputs!$C$12*(Inputs!$C$28*NGS_Bacteria_Input!$B$10-H27)+Inputs!$D$12*(H10-H27)+Inputs!$E$12*(Inputs!$D$28*NGS_Bacteria_Input!$C$10-H27)))</f>
        <v>0</v>
      </c>
      <c r="J27" s="21">
        <f>IF(I27="","",I27+Inputs!$B$5/Inputs!$B$12*(Inputs!$C$12*(Inputs!$C$28*NGS_Bacteria_Input!$B$10-I27)+Inputs!$D$12*(I10-I27)+Inputs!$E$12*(Inputs!$D$28*NGS_Bacteria_Input!$C$10-I27)))</f>
        <v>0</v>
      </c>
      <c r="K27" s="21">
        <f>IF(J27="","",J27+Inputs!$B$5/Inputs!$B$12*(Inputs!$C$12*(Inputs!$C$28*NGS_Bacteria_Input!$B$10-J27)+Inputs!$D$12*(J10-J27)+Inputs!$E$12*(Inputs!$D$28*NGS_Bacteria_Input!$C$10-J27)))</f>
        <v>0</v>
      </c>
      <c r="L27" s="21">
        <f>IF(K27="","",K27+Inputs!$B$5/Inputs!$B$12*(Inputs!$C$12*(Inputs!$C$28*NGS_Bacteria_Input!$B$10-K27)+Inputs!$D$12*(K10-K27)+Inputs!$E$12*(Inputs!$D$28*NGS_Bacteria_Input!$C$10-K27)))</f>
        <v>0</v>
      </c>
      <c r="M27" s="21">
        <f>IF(L27="","",L27+Inputs!$B$5/Inputs!$B$12*(Inputs!$C$12*(Inputs!$C$28*NGS_Bacteria_Input!$B$10-L27)+Inputs!$D$12*(L10-L27)+Inputs!$E$12*(Inputs!$D$28*NGS_Bacteria_Input!$C$10-L27)))</f>
        <v>0</v>
      </c>
      <c r="N27" s="21">
        <f>IF(M27="","",M27+Inputs!$B$5/Inputs!$B$12*(Inputs!$C$12*(Inputs!$C$28*NGS_Bacteria_Input!$B$10-M27)+Inputs!$D$12*(M10-M27)+Inputs!$E$12*(Inputs!$D$28*NGS_Bacteria_Input!$C$10-M27)))</f>
        <v>0</v>
      </c>
      <c r="O27" s="21">
        <f>IF(N27="","",N27+Inputs!$B$5/Inputs!$B$12*(Inputs!$C$12*(Inputs!$C$28*NGS_Bacteria_Input!$B$10-N27)+Inputs!$D$12*(N10-N27)+Inputs!$E$12*(Inputs!$D$28*NGS_Bacteria_Input!$C$10-N27)))</f>
        <v>0</v>
      </c>
      <c r="P27" s="21">
        <f>IF(O27="","",O27+Inputs!$B$5/Inputs!$B$12*(Inputs!$C$12*(Inputs!$C$28*NGS_Bacteria_Input!$B$10-O27)+Inputs!$D$12*(O10-O27)+Inputs!$E$12*(Inputs!$D$28*NGS_Bacteria_Input!$C$10-O27)))</f>
        <v>0</v>
      </c>
      <c r="Q27" s="21">
        <f>IF(P27="","",P27+Inputs!$B$5/Inputs!$B$12*(Inputs!$C$12*(Inputs!$C$28*NGS_Bacteria_Input!$B$10-P27)+Inputs!$D$12*(P10-P27)+Inputs!$E$12*(Inputs!$D$28*NGS_Bacteria_Input!$C$10-P27)))</f>
        <v>0</v>
      </c>
      <c r="R27" s="21">
        <f>IF(Q27="","",Q27+Inputs!$B$5/Inputs!$B$12*(Inputs!$C$12*(Inputs!$C$28*NGS_Bacteria_Input!$B$10-Q27)+Inputs!$D$12*(Q10-Q27)+Inputs!$E$12*(Inputs!$D$28*NGS_Bacteria_Input!$C$10-Q27)))</f>
        <v>0</v>
      </c>
      <c r="S27" s="21">
        <f>IF(R27="","",R27+Inputs!$B$5/Inputs!$B$12*(Inputs!$C$12*(Inputs!$C$28*NGS_Bacteria_Input!$B$10-R27)+Inputs!$D$12*(R10-R27)+Inputs!$E$12*(Inputs!$D$28*NGS_Bacteria_Input!$C$10-R27)))</f>
        <v>0</v>
      </c>
      <c r="T27" s="21">
        <f>IF(S27="","",S27+Inputs!$B$5/Inputs!$B$12*(Inputs!$C$12*(Inputs!$C$28*NGS_Bacteria_Input!$B$10-S27)+Inputs!$D$12*(S10-S27)+Inputs!$E$12*(Inputs!$D$28*NGS_Bacteria_Input!$C$10-S27)))</f>
        <v>0</v>
      </c>
      <c r="U27" s="21">
        <f>IF(T27="","",T27+Inputs!$B$5/Inputs!$B$12*(Inputs!$C$12*(Inputs!$C$28*NGS_Bacteria_Input!$B$10-T27)+Inputs!$D$12*(T10-T27)+Inputs!$E$12*(Inputs!$D$28*NGS_Bacteria_Input!$C$10-T27)))</f>
        <v>0</v>
      </c>
      <c r="V27" s="21">
        <f>IF(U27="","",U27+Inputs!$B$5/Inputs!$B$12*(Inputs!$C$12*(Inputs!$C$28*NGS_Bacteria_Input!$B$10-U27)+Inputs!$D$12*(U10-U27)+Inputs!$E$12*(Inputs!$D$28*NGS_Bacteria_Input!$C$10-U27)))</f>
        <v>0</v>
      </c>
      <c r="W27" s="21">
        <f>IF(V27="","",V27+Inputs!$B$5/Inputs!$B$12*(Inputs!$C$12*(Inputs!$C$28*NGS_Bacteria_Input!$B$10-V27)+Inputs!$D$12*(V10-V27)+Inputs!$E$12*(Inputs!$D$28*NGS_Bacteria_Input!$C$10-V27)))</f>
        <v>0</v>
      </c>
    </row>
    <row r="28" spans="1:23" ht="18" customHeight="1" x14ac:dyDescent="0.25">
      <c r="A28" s="11" t="str">
        <f>NGS_Bacteria_Input!A11</f>
        <v>Bac_taxon_7</v>
      </c>
      <c r="B28" s="21">
        <f>IF(Inputs!$G$35="","",Inputs!$G$35*NGS_Bacteria_Input!$D$11)</f>
        <v>0</v>
      </c>
      <c r="C28" s="21">
        <f>IF(B28="","",B28+Inputs!$B$5/Inputs!$B$12*(Inputs!$C$12*(Inputs!$C$28*NGS_Bacteria_Input!$B$11-B28)+Inputs!$D$12*(B11-B28)+Inputs!$E$12*(Inputs!$D$28*NGS_Bacteria_Input!$C$11-B28)))</f>
        <v>0</v>
      </c>
      <c r="D28" s="21">
        <f>IF(C28="","",C28+Inputs!$B$5/Inputs!$B$12*(Inputs!$C$12*(Inputs!$C$28*NGS_Bacteria_Input!$B$11-C28)+Inputs!$D$12*(C11-C28)+Inputs!$E$12*(Inputs!$D$28*NGS_Bacteria_Input!$C$11-C28)))</f>
        <v>0</v>
      </c>
      <c r="E28" s="21">
        <f>IF(D28="","",D28+Inputs!$B$5/Inputs!$B$12*(Inputs!$C$12*(Inputs!$C$28*NGS_Bacteria_Input!$B$11-D28)+Inputs!$D$12*(D11-D28)+Inputs!$E$12*(Inputs!$D$28*NGS_Bacteria_Input!$C$11-D28)))</f>
        <v>0</v>
      </c>
      <c r="F28" s="21">
        <f>IF(E28="","",E28+Inputs!$B$5/Inputs!$B$12*(Inputs!$C$12*(Inputs!$C$28*NGS_Bacteria_Input!$B$11-E28)+Inputs!$D$12*(E11-E28)+Inputs!$E$12*(Inputs!$D$28*NGS_Bacteria_Input!$C$11-E28)))</f>
        <v>0</v>
      </c>
      <c r="G28" s="21">
        <f>IF(F28="","",F28+Inputs!$B$5/Inputs!$B$12*(Inputs!$C$12*(Inputs!$C$28*NGS_Bacteria_Input!$B$11-F28)+Inputs!$D$12*(F11-F28)+Inputs!$E$12*(Inputs!$D$28*NGS_Bacteria_Input!$C$11-F28)))</f>
        <v>0</v>
      </c>
      <c r="H28" s="21">
        <f>IF(G28="","",G28+Inputs!$B$5/Inputs!$B$12*(Inputs!$C$12*(Inputs!$C$28*NGS_Bacteria_Input!$B$11-G28)+Inputs!$D$12*(G11-G28)+Inputs!$E$12*(Inputs!$D$28*NGS_Bacteria_Input!$C$11-G28)))</f>
        <v>0</v>
      </c>
      <c r="I28" s="21">
        <f>IF(H28="","",H28+Inputs!$B$5/Inputs!$B$12*(Inputs!$C$12*(Inputs!$C$28*NGS_Bacteria_Input!$B$11-H28)+Inputs!$D$12*(H11-H28)+Inputs!$E$12*(Inputs!$D$28*NGS_Bacteria_Input!$C$11-H28)))</f>
        <v>0</v>
      </c>
      <c r="J28" s="21">
        <f>IF(I28="","",I28+Inputs!$B$5/Inputs!$B$12*(Inputs!$C$12*(Inputs!$C$28*NGS_Bacteria_Input!$B$11-I28)+Inputs!$D$12*(I11-I28)+Inputs!$E$12*(Inputs!$D$28*NGS_Bacteria_Input!$C$11-I28)))</f>
        <v>0</v>
      </c>
      <c r="K28" s="21">
        <f>IF(J28="","",J28+Inputs!$B$5/Inputs!$B$12*(Inputs!$C$12*(Inputs!$C$28*NGS_Bacteria_Input!$B$11-J28)+Inputs!$D$12*(J11-J28)+Inputs!$E$12*(Inputs!$D$28*NGS_Bacteria_Input!$C$11-J28)))</f>
        <v>0</v>
      </c>
      <c r="L28" s="21">
        <f>IF(K28="","",K28+Inputs!$B$5/Inputs!$B$12*(Inputs!$C$12*(Inputs!$C$28*NGS_Bacteria_Input!$B$11-K28)+Inputs!$D$12*(K11-K28)+Inputs!$E$12*(Inputs!$D$28*NGS_Bacteria_Input!$C$11-K28)))</f>
        <v>0</v>
      </c>
      <c r="M28" s="21">
        <f>IF(L28="","",L28+Inputs!$B$5/Inputs!$B$12*(Inputs!$C$12*(Inputs!$C$28*NGS_Bacteria_Input!$B$11-L28)+Inputs!$D$12*(L11-L28)+Inputs!$E$12*(Inputs!$D$28*NGS_Bacteria_Input!$C$11-L28)))</f>
        <v>0</v>
      </c>
      <c r="N28" s="21">
        <f>IF(M28="","",M28+Inputs!$B$5/Inputs!$B$12*(Inputs!$C$12*(Inputs!$C$28*NGS_Bacteria_Input!$B$11-M28)+Inputs!$D$12*(M11-M28)+Inputs!$E$12*(Inputs!$D$28*NGS_Bacteria_Input!$C$11-M28)))</f>
        <v>0</v>
      </c>
      <c r="O28" s="21">
        <f>IF(N28="","",N28+Inputs!$B$5/Inputs!$B$12*(Inputs!$C$12*(Inputs!$C$28*NGS_Bacteria_Input!$B$11-N28)+Inputs!$D$12*(N11-N28)+Inputs!$E$12*(Inputs!$D$28*NGS_Bacteria_Input!$C$11-N28)))</f>
        <v>0</v>
      </c>
      <c r="P28" s="21">
        <f>IF(O28="","",O28+Inputs!$B$5/Inputs!$B$12*(Inputs!$C$12*(Inputs!$C$28*NGS_Bacteria_Input!$B$11-O28)+Inputs!$D$12*(O11-O28)+Inputs!$E$12*(Inputs!$D$28*NGS_Bacteria_Input!$C$11-O28)))</f>
        <v>0</v>
      </c>
      <c r="Q28" s="21">
        <f>IF(P28="","",P28+Inputs!$B$5/Inputs!$B$12*(Inputs!$C$12*(Inputs!$C$28*NGS_Bacteria_Input!$B$11-P28)+Inputs!$D$12*(P11-P28)+Inputs!$E$12*(Inputs!$D$28*NGS_Bacteria_Input!$C$11-P28)))</f>
        <v>0</v>
      </c>
      <c r="R28" s="21">
        <f>IF(Q28="","",Q28+Inputs!$B$5/Inputs!$B$12*(Inputs!$C$12*(Inputs!$C$28*NGS_Bacteria_Input!$B$11-Q28)+Inputs!$D$12*(Q11-Q28)+Inputs!$E$12*(Inputs!$D$28*NGS_Bacteria_Input!$C$11-Q28)))</f>
        <v>0</v>
      </c>
      <c r="S28" s="21">
        <f>IF(R28="","",R28+Inputs!$B$5/Inputs!$B$12*(Inputs!$C$12*(Inputs!$C$28*NGS_Bacteria_Input!$B$11-R28)+Inputs!$D$12*(R11-R28)+Inputs!$E$12*(Inputs!$D$28*NGS_Bacteria_Input!$C$11-R28)))</f>
        <v>0</v>
      </c>
      <c r="T28" s="21">
        <f>IF(S28="","",S28+Inputs!$B$5/Inputs!$B$12*(Inputs!$C$12*(Inputs!$C$28*NGS_Bacteria_Input!$B$11-S28)+Inputs!$D$12*(S11-S28)+Inputs!$E$12*(Inputs!$D$28*NGS_Bacteria_Input!$C$11-S28)))</f>
        <v>0</v>
      </c>
      <c r="U28" s="21">
        <f>IF(T28="","",T28+Inputs!$B$5/Inputs!$B$12*(Inputs!$C$12*(Inputs!$C$28*NGS_Bacteria_Input!$B$11-T28)+Inputs!$D$12*(T11-T28)+Inputs!$E$12*(Inputs!$D$28*NGS_Bacteria_Input!$C$11-T28)))</f>
        <v>0</v>
      </c>
      <c r="V28" s="21">
        <f>IF(U28="","",U28+Inputs!$B$5/Inputs!$B$12*(Inputs!$C$12*(Inputs!$C$28*NGS_Bacteria_Input!$B$11-U28)+Inputs!$D$12*(U11-U28)+Inputs!$E$12*(Inputs!$D$28*NGS_Bacteria_Input!$C$11-U28)))</f>
        <v>0</v>
      </c>
      <c r="W28" s="21">
        <f>IF(V28="","",V28+Inputs!$B$5/Inputs!$B$12*(Inputs!$C$12*(Inputs!$C$28*NGS_Bacteria_Input!$B$11-V28)+Inputs!$D$12*(V11-V28)+Inputs!$E$12*(Inputs!$D$28*NGS_Bacteria_Input!$C$11-V28)))</f>
        <v>0</v>
      </c>
    </row>
    <row r="29" spans="1:23" ht="18" customHeight="1" x14ac:dyDescent="0.25">
      <c r="A29" s="11" t="str">
        <f>NGS_Bacteria_Input!A12</f>
        <v>Bac_taxon_8</v>
      </c>
      <c r="B29" s="21">
        <f>IF(Inputs!$G$35="","",Inputs!$G$35*NGS_Bacteria_Input!$D$12)</f>
        <v>0</v>
      </c>
      <c r="C29" s="21">
        <f>IF(B29="","",B29+Inputs!$B$5/Inputs!$B$12*(Inputs!$C$12*(Inputs!$C$28*NGS_Bacteria_Input!$B$12-B29)+Inputs!$D$12*(B12-B29)+Inputs!$E$12*(Inputs!$D$28*NGS_Bacteria_Input!$C$12-B29)))</f>
        <v>0</v>
      </c>
      <c r="D29" s="21">
        <f>IF(C29="","",C29+Inputs!$B$5/Inputs!$B$12*(Inputs!$C$12*(Inputs!$C$28*NGS_Bacteria_Input!$B$12-C29)+Inputs!$D$12*(C12-C29)+Inputs!$E$12*(Inputs!$D$28*NGS_Bacteria_Input!$C$12-C29)))</f>
        <v>0</v>
      </c>
      <c r="E29" s="21">
        <f>IF(D29="","",D29+Inputs!$B$5/Inputs!$B$12*(Inputs!$C$12*(Inputs!$C$28*NGS_Bacteria_Input!$B$12-D29)+Inputs!$D$12*(D12-D29)+Inputs!$E$12*(Inputs!$D$28*NGS_Bacteria_Input!$C$12-D29)))</f>
        <v>0</v>
      </c>
      <c r="F29" s="21">
        <f>IF(E29="","",E29+Inputs!$B$5/Inputs!$B$12*(Inputs!$C$12*(Inputs!$C$28*NGS_Bacteria_Input!$B$12-E29)+Inputs!$D$12*(E12-E29)+Inputs!$E$12*(Inputs!$D$28*NGS_Bacteria_Input!$C$12-E29)))</f>
        <v>0</v>
      </c>
      <c r="G29" s="21">
        <f>IF(F29="","",F29+Inputs!$B$5/Inputs!$B$12*(Inputs!$C$12*(Inputs!$C$28*NGS_Bacteria_Input!$B$12-F29)+Inputs!$D$12*(F12-F29)+Inputs!$E$12*(Inputs!$D$28*NGS_Bacteria_Input!$C$12-F29)))</f>
        <v>0</v>
      </c>
      <c r="H29" s="21">
        <f>IF(G29="","",G29+Inputs!$B$5/Inputs!$B$12*(Inputs!$C$12*(Inputs!$C$28*NGS_Bacteria_Input!$B$12-G29)+Inputs!$D$12*(G12-G29)+Inputs!$E$12*(Inputs!$D$28*NGS_Bacteria_Input!$C$12-G29)))</f>
        <v>0</v>
      </c>
      <c r="I29" s="21">
        <f>IF(H29="","",H29+Inputs!$B$5/Inputs!$B$12*(Inputs!$C$12*(Inputs!$C$28*NGS_Bacteria_Input!$B$12-H29)+Inputs!$D$12*(H12-H29)+Inputs!$E$12*(Inputs!$D$28*NGS_Bacteria_Input!$C$12-H29)))</f>
        <v>0</v>
      </c>
      <c r="J29" s="21">
        <f>IF(I29="","",I29+Inputs!$B$5/Inputs!$B$12*(Inputs!$C$12*(Inputs!$C$28*NGS_Bacteria_Input!$B$12-I29)+Inputs!$D$12*(I12-I29)+Inputs!$E$12*(Inputs!$D$28*NGS_Bacteria_Input!$C$12-I29)))</f>
        <v>0</v>
      </c>
      <c r="K29" s="21">
        <f>IF(J29="","",J29+Inputs!$B$5/Inputs!$B$12*(Inputs!$C$12*(Inputs!$C$28*NGS_Bacteria_Input!$B$12-J29)+Inputs!$D$12*(J12-J29)+Inputs!$E$12*(Inputs!$D$28*NGS_Bacteria_Input!$C$12-J29)))</f>
        <v>0</v>
      </c>
      <c r="L29" s="21">
        <f>IF(K29="","",K29+Inputs!$B$5/Inputs!$B$12*(Inputs!$C$12*(Inputs!$C$28*NGS_Bacteria_Input!$B$12-K29)+Inputs!$D$12*(K12-K29)+Inputs!$E$12*(Inputs!$D$28*NGS_Bacteria_Input!$C$12-K29)))</f>
        <v>0</v>
      </c>
      <c r="M29" s="21">
        <f>IF(L29="","",L29+Inputs!$B$5/Inputs!$B$12*(Inputs!$C$12*(Inputs!$C$28*NGS_Bacteria_Input!$B$12-L29)+Inputs!$D$12*(L12-L29)+Inputs!$E$12*(Inputs!$D$28*NGS_Bacteria_Input!$C$12-L29)))</f>
        <v>0</v>
      </c>
      <c r="N29" s="21">
        <f>IF(M29="","",M29+Inputs!$B$5/Inputs!$B$12*(Inputs!$C$12*(Inputs!$C$28*NGS_Bacteria_Input!$B$12-M29)+Inputs!$D$12*(M12-M29)+Inputs!$E$12*(Inputs!$D$28*NGS_Bacteria_Input!$C$12-M29)))</f>
        <v>0</v>
      </c>
      <c r="O29" s="21">
        <f>IF(N29="","",N29+Inputs!$B$5/Inputs!$B$12*(Inputs!$C$12*(Inputs!$C$28*NGS_Bacteria_Input!$B$12-N29)+Inputs!$D$12*(N12-N29)+Inputs!$E$12*(Inputs!$D$28*NGS_Bacteria_Input!$C$12-N29)))</f>
        <v>0</v>
      </c>
      <c r="P29" s="21">
        <f>IF(O29="","",O29+Inputs!$B$5/Inputs!$B$12*(Inputs!$C$12*(Inputs!$C$28*NGS_Bacteria_Input!$B$12-O29)+Inputs!$D$12*(O12-O29)+Inputs!$E$12*(Inputs!$D$28*NGS_Bacteria_Input!$C$12-O29)))</f>
        <v>0</v>
      </c>
      <c r="Q29" s="21">
        <f>IF(P29="","",P29+Inputs!$B$5/Inputs!$B$12*(Inputs!$C$12*(Inputs!$C$28*NGS_Bacteria_Input!$B$12-P29)+Inputs!$D$12*(P12-P29)+Inputs!$E$12*(Inputs!$D$28*NGS_Bacteria_Input!$C$12-P29)))</f>
        <v>0</v>
      </c>
      <c r="R29" s="21">
        <f>IF(Q29="","",Q29+Inputs!$B$5/Inputs!$B$12*(Inputs!$C$12*(Inputs!$C$28*NGS_Bacteria_Input!$B$12-Q29)+Inputs!$D$12*(Q12-Q29)+Inputs!$E$12*(Inputs!$D$28*NGS_Bacteria_Input!$C$12-Q29)))</f>
        <v>0</v>
      </c>
      <c r="S29" s="21">
        <f>IF(R29="","",R29+Inputs!$B$5/Inputs!$B$12*(Inputs!$C$12*(Inputs!$C$28*NGS_Bacteria_Input!$B$12-R29)+Inputs!$D$12*(R12-R29)+Inputs!$E$12*(Inputs!$D$28*NGS_Bacteria_Input!$C$12-R29)))</f>
        <v>0</v>
      </c>
      <c r="T29" s="21">
        <f>IF(S29="","",S29+Inputs!$B$5/Inputs!$B$12*(Inputs!$C$12*(Inputs!$C$28*NGS_Bacteria_Input!$B$12-S29)+Inputs!$D$12*(S12-S29)+Inputs!$E$12*(Inputs!$D$28*NGS_Bacteria_Input!$C$12-S29)))</f>
        <v>0</v>
      </c>
      <c r="U29" s="21">
        <f>IF(T29="","",T29+Inputs!$B$5/Inputs!$B$12*(Inputs!$C$12*(Inputs!$C$28*NGS_Bacteria_Input!$B$12-T29)+Inputs!$D$12*(T12-T29)+Inputs!$E$12*(Inputs!$D$28*NGS_Bacteria_Input!$C$12-T29)))</f>
        <v>0</v>
      </c>
      <c r="V29" s="21">
        <f>IF(U29="","",U29+Inputs!$B$5/Inputs!$B$12*(Inputs!$C$12*(Inputs!$C$28*NGS_Bacteria_Input!$B$12-U29)+Inputs!$D$12*(U12-U29)+Inputs!$E$12*(Inputs!$D$28*NGS_Bacteria_Input!$C$12-U29)))</f>
        <v>0</v>
      </c>
      <c r="W29" s="21">
        <f>IF(V29="","",V29+Inputs!$B$5/Inputs!$B$12*(Inputs!$C$12*(Inputs!$C$28*NGS_Bacteria_Input!$B$12-V29)+Inputs!$D$12*(V12-V29)+Inputs!$E$12*(Inputs!$D$28*NGS_Bacteria_Input!$C$12-V29)))</f>
        <v>0</v>
      </c>
    </row>
    <row r="30" spans="1:23" ht="18" customHeight="1" x14ac:dyDescent="0.25">
      <c r="A30" s="11" t="str">
        <f>NGS_Bacteria_Input!A13</f>
        <v>Bac_taxon_9</v>
      </c>
      <c r="B30" s="21">
        <f>IF(Inputs!$G$35="","",Inputs!$G$35*NGS_Bacteria_Input!$D$13)</f>
        <v>0</v>
      </c>
      <c r="C30" s="21">
        <f>IF(B30="","",B30+Inputs!$B$5/Inputs!$B$12*(Inputs!$C$12*(Inputs!$C$28*NGS_Bacteria_Input!$B$13-B30)+Inputs!$D$12*(B13-B30)+Inputs!$E$12*(Inputs!$D$28*NGS_Bacteria_Input!$C$13-B30)))</f>
        <v>0</v>
      </c>
      <c r="D30" s="21">
        <f>IF(C30="","",C30+Inputs!$B$5/Inputs!$B$12*(Inputs!$C$12*(Inputs!$C$28*NGS_Bacteria_Input!$B$13-C30)+Inputs!$D$12*(C13-C30)+Inputs!$E$12*(Inputs!$D$28*NGS_Bacteria_Input!$C$13-C30)))</f>
        <v>0</v>
      </c>
      <c r="E30" s="21">
        <f>IF(D30="","",D30+Inputs!$B$5/Inputs!$B$12*(Inputs!$C$12*(Inputs!$C$28*NGS_Bacteria_Input!$B$13-D30)+Inputs!$D$12*(D13-D30)+Inputs!$E$12*(Inputs!$D$28*NGS_Bacteria_Input!$C$13-D30)))</f>
        <v>0</v>
      </c>
      <c r="F30" s="21">
        <f>IF(E30="","",E30+Inputs!$B$5/Inputs!$B$12*(Inputs!$C$12*(Inputs!$C$28*NGS_Bacteria_Input!$B$13-E30)+Inputs!$D$12*(E13-E30)+Inputs!$E$12*(Inputs!$D$28*NGS_Bacteria_Input!$C$13-E30)))</f>
        <v>0</v>
      </c>
      <c r="G30" s="21">
        <f>IF(F30="","",F30+Inputs!$B$5/Inputs!$B$12*(Inputs!$C$12*(Inputs!$C$28*NGS_Bacteria_Input!$B$13-F30)+Inputs!$D$12*(F13-F30)+Inputs!$E$12*(Inputs!$D$28*NGS_Bacteria_Input!$C$13-F30)))</f>
        <v>0</v>
      </c>
      <c r="H30" s="21">
        <f>IF(G30="","",G30+Inputs!$B$5/Inputs!$B$12*(Inputs!$C$12*(Inputs!$C$28*NGS_Bacteria_Input!$B$13-G30)+Inputs!$D$12*(G13-G30)+Inputs!$E$12*(Inputs!$D$28*NGS_Bacteria_Input!$C$13-G30)))</f>
        <v>0</v>
      </c>
      <c r="I30" s="21">
        <f>IF(H30="","",H30+Inputs!$B$5/Inputs!$B$12*(Inputs!$C$12*(Inputs!$C$28*NGS_Bacteria_Input!$B$13-H30)+Inputs!$D$12*(H13-H30)+Inputs!$E$12*(Inputs!$D$28*NGS_Bacteria_Input!$C$13-H30)))</f>
        <v>0</v>
      </c>
      <c r="J30" s="21">
        <f>IF(I30="","",I30+Inputs!$B$5/Inputs!$B$12*(Inputs!$C$12*(Inputs!$C$28*NGS_Bacteria_Input!$B$13-I30)+Inputs!$D$12*(I13-I30)+Inputs!$E$12*(Inputs!$D$28*NGS_Bacteria_Input!$C$13-I30)))</f>
        <v>0</v>
      </c>
      <c r="K30" s="21">
        <f>IF(J30="","",J30+Inputs!$B$5/Inputs!$B$12*(Inputs!$C$12*(Inputs!$C$28*NGS_Bacteria_Input!$B$13-J30)+Inputs!$D$12*(J13-J30)+Inputs!$E$12*(Inputs!$D$28*NGS_Bacteria_Input!$C$13-J30)))</f>
        <v>0</v>
      </c>
      <c r="L30" s="21">
        <f>IF(K30="","",K30+Inputs!$B$5/Inputs!$B$12*(Inputs!$C$12*(Inputs!$C$28*NGS_Bacteria_Input!$B$13-K30)+Inputs!$D$12*(K13-K30)+Inputs!$E$12*(Inputs!$D$28*NGS_Bacteria_Input!$C$13-K30)))</f>
        <v>0</v>
      </c>
      <c r="M30" s="21">
        <f>IF(L30="","",L30+Inputs!$B$5/Inputs!$B$12*(Inputs!$C$12*(Inputs!$C$28*NGS_Bacteria_Input!$B$13-L30)+Inputs!$D$12*(L13-L30)+Inputs!$E$12*(Inputs!$D$28*NGS_Bacteria_Input!$C$13-L30)))</f>
        <v>0</v>
      </c>
      <c r="N30" s="21">
        <f>IF(M30="","",M30+Inputs!$B$5/Inputs!$B$12*(Inputs!$C$12*(Inputs!$C$28*NGS_Bacteria_Input!$B$13-M30)+Inputs!$D$12*(M13-M30)+Inputs!$E$12*(Inputs!$D$28*NGS_Bacteria_Input!$C$13-M30)))</f>
        <v>0</v>
      </c>
      <c r="O30" s="21">
        <f>IF(N30="","",N30+Inputs!$B$5/Inputs!$B$12*(Inputs!$C$12*(Inputs!$C$28*NGS_Bacteria_Input!$B$13-N30)+Inputs!$D$12*(N13-N30)+Inputs!$E$12*(Inputs!$D$28*NGS_Bacteria_Input!$C$13-N30)))</f>
        <v>0</v>
      </c>
      <c r="P30" s="21">
        <f>IF(O30="","",O30+Inputs!$B$5/Inputs!$B$12*(Inputs!$C$12*(Inputs!$C$28*NGS_Bacteria_Input!$B$13-O30)+Inputs!$D$12*(O13-O30)+Inputs!$E$12*(Inputs!$D$28*NGS_Bacteria_Input!$C$13-O30)))</f>
        <v>0</v>
      </c>
      <c r="Q30" s="21">
        <f>IF(P30="","",P30+Inputs!$B$5/Inputs!$B$12*(Inputs!$C$12*(Inputs!$C$28*NGS_Bacteria_Input!$B$13-P30)+Inputs!$D$12*(P13-P30)+Inputs!$E$12*(Inputs!$D$28*NGS_Bacteria_Input!$C$13-P30)))</f>
        <v>0</v>
      </c>
      <c r="R30" s="21">
        <f>IF(Q30="","",Q30+Inputs!$B$5/Inputs!$B$12*(Inputs!$C$12*(Inputs!$C$28*NGS_Bacteria_Input!$B$13-Q30)+Inputs!$D$12*(Q13-Q30)+Inputs!$E$12*(Inputs!$D$28*NGS_Bacteria_Input!$C$13-Q30)))</f>
        <v>0</v>
      </c>
      <c r="S30" s="21">
        <f>IF(R30="","",R30+Inputs!$B$5/Inputs!$B$12*(Inputs!$C$12*(Inputs!$C$28*NGS_Bacteria_Input!$B$13-R30)+Inputs!$D$12*(R13-R30)+Inputs!$E$12*(Inputs!$D$28*NGS_Bacteria_Input!$C$13-R30)))</f>
        <v>0</v>
      </c>
      <c r="T30" s="21">
        <f>IF(S30="","",S30+Inputs!$B$5/Inputs!$B$12*(Inputs!$C$12*(Inputs!$C$28*NGS_Bacteria_Input!$B$13-S30)+Inputs!$D$12*(S13-S30)+Inputs!$E$12*(Inputs!$D$28*NGS_Bacteria_Input!$C$13-S30)))</f>
        <v>0</v>
      </c>
      <c r="U30" s="21">
        <f>IF(T30="","",T30+Inputs!$B$5/Inputs!$B$12*(Inputs!$C$12*(Inputs!$C$28*NGS_Bacteria_Input!$B$13-T30)+Inputs!$D$12*(T13-T30)+Inputs!$E$12*(Inputs!$D$28*NGS_Bacteria_Input!$C$13-T30)))</f>
        <v>0</v>
      </c>
      <c r="V30" s="21">
        <f>IF(U30="","",U30+Inputs!$B$5/Inputs!$B$12*(Inputs!$C$12*(Inputs!$C$28*NGS_Bacteria_Input!$B$13-U30)+Inputs!$D$12*(U13-U30)+Inputs!$E$12*(Inputs!$D$28*NGS_Bacteria_Input!$C$13-U30)))</f>
        <v>0</v>
      </c>
      <c r="W30" s="21">
        <f>IF(V30="","",V30+Inputs!$B$5/Inputs!$B$12*(Inputs!$C$12*(Inputs!$C$28*NGS_Bacteria_Input!$B$13-V30)+Inputs!$D$12*(V13-V30)+Inputs!$E$12*(Inputs!$D$28*NGS_Bacteria_Input!$C$13-V30)))</f>
        <v>0</v>
      </c>
    </row>
    <row r="31" spans="1:23" ht="18" customHeight="1" x14ac:dyDescent="0.25">
      <c r="A31" s="11" t="str">
        <f>NGS_Bacteria_Input!A14</f>
        <v>Bac_taxon_10</v>
      </c>
      <c r="B31" s="21">
        <f>IF(Inputs!$G$35="","",Inputs!$G$35*NGS_Bacteria_Input!$D$14)</f>
        <v>0</v>
      </c>
      <c r="C31" s="21">
        <f>IF(B31="","",B31+Inputs!$B$5/Inputs!$B$12*(Inputs!$C$12*(Inputs!$C$28*NGS_Bacteria_Input!$B$14-B31)+Inputs!$D$12*(B14-B31)+Inputs!$E$12*(Inputs!$D$28*NGS_Bacteria_Input!$C$14-B31)))</f>
        <v>0</v>
      </c>
      <c r="D31" s="21">
        <f>IF(C31="","",C31+Inputs!$B$5/Inputs!$B$12*(Inputs!$C$12*(Inputs!$C$28*NGS_Bacteria_Input!$B$14-C31)+Inputs!$D$12*(C14-C31)+Inputs!$E$12*(Inputs!$D$28*NGS_Bacteria_Input!$C$14-C31)))</f>
        <v>0</v>
      </c>
      <c r="E31" s="21">
        <f>IF(D31="","",D31+Inputs!$B$5/Inputs!$B$12*(Inputs!$C$12*(Inputs!$C$28*NGS_Bacteria_Input!$B$14-D31)+Inputs!$D$12*(D14-D31)+Inputs!$E$12*(Inputs!$D$28*NGS_Bacteria_Input!$C$14-D31)))</f>
        <v>0</v>
      </c>
      <c r="F31" s="21">
        <f>IF(E31="","",E31+Inputs!$B$5/Inputs!$B$12*(Inputs!$C$12*(Inputs!$C$28*NGS_Bacteria_Input!$B$14-E31)+Inputs!$D$12*(E14-E31)+Inputs!$E$12*(Inputs!$D$28*NGS_Bacteria_Input!$C$14-E31)))</f>
        <v>0</v>
      </c>
      <c r="G31" s="21">
        <f>IF(F31="","",F31+Inputs!$B$5/Inputs!$B$12*(Inputs!$C$12*(Inputs!$C$28*NGS_Bacteria_Input!$B$14-F31)+Inputs!$D$12*(F14-F31)+Inputs!$E$12*(Inputs!$D$28*NGS_Bacteria_Input!$C$14-F31)))</f>
        <v>0</v>
      </c>
      <c r="H31" s="21">
        <f>IF(G31="","",G31+Inputs!$B$5/Inputs!$B$12*(Inputs!$C$12*(Inputs!$C$28*NGS_Bacteria_Input!$B$14-G31)+Inputs!$D$12*(G14-G31)+Inputs!$E$12*(Inputs!$D$28*NGS_Bacteria_Input!$C$14-G31)))</f>
        <v>0</v>
      </c>
      <c r="I31" s="21">
        <f>IF(H31="","",H31+Inputs!$B$5/Inputs!$B$12*(Inputs!$C$12*(Inputs!$C$28*NGS_Bacteria_Input!$B$14-H31)+Inputs!$D$12*(H14-H31)+Inputs!$E$12*(Inputs!$D$28*NGS_Bacteria_Input!$C$14-H31)))</f>
        <v>0</v>
      </c>
      <c r="J31" s="21">
        <f>IF(I31="","",I31+Inputs!$B$5/Inputs!$B$12*(Inputs!$C$12*(Inputs!$C$28*NGS_Bacteria_Input!$B$14-I31)+Inputs!$D$12*(I14-I31)+Inputs!$E$12*(Inputs!$D$28*NGS_Bacteria_Input!$C$14-I31)))</f>
        <v>0</v>
      </c>
      <c r="K31" s="21">
        <f>IF(J31="","",J31+Inputs!$B$5/Inputs!$B$12*(Inputs!$C$12*(Inputs!$C$28*NGS_Bacteria_Input!$B$14-J31)+Inputs!$D$12*(J14-J31)+Inputs!$E$12*(Inputs!$D$28*NGS_Bacteria_Input!$C$14-J31)))</f>
        <v>0</v>
      </c>
      <c r="L31" s="21">
        <f>IF(K31="","",K31+Inputs!$B$5/Inputs!$B$12*(Inputs!$C$12*(Inputs!$C$28*NGS_Bacteria_Input!$B$14-K31)+Inputs!$D$12*(K14-K31)+Inputs!$E$12*(Inputs!$D$28*NGS_Bacteria_Input!$C$14-K31)))</f>
        <v>0</v>
      </c>
      <c r="M31" s="21">
        <f>IF(L31="","",L31+Inputs!$B$5/Inputs!$B$12*(Inputs!$C$12*(Inputs!$C$28*NGS_Bacteria_Input!$B$14-L31)+Inputs!$D$12*(L14-L31)+Inputs!$E$12*(Inputs!$D$28*NGS_Bacteria_Input!$C$14-L31)))</f>
        <v>0</v>
      </c>
      <c r="N31" s="21">
        <f>IF(M31="","",M31+Inputs!$B$5/Inputs!$B$12*(Inputs!$C$12*(Inputs!$C$28*NGS_Bacteria_Input!$B$14-M31)+Inputs!$D$12*(M14-M31)+Inputs!$E$12*(Inputs!$D$28*NGS_Bacteria_Input!$C$14-M31)))</f>
        <v>0</v>
      </c>
      <c r="O31" s="21">
        <f>IF(N31="","",N31+Inputs!$B$5/Inputs!$B$12*(Inputs!$C$12*(Inputs!$C$28*NGS_Bacteria_Input!$B$14-N31)+Inputs!$D$12*(N14-N31)+Inputs!$E$12*(Inputs!$D$28*NGS_Bacteria_Input!$C$14-N31)))</f>
        <v>0</v>
      </c>
      <c r="P31" s="21">
        <f>IF(O31="","",O31+Inputs!$B$5/Inputs!$B$12*(Inputs!$C$12*(Inputs!$C$28*NGS_Bacteria_Input!$B$14-O31)+Inputs!$D$12*(O14-O31)+Inputs!$E$12*(Inputs!$D$28*NGS_Bacteria_Input!$C$14-O31)))</f>
        <v>0</v>
      </c>
      <c r="Q31" s="21">
        <f>IF(P31="","",P31+Inputs!$B$5/Inputs!$B$12*(Inputs!$C$12*(Inputs!$C$28*NGS_Bacteria_Input!$B$14-P31)+Inputs!$D$12*(P14-P31)+Inputs!$E$12*(Inputs!$D$28*NGS_Bacteria_Input!$C$14-P31)))</f>
        <v>0</v>
      </c>
      <c r="R31" s="21">
        <f>IF(Q31="","",Q31+Inputs!$B$5/Inputs!$B$12*(Inputs!$C$12*(Inputs!$C$28*NGS_Bacteria_Input!$B$14-Q31)+Inputs!$D$12*(Q14-Q31)+Inputs!$E$12*(Inputs!$D$28*NGS_Bacteria_Input!$C$14-Q31)))</f>
        <v>0</v>
      </c>
      <c r="S31" s="21">
        <f>IF(R31="","",R31+Inputs!$B$5/Inputs!$B$12*(Inputs!$C$12*(Inputs!$C$28*NGS_Bacteria_Input!$B$14-R31)+Inputs!$D$12*(R14-R31)+Inputs!$E$12*(Inputs!$D$28*NGS_Bacteria_Input!$C$14-R31)))</f>
        <v>0</v>
      </c>
      <c r="T31" s="21">
        <f>IF(S31="","",S31+Inputs!$B$5/Inputs!$B$12*(Inputs!$C$12*(Inputs!$C$28*NGS_Bacteria_Input!$B$14-S31)+Inputs!$D$12*(S14-S31)+Inputs!$E$12*(Inputs!$D$28*NGS_Bacteria_Input!$C$14-S31)))</f>
        <v>0</v>
      </c>
      <c r="U31" s="21">
        <f>IF(T31="","",T31+Inputs!$B$5/Inputs!$B$12*(Inputs!$C$12*(Inputs!$C$28*NGS_Bacteria_Input!$B$14-T31)+Inputs!$D$12*(T14-T31)+Inputs!$E$12*(Inputs!$D$28*NGS_Bacteria_Input!$C$14-T31)))</f>
        <v>0</v>
      </c>
      <c r="V31" s="21">
        <f>IF(U31="","",U31+Inputs!$B$5/Inputs!$B$12*(Inputs!$C$12*(Inputs!$C$28*NGS_Bacteria_Input!$B$14-U31)+Inputs!$D$12*(U14-U31)+Inputs!$E$12*(Inputs!$D$28*NGS_Bacteria_Input!$C$14-U31)))</f>
        <v>0</v>
      </c>
      <c r="W31" s="21">
        <f>IF(V31="","",V31+Inputs!$B$5/Inputs!$B$12*(Inputs!$C$12*(Inputs!$C$28*NGS_Bacteria_Input!$B$14-V31)+Inputs!$D$12*(V14-V31)+Inputs!$E$12*(Inputs!$D$28*NGS_Bacteria_Input!$C$14-V31)))</f>
        <v>0</v>
      </c>
    </row>
    <row r="32" spans="1:23" ht="18" customHeight="1" x14ac:dyDescent="0.25">
      <c r="A32" s="11" t="str">
        <f>NGS_Bacteria_Input!A15</f>
        <v>Others</v>
      </c>
      <c r="B32" s="21">
        <f>IF(Inputs!$G$35="","",Inputs!$G$35*NGS_Bacteria_Input!$D$15)</f>
        <v>974582.6792047983</v>
      </c>
      <c r="C32" s="21">
        <f>IF(B32="","",B32+Inputs!$B$5/Inputs!$B$12*(Inputs!$C$12*(Inputs!$C$28*NGS_Bacteria_Input!$B$15-B32)+Inputs!$D$12*(B15-B32)+Inputs!$E$12*(Inputs!$D$28*NGS_Bacteria_Input!$C$15-B32)))</f>
        <v>960330.78686121199</v>
      </c>
      <c r="D32" s="21">
        <f>IF(C32="","",C32+Inputs!$B$5/Inputs!$B$12*(Inputs!$C$12*(Inputs!$C$28*NGS_Bacteria_Input!$B$15-C32)+Inputs!$D$12*(C15-C32)+Inputs!$E$12*(Inputs!$D$28*NGS_Bacteria_Input!$C$15-C32)))</f>
        <v>946057.4658580597</v>
      </c>
      <c r="E32" s="21">
        <f>IF(D32="","",D32+Inputs!$B$5/Inputs!$B$12*(Inputs!$C$12*(Inputs!$C$28*NGS_Bacteria_Input!$B$15-D32)+Inputs!$D$12*(D15-D32)+Inputs!$E$12*(Inputs!$D$28*NGS_Bacteria_Input!$C$15-D32)))</f>
        <v>931781.05502547836</v>
      </c>
      <c r="F32" s="21">
        <f>IF(E32="","",E32+Inputs!$B$5/Inputs!$B$12*(Inputs!$C$12*(Inputs!$C$28*NGS_Bacteria_Input!$B$15-E32)+Inputs!$D$12*(E15-E32)+Inputs!$E$12*(Inputs!$D$28*NGS_Bacteria_Input!$C$15-E32)))</f>
        <v>917518.5202795259</v>
      </c>
      <c r="G32" s="21">
        <f>IF(F32="","",F32+Inputs!$B$5/Inputs!$B$12*(Inputs!$C$12*(Inputs!$C$28*NGS_Bacteria_Input!$B$15-F32)+Inputs!$D$12*(F15-F32)+Inputs!$E$12*(Inputs!$D$28*NGS_Bacteria_Input!$C$15-F32)))</f>
        <v>903285.53753044596</v>
      </c>
      <c r="H32" s="21">
        <f>IF(G32="","",G32+Inputs!$B$5/Inputs!$B$12*(Inputs!$C$12*(Inputs!$C$28*NGS_Bacteria_Input!$B$15-G32)+Inputs!$D$12*(G15-G32)+Inputs!$E$12*(Inputs!$D$28*NGS_Bacteria_Input!$C$15-G32)))</f>
        <v>889096.57091082935</v>
      </c>
      <c r="I32" s="21">
        <f>IF(H32="","",H32+Inputs!$B$5/Inputs!$B$12*(Inputs!$C$12*(Inputs!$C$28*NGS_Bacteria_Input!$B$15-H32)+Inputs!$D$12*(H15-H32)+Inputs!$E$12*(Inputs!$D$28*NGS_Bacteria_Input!$C$15-H32)))</f>
        <v>874964.94658071222</v>
      </c>
      <c r="J32" s="21">
        <f>IF(I32="","",I32+Inputs!$B$5/Inputs!$B$12*(Inputs!$C$12*(Inputs!$C$28*NGS_Bacteria_Input!$B$15-I32)+Inputs!$D$12*(I15-I32)+Inputs!$E$12*(Inputs!$D$28*NGS_Bacteria_Input!$C$15-I32)))</f>
        <v>860902.92235272215</v>
      </c>
      <c r="K32" s="21">
        <f>IF(J32="","",J32+Inputs!$B$5/Inputs!$B$12*(Inputs!$C$12*(Inputs!$C$28*NGS_Bacteria_Input!$B$15-J32)+Inputs!$D$12*(J15-J32)+Inputs!$E$12*(Inputs!$D$28*NGS_Bacteria_Input!$C$15-J32)))</f>
        <v>846921.75336720177</v>
      </c>
      <c r="L32" s="21">
        <f>IF(K32="","",K32+Inputs!$B$5/Inputs!$B$12*(Inputs!$C$12*(Inputs!$C$28*NGS_Bacteria_Input!$B$15-K32)+Inputs!$D$12*(K15-K32)+Inputs!$E$12*(Inputs!$D$28*NGS_Bacteria_Input!$C$15-K32)))</f>
        <v>833031.75403477065</v>
      </c>
      <c r="M32" s="21">
        <f>IF(L32="","",L32+Inputs!$B$5/Inputs!$B$12*(Inputs!$C$12*(Inputs!$C$28*NGS_Bacteria_Input!$B$15-L32)+Inputs!$D$12*(L15-L32)+Inputs!$E$12*(Inputs!$D$28*NGS_Bacteria_Input!$C$15-L32)))</f>
        <v>819242.35645198415</v>
      </c>
      <c r="N32" s="21">
        <f>IF(M32="","",M32+Inputs!$B$5/Inputs!$B$12*(Inputs!$C$12*(Inputs!$C$28*NGS_Bacteria_Input!$B$15-M32)+Inputs!$D$12*(M15-M32)+Inputs!$E$12*(Inputs!$D$28*NGS_Bacteria_Input!$C$15-M32)))</f>
        <v>805562.16548458312</v>
      </c>
      <c r="O32" s="21">
        <f>IF(N32="","",N32+Inputs!$B$5/Inputs!$B$12*(Inputs!$C$12*(Inputs!$C$28*NGS_Bacteria_Input!$B$15-N32)+Inputs!$D$12*(N15-N32)+Inputs!$E$12*(Inputs!$D$28*NGS_Bacteria_Input!$C$15-N32)))</f>
        <v>791999.01070226461</v>
      </c>
      <c r="P32" s="21">
        <f>IF(O32="","",O32+Inputs!$B$5/Inputs!$B$12*(Inputs!$C$12*(Inputs!$C$28*NGS_Bacteria_Input!$B$15-O32)+Inputs!$D$12*(O15-O32)+Inputs!$E$12*(Inputs!$D$28*NGS_Bacteria_Input!$C$15-O32)))</f>
        <v>778559.99533890816</v>
      </c>
      <c r="Q32" s="21">
        <f>IF(P32="","",P32+Inputs!$B$5/Inputs!$B$12*(Inputs!$C$12*(Inputs!$C$28*NGS_Bacteria_Input!$B$15-P32)+Inputs!$D$12*(P15-P32)+Inputs!$E$12*(Inputs!$D$28*NGS_Bacteria_Input!$C$15-P32)))</f>
        <v>765251.54244273598</v>
      </c>
      <c r="R32" s="21">
        <f>IF(Q32="","",Q32+Inputs!$B$5/Inputs!$B$12*(Inputs!$C$12*(Inputs!$C$28*NGS_Bacteria_Input!$B$15-Q32)+Inputs!$D$12*(Q15-Q32)+Inputs!$E$12*(Inputs!$D$28*NGS_Bacteria_Input!$C$15-Q32)))</f>
        <v>752079.43837193586</v>
      </c>
      <c r="S32" s="21">
        <f>IF(R32="","",R32+Inputs!$B$5/Inputs!$B$12*(Inputs!$C$12*(Inputs!$C$28*NGS_Bacteria_Input!$B$15-R32)+Inputs!$D$12*(R15-R32)+Inputs!$E$12*(Inputs!$D$28*NGS_Bacteria_Input!$C$15-R32)))</f>
        <v>739048.87378281483</v>
      </c>
      <c r="T32" s="21">
        <f>IF(S32="","",S32+Inputs!$B$5/Inputs!$B$12*(Inputs!$C$12*(Inputs!$C$28*NGS_Bacteria_Input!$B$15-S32)+Inputs!$D$12*(S15-S32)+Inputs!$E$12*(Inputs!$D$28*NGS_Bacteria_Input!$C$15-S32)))</f>
        <v>726164.48224953853</v>
      </c>
      <c r="U32" s="21">
        <f>IF(T32="","",T32+Inputs!$B$5/Inputs!$B$12*(Inputs!$C$12*(Inputs!$C$28*NGS_Bacteria_Input!$B$15-T32)+Inputs!$D$12*(T15-T32)+Inputs!$E$12*(Inputs!$D$28*NGS_Bacteria_Input!$C$15-T32)))</f>
        <v>713430.37664693815</v>
      </c>
      <c r="V32" s="21">
        <f>IF(U32="","",U32+Inputs!$B$5/Inputs!$B$12*(Inputs!$C$12*(Inputs!$C$28*NGS_Bacteria_Input!$B$15-U32)+Inputs!$D$12*(U15-U32)+Inputs!$E$12*(Inputs!$D$28*NGS_Bacteria_Input!$C$15-U32)))</f>
        <v>700850.18342069723</v>
      </c>
      <c r="W32" s="21">
        <f>IF(V32="","",V32+Inputs!$B$5/Inputs!$B$12*(Inputs!$C$12*(Inputs!$C$28*NGS_Bacteria_Input!$B$15-V32)+Inputs!$D$12*(V15-V32)+Inputs!$E$12*(Inputs!$D$28*NGS_Bacteria_Input!$C$15-V32)))</f>
        <v>688427.07486245024</v>
      </c>
    </row>
    <row r="33" spans="1:23" ht="18" customHeight="1" x14ac:dyDescent="0.25"/>
    <row r="34" spans="1:23" ht="18" customHeight="1" x14ac:dyDescent="0.25">
      <c r="A34" s="25" t="s">
        <v>162</v>
      </c>
    </row>
    <row r="35" spans="1:23" ht="18" customHeight="1" x14ac:dyDescent="0.25">
      <c r="A35" s="11" t="str">
        <f>NGS_Bacteria_Input!A5</f>
        <v>Bac_taxon_1</v>
      </c>
      <c r="B35" s="14">
        <f>IF(BAC_ARC_Daily!B5&lt;&gt;0,B22/BAC_ARC_Daily!B5,"")</f>
        <v>0</v>
      </c>
      <c r="C35" s="14">
        <f>IF(BAC_ARC_Daily!B6&lt;&gt;0,C22/BAC_ARC_Daily!B6,"")</f>
        <v>0</v>
      </c>
      <c r="D35" s="14">
        <f>IF(BAC_ARC_Daily!B7&lt;&gt;0,D22/BAC_ARC_Daily!B7,"")</f>
        <v>0</v>
      </c>
      <c r="E35" s="14">
        <f>IF(BAC_ARC_Daily!B8&lt;&gt;0,E22/BAC_ARC_Daily!B8,"")</f>
        <v>0</v>
      </c>
      <c r="F35" s="14">
        <f>IF(BAC_ARC_Daily!B9&lt;&gt;0,F22/BAC_ARC_Daily!B9,"")</f>
        <v>0</v>
      </c>
      <c r="G35" s="14">
        <f>IF(BAC_ARC_Daily!B10&lt;&gt;0,G22/BAC_ARC_Daily!B10,"")</f>
        <v>0</v>
      </c>
      <c r="H35" s="14">
        <f>IF(BAC_ARC_Daily!B11&lt;&gt;0,H22/BAC_ARC_Daily!B11,"")</f>
        <v>0</v>
      </c>
      <c r="I35" s="14">
        <f>IF(BAC_ARC_Daily!B12&lt;&gt;0,I22/BAC_ARC_Daily!B12,"")</f>
        <v>0</v>
      </c>
      <c r="J35" s="14">
        <f>IF(BAC_ARC_Daily!B13&lt;&gt;0,J22/BAC_ARC_Daily!B13,"")</f>
        <v>0</v>
      </c>
      <c r="K35" s="14">
        <f>IF(BAC_ARC_Daily!B14&lt;&gt;0,K22/BAC_ARC_Daily!B14,"")</f>
        <v>0</v>
      </c>
      <c r="L35" s="14">
        <f>IF(BAC_ARC_Daily!B15&lt;&gt;0,L22/BAC_ARC_Daily!B15,"")</f>
        <v>0</v>
      </c>
      <c r="M35" s="14">
        <f>IF(BAC_ARC_Daily!B16&lt;&gt;0,M22/BAC_ARC_Daily!B16,"")</f>
        <v>0</v>
      </c>
      <c r="N35" s="14">
        <f>IF(BAC_ARC_Daily!B17&lt;&gt;0,N22/BAC_ARC_Daily!B17,"")</f>
        <v>0</v>
      </c>
      <c r="O35" s="14">
        <f>IF(BAC_ARC_Daily!B18&lt;&gt;0,O22/BAC_ARC_Daily!B18,"")</f>
        <v>0</v>
      </c>
      <c r="P35" s="14">
        <f>IF(BAC_ARC_Daily!B19&lt;&gt;0,P22/BAC_ARC_Daily!B19,"")</f>
        <v>0</v>
      </c>
      <c r="Q35" s="14">
        <f>IF(BAC_ARC_Daily!B20&lt;&gt;0,Q22/BAC_ARC_Daily!B20,"")</f>
        <v>0</v>
      </c>
      <c r="R35" s="14">
        <f>IF(BAC_ARC_Daily!B21&lt;&gt;0,R22/BAC_ARC_Daily!B21,"")</f>
        <v>0</v>
      </c>
      <c r="S35" s="14">
        <f>IF(BAC_ARC_Daily!B22&lt;&gt;0,S22/BAC_ARC_Daily!B22,"")</f>
        <v>0</v>
      </c>
      <c r="T35" s="14">
        <f>IF(BAC_ARC_Daily!B23&lt;&gt;0,T22/BAC_ARC_Daily!B23,"")</f>
        <v>0</v>
      </c>
      <c r="U35" s="14">
        <f>IF(BAC_ARC_Daily!B24&lt;&gt;0,U22/BAC_ARC_Daily!B24,"")</f>
        <v>0</v>
      </c>
      <c r="V35" s="14">
        <f>IF(BAC_ARC_Daily!B25&lt;&gt;0,V22/BAC_ARC_Daily!B25,"")</f>
        <v>0</v>
      </c>
      <c r="W35" s="14">
        <f>IF(BAC_ARC_Daily!B26&lt;&gt;0,W22/BAC_ARC_Daily!B26,"")</f>
        <v>0</v>
      </c>
    </row>
    <row r="36" spans="1:23" ht="18" customHeight="1" x14ac:dyDescent="0.25">
      <c r="A36" s="11" t="str">
        <f>NGS_Bacteria_Input!A6</f>
        <v>Bac_taxon_2</v>
      </c>
      <c r="B36" s="14">
        <f>IF(BAC_ARC_Daily!B5&lt;&gt;0,B23/BAC_ARC_Daily!B5,"")</f>
        <v>0</v>
      </c>
      <c r="C36" s="14">
        <f>IF(BAC_ARC_Daily!B6&lt;&gt;0,C23/BAC_ARC_Daily!B6,"")</f>
        <v>0</v>
      </c>
      <c r="D36" s="14">
        <f>IF(BAC_ARC_Daily!B7&lt;&gt;0,D23/BAC_ARC_Daily!B7,"")</f>
        <v>0</v>
      </c>
      <c r="E36" s="14">
        <f>IF(BAC_ARC_Daily!B8&lt;&gt;0,E23/BAC_ARC_Daily!B8,"")</f>
        <v>0</v>
      </c>
      <c r="F36" s="14">
        <f>IF(BAC_ARC_Daily!B9&lt;&gt;0,F23/BAC_ARC_Daily!B9,"")</f>
        <v>0</v>
      </c>
      <c r="G36" s="14">
        <f>IF(BAC_ARC_Daily!B10&lt;&gt;0,G23/BAC_ARC_Daily!B10,"")</f>
        <v>0</v>
      </c>
      <c r="H36" s="14">
        <f>IF(BAC_ARC_Daily!B11&lt;&gt;0,H23/BAC_ARC_Daily!B11,"")</f>
        <v>0</v>
      </c>
      <c r="I36" s="14">
        <f>IF(BAC_ARC_Daily!B12&lt;&gt;0,I23/BAC_ARC_Daily!B12,"")</f>
        <v>0</v>
      </c>
      <c r="J36" s="14">
        <f>IF(BAC_ARC_Daily!B13&lt;&gt;0,J23/BAC_ARC_Daily!B13,"")</f>
        <v>0</v>
      </c>
      <c r="K36" s="14">
        <f>IF(BAC_ARC_Daily!B14&lt;&gt;0,K23/BAC_ARC_Daily!B14,"")</f>
        <v>0</v>
      </c>
      <c r="L36" s="14">
        <f>IF(BAC_ARC_Daily!B15&lt;&gt;0,L23/BAC_ARC_Daily!B15,"")</f>
        <v>0</v>
      </c>
      <c r="M36" s="14">
        <f>IF(BAC_ARC_Daily!B16&lt;&gt;0,M23/BAC_ARC_Daily!B16,"")</f>
        <v>0</v>
      </c>
      <c r="N36" s="14">
        <f>IF(BAC_ARC_Daily!B17&lt;&gt;0,N23/BAC_ARC_Daily!B17,"")</f>
        <v>0</v>
      </c>
      <c r="O36" s="14">
        <f>IF(BAC_ARC_Daily!B18&lt;&gt;0,O23/BAC_ARC_Daily!B18,"")</f>
        <v>0</v>
      </c>
      <c r="P36" s="14">
        <f>IF(BAC_ARC_Daily!B19&lt;&gt;0,P23/BAC_ARC_Daily!B19,"")</f>
        <v>0</v>
      </c>
      <c r="Q36" s="14">
        <f>IF(BAC_ARC_Daily!B20&lt;&gt;0,Q23/BAC_ARC_Daily!B20,"")</f>
        <v>0</v>
      </c>
      <c r="R36" s="14">
        <f>IF(BAC_ARC_Daily!B21&lt;&gt;0,R23/BAC_ARC_Daily!B21,"")</f>
        <v>0</v>
      </c>
      <c r="S36" s="14">
        <f>IF(BAC_ARC_Daily!B22&lt;&gt;0,S23/BAC_ARC_Daily!B22,"")</f>
        <v>0</v>
      </c>
      <c r="T36" s="14">
        <f>IF(BAC_ARC_Daily!B23&lt;&gt;0,T23/BAC_ARC_Daily!B23,"")</f>
        <v>0</v>
      </c>
      <c r="U36" s="14">
        <f>IF(BAC_ARC_Daily!B24&lt;&gt;0,U23/BAC_ARC_Daily!B24,"")</f>
        <v>0</v>
      </c>
      <c r="V36" s="14">
        <f>IF(BAC_ARC_Daily!B25&lt;&gt;0,V23/BAC_ARC_Daily!B25,"")</f>
        <v>0</v>
      </c>
      <c r="W36" s="14">
        <f>IF(BAC_ARC_Daily!B26&lt;&gt;0,W23/BAC_ARC_Daily!B26,"")</f>
        <v>0</v>
      </c>
    </row>
    <row r="37" spans="1:23" ht="18" customHeight="1" x14ac:dyDescent="0.25">
      <c r="A37" s="11" t="str">
        <f>NGS_Bacteria_Input!A7</f>
        <v>Bac_taxon_3</v>
      </c>
      <c r="B37" s="14">
        <f>IF(BAC_ARC_Daily!B5&lt;&gt;0,B24/BAC_ARC_Daily!B5,"")</f>
        <v>0</v>
      </c>
      <c r="C37" s="14">
        <f>IF(BAC_ARC_Daily!B6&lt;&gt;0,C24/BAC_ARC_Daily!B6,"")</f>
        <v>0</v>
      </c>
      <c r="D37" s="14">
        <f>IF(BAC_ARC_Daily!B7&lt;&gt;0,D24/BAC_ARC_Daily!B7,"")</f>
        <v>0</v>
      </c>
      <c r="E37" s="14">
        <f>IF(BAC_ARC_Daily!B8&lt;&gt;0,E24/BAC_ARC_Daily!B8,"")</f>
        <v>0</v>
      </c>
      <c r="F37" s="14">
        <f>IF(BAC_ARC_Daily!B9&lt;&gt;0,F24/BAC_ARC_Daily!B9,"")</f>
        <v>0</v>
      </c>
      <c r="G37" s="14">
        <f>IF(BAC_ARC_Daily!B10&lt;&gt;0,G24/BAC_ARC_Daily!B10,"")</f>
        <v>0</v>
      </c>
      <c r="H37" s="14">
        <f>IF(BAC_ARC_Daily!B11&lt;&gt;0,H24/BAC_ARC_Daily!B11,"")</f>
        <v>0</v>
      </c>
      <c r="I37" s="14">
        <f>IF(BAC_ARC_Daily!B12&lt;&gt;0,I24/BAC_ARC_Daily!B12,"")</f>
        <v>0</v>
      </c>
      <c r="J37" s="14">
        <f>IF(BAC_ARC_Daily!B13&lt;&gt;0,J24/BAC_ARC_Daily!B13,"")</f>
        <v>0</v>
      </c>
      <c r="K37" s="14">
        <f>IF(BAC_ARC_Daily!B14&lt;&gt;0,K24/BAC_ARC_Daily!B14,"")</f>
        <v>0</v>
      </c>
      <c r="L37" s="14">
        <f>IF(BAC_ARC_Daily!B15&lt;&gt;0,L24/BAC_ARC_Daily!B15,"")</f>
        <v>0</v>
      </c>
      <c r="M37" s="14">
        <f>IF(BAC_ARC_Daily!B16&lt;&gt;0,M24/BAC_ARC_Daily!B16,"")</f>
        <v>0</v>
      </c>
      <c r="N37" s="14">
        <f>IF(BAC_ARC_Daily!B17&lt;&gt;0,N24/BAC_ARC_Daily!B17,"")</f>
        <v>0</v>
      </c>
      <c r="O37" s="14">
        <f>IF(BAC_ARC_Daily!B18&lt;&gt;0,O24/BAC_ARC_Daily!B18,"")</f>
        <v>0</v>
      </c>
      <c r="P37" s="14">
        <f>IF(BAC_ARC_Daily!B19&lt;&gt;0,P24/BAC_ARC_Daily!B19,"")</f>
        <v>0</v>
      </c>
      <c r="Q37" s="14">
        <f>IF(BAC_ARC_Daily!B20&lt;&gt;0,Q24/BAC_ARC_Daily!B20,"")</f>
        <v>0</v>
      </c>
      <c r="R37" s="14">
        <f>IF(BAC_ARC_Daily!B21&lt;&gt;0,R24/BAC_ARC_Daily!B21,"")</f>
        <v>0</v>
      </c>
      <c r="S37" s="14">
        <f>IF(BAC_ARC_Daily!B22&lt;&gt;0,S24/BAC_ARC_Daily!B22,"")</f>
        <v>0</v>
      </c>
      <c r="T37" s="14">
        <f>IF(BAC_ARC_Daily!B23&lt;&gt;0,T24/BAC_ARC_Daily!B23,"")</f>
        <v>0</v>
      </c>
      <c r="U37" s="14">
        <f>IF(BAC_ARC_Daily!B24&lt;&gt;0,U24/BAC_ARC_Daily!B24,"")</f>
        <v>0</v>
      </c>
      <c r="V37" s="14">
        <f>IF(BAC_ARC_Daily!B25&lt;&gt;0,V24/BAC_ARC_Daily!B25,"")</f>
        <v>0</v>
      </c>
      <c r="W37" s="14">
        <f>IF(BAC_ARC_Daily!B26&lt;&gt;0,W24/BAC_ARC_Daily!B26,"")</f>
        <v>0</v>
      </c>
    </row>
    <row r="38" spans="1:23" ht="18" customHeight="1" x14ac:dyDescent="0.25">
      <c r="A38" s="11" t="str">
        <f>NGS_Bacteria_Input!A8</f>
        <v>Bac_taxon_4</v>
      </c>
      <c r="B38" s="14">
        <f>IF(BAC_ARC_Daily!B5&lt;&gt;0,B25/BAC_ARC_Daily!B5,"")</f>
        <v>0</v>
      </c>
      <c r="C38" s="14">
        <f>IF(BAC_ARC_Daily!B6&lt;&gt;0,C25/BAC_ARC_Daily!B6,"")</f>
        <v>0</v>
      </c>
      <c r="D38" s="14">
        <f>IF(BAC_ARC_Daily!B7&lt;&gt;0,D25/BAC_ARC_Daily!B7,"")</f>
        <v>0</v>
      </c>
      <c r="E38" s="14">
        <f>IF(BAC_ARC_Daily!B8&lt;&gt;0,E25/BAC_ARC_Daily!B8,"")</f>
        <v>0</v>
      </c>
      <c r="F38" s="14">
        <f>IF(BAC_ARC_Daily!B9&lt;&gt;0,F25/BAC_ARC_Daily!B9,"")</f>
        <v>0</v>
      </c>
      <c r="G38" s="14">
        <f>IF(BAC_ARC_Daily!B10&lt;&gt;0,G25/BAC_ARC_Daily!B10,"")</f>
        <v>0</v>
      </c>
      <c r="H38" s="14">
        <f>IF(BAC_ARC_Daily!B11&lt;&gt;0,H25/BAC_ARC_Daily!B11,"")</f>
        <v>0</v>
      </c>
      <c r="I38" s="14">
        <f>IF(BAC_ARC_Daily!B12&lt;&gt;0,I25/BAC_ARC_Daily!B12,"")</f>
        <v>0</v>
      </c>
      <c r="J38" s="14">
        <f>IF(BAC_ARC_Daily!B13&lt;&gt;0,J25/BAC_ARC_Daily!B13,"")</f>
        <v>0</v>
      </c>
      <c r="K38" s="14">
        <f>IF(BAC_ARC_Daily!B14&lt;&gt;0,K25/BAC_ARC_Daily!B14,"")</f>
        <v>0</v>
      </c>
      <c r="L38" s="14">
        <f>IF(BAC_ARC_Daily!B15&lt;&gt;0,L25/BAC_ARC_Daily!B15,"")</f>
        <v>0</v>
      </c>
      <c r="M38" s="14">
        <f>IF(BAC_ARC_Daily!B16&lt;&gt;0,M25/BAC_ARC_Daily!B16,"")</f>
        <v>0</v>
      </c>
      <c r="N38" s="14">
        <f>IF(BAC_ARC_Daily!B17&lt;&gt;0,N25/BAC_ARC_Daily!B17,"")</f>
        <v>0</v>
      </c>
      <c r="O38" s="14">
        <f>IF(BAC_ARC_Daily!B18&lt;&gt;0,O25/BAC_ARC_Daily!B18,"")</f>
        <v>0</v>
      </c>
      <c r="P38" s="14">
        <f>IF(BAC_ARC_Daily!B19&lt;&gt;0,P25/BAC_ARC_Daily!B19,"")</f>
        <v>0</v>
      </c>
      <c r="Q38" s="14">
        <f>IF(BAC_ARC_Daily!B20&lt;&gt;0,Q25/BAC_ARC_Daily!B20,"")</f>
        <v>0</v>
      </c>
      <c r="R38" s="14">
        <f>IF(BAC_ARC_Daily!B21&lt;&gt;0,R25/BAC_ARC_Daily!B21,"")</f>
        <v>0</v>
      </c>
      <c r="S38" s="14">
        <f>IF(BAC_ARC_Daily!B22&lt;&gt;0,S25/BAC_ARC_Daily!B22,"")</f>
        <v>0</v>
      </c>
      <c r="T38" s="14">
        <f>IF(BAC_ARC_Daily!B23&lt;&gt;0,T25/BAC_ARC_Daily!B23,"")</f>
        <v>0</v>
      </c>
      <c r="U38" s="14">
        <f>IF(BAC_ARC_Daily!B24&lt;&gt;0,U25/BAC_ARC_Daily!B24,"")</f>
        <v>0</v>
      </c>
      <c r="V38" s="14">
        <f>IF(BAC_ARC_Daily!B25&lt;&gt;0,V25/BAC_ARC_Daily!B25,"")</f>
        <v>0</v>
      </c>
      <c r="W38" s="14">
        <f>IF(BAC_ARC_Daily!B26&lt;&gt;0,W25/BAC_ARC_Daily!B26,"")</f>
        <v>0</v>
      </c>
    </row>
    <row r="39" spans="1:23" ht="18" customHeight="1" x14ac:dyDescent="0.25">
      <c r="A39" s="11" t="str">
        <f>NGS_Bacteria_Input!A9</f>
        <v>Bac_taxon_5</v>
      </c>
      <c r="B39" s="14">
        <f>IF(BAC_ARC_Daily!B5&lt;&gt;0,B26/BAC_ARC_Daily!B5,"")</f>
        <v>0</v>
      </c>
      <c r="C39" s="14">
        <f>IF(BAC_ARC_Daily!B6&lt;&gt;0,C26/BAC_ARC_Daily!B6,"")</f>
        <v>0</v>
      </c>
      <c r="D39" s="14">
        <f>IF(BAC_ARC_Daily!B7&lt;&gt;0,D26/BAC_ARC_Daily!B7,"")</f>
        <v>0</v>
      </c>
      <c r="E39" s="14">
        <f>IF(BAC_ARC_Daily!B8&lt;&gt;0,E26/BAC_ARC_Daily!B8,"")</f>
        <v>0</v>
      </c>
      <c r="F39" s="14">
        <f>IF(BAC_ARC_Daily!B9&lt;&gt;0,F26/BAC_ARC_Daily!B9,"")</f>
        <v>0</v>
      </c>
      <c r="G39" s="14">
        <f>IF(BAC_ARC_Daily!B10&lt;&gt;0,G26/BAC_ARC_Daily!B10,"")</f>
        <v>0</v>
      </c>
      <c r="H39" s="14">
        <f>IF(BAC_ARC_Daily!B11&lt;&gt;0,H26/BAC_ARC_Daily!B11,"")</f>
        <v>0</v>
      </c>
      <c r="I39" s="14">
        <f>IF(BAC_ARC_Daily!B12&lt;&gt;0,I26/BAC_ARC_Daily!B12,"")</f>
        <v>0</v>
      </c>
      <c r="J39" s="14">
        <f>IF(BAC_ARC_Daily!B13&lt;&gt;0,J26/BAC_ARC_Daily!B13,"")</f>
        <v>0</v>
      </c>
      <c r="K39" s="14">
        <f>IF(BAC_ARC_Daily!B14&lt;&gt;0,K26/BAC_ARC_Daily!B14,"")</f>
        <v>0</v>
      </c>
      <c r="L39" s="14">
        <f>IF(BAC_ARC_Daily!B15&lt;&gt;0,L26/BAC_ARC_Daily!B15,"")</f>
        <v>0</v>
      </c>
      <c r="M39" s="14">
        <f>IF(BAC_ARC_Daily!B16&lt;&gt;0,M26/BAC_ARC_Daily!B16,"")</f>
        <v>0</v>
      </c>
      <c r="N39" s="14">
        <f>IF(BAC_ARC_Daily!B17&lt;&gt;0,N26/BAC_ARC_Daily!B17,"")</f>
        <v>0</v>
      </c>
      <c r="O39" s="14">
        <f>IF(BAC_ARC_Daily!B18&lt;&gt;0,O26/BAC_ARC_Daily!B18,"")</f>
        <v>0</v>
      </c>
      <c r="P39" s="14">
        <f>IF(BAC_ARC_Daily!B19&lt;&gt;0,P26/BAC_ARC_Daily!B19,"")</f>
        <v>0</v>
      </c>
      <c r="Q39" s="14">
        <f>IF(BAC_ARC_Daily!B20&lt;&gt;0,Q26/BAC_ARC_Daily!B20,"")</f>
        <v>0</v>
      </c>
      <c r="R39" s="14">
        <f>IF(BAC_ARC_Daily!B21&lt;&gt;0,R26/BAC_ARC_Daily!B21,"")</f>
        <v>0</v>
      </c>
      <c r="S39" s="14">
        <f>IF(BAC_ARC_Daily!B22&lt;&gt;0,S26/BAC_ARC_Daily!B22,"")</f>
        <v>0</v>
      </c>
      <c r="T39" s="14">
        <f>IF(BAC_ARC_Daily!B23&lt;&gt;0,T26/BAC_ARC_Daily!B23,"")</f>
        <v>0</v>
      </c>
      <c r="U39" s="14">
        <f>IF(BAC_ARC_Daily!B24&lt;&gt;0,U26/BAC_ARC_Daily!B24,"")</f>
        <v>0</v>
      </c>
      <c r="V39" s="14">
        <f>IF(BAC_ARC_Daily!B25&lt;&gt;0,V26/BAC_ARC_Daily!B25,"")</f>
        <v>0</v>
      </c>
      <c r="W39" s="14">
        <f>IF(BAC_ARC_Daily!B26&lt;&gt;0,W26/BAC_ARC_Daily!B26,"")</f>
        <v>0</v>
      </c>
    </row>
    <row r="40" spans="1:23" ht="18" customHeight="1" x14ac:dyDescent="0.25">
      <c r="A40" s="11" t="str">
        <f>NGS_Bacteria_Input!A10</f>
        <v>Bac_taxon_6</v>
      </c>
      <c r="B40" s="14">
        <f>IF(BAC_ARC_Daily!B5&lt;&gt;0,B27/BAC_ARC_Daily!B5,"")</f>
        <v>0</v>
      </c>
      <c r="C40" s="14">
        <f>IF(BAC_ARC_Daily!B6&lt;&gt;0,C27/BAC_ARC_Daily!B6,"")</f>
        <v>0</v>
      </c>
      <c r="D40" s="14">
        <f>IF(BAC_ARC_Daily!B7&lt;&gt;0,D27/BAC_ARC_Daily!B7,"")</f>
        <v>0</v>
      </c>
      <c r="E40" s="14">
        <f>IF(BAC_ARC_Daily!B8&lt;&gt;0,E27/BAC_ARC_Daily!B8,"")</f>
        <v>0</v>
      </c>
      <c r="F40" s="14">
        <f>IF(BAC_ARC_Daily!B9&lt;&gt;0,F27/BAC_ARC_Daily!B9,"")</f>
        <v>0</v>
      </c>
      <c r="G40" s="14">
        <f>IF(BAC_ARC_Daily!B10&lt;&gt;0,G27/BAC_ARC_Daily!B10,"")</f>
        <v>0</v>
      </c>
      <c r="H40" s="14">
        <f>IF(BAC_ARC_Daily!B11&lt;&gt;0,H27/BAC_ARC_Daily!B11,"")</f>
        <v>0</v>
      </c>
      <c r="I40" s="14">
        <f>IF(BAC_ARC_Daily!B12&lt;&gt;0,I27/BAC_ARC_Daily!B12,"")</f>
        <v>0</v>
      </c>
      <c r="J40" s="14">
        <f>IF(BAC_ARC_Daily!B13&lt;&gt;0,J27/BAC_ARC_Daily!B13,"")</f>
        <v>0</v>
      </c>
      <c r="K40" s="14">
        <f>IF(BAC_ARC_Daily!B14&lt;&gt;0,K27/BAC_ARC_Daily!B14,"")</f>
        <v>0</v>
      </c>
      <c r="L40" s="14">
        <f>IF(BAC_ARC_Daily!B15&lt;&gt;0,L27/BAC_ARC_Daily!B15,"")</f>
        <v>0</v>
      </c>
      <c r="M40" s="14">
        <f>IF(BAC_ARC_Daily!B16&lt;&gt;0,M27/BAC_ARC_Daily!B16,"")</f>
        <v>0</v>
      </c>
      <c r="N40" s="14">
        <f>IF(BAC_ARC_Daily!B17&lt;&gt;0,N27/BAC_ARC_Daily!B17,"")</f>
        <v>0</v>
      </c>
      <c r="O40" s="14">
        <f>IF(BAC_ARC_Daily!B18&lt;&gt;0,O27/BAC_ARC_Daily!B18,"")</f>
        <v>0</v>
      </c>
      <c r="P40" s="14">
        <f>IF(BAC_ARC_Daily!B19&lt;&gt;0,P27/BAC_ARC_Daily!B19,"")</f>
        <v>0</v>
      </c>
      <c r="Q40" s="14">
        <f>IF(BAC_ARC_Daily!B20&lt;&gt;0,Q27/BAC_ARC_Daily!B20,"")</f>
        <v>0</v>
      </c>
      <c r="R40" s="14">
        <f>IF(BAC_ARC_Daily!B21&lt;&gt;0,R27/BAC_ARC_Daily!B21,"")</f>
        <v>0</v>
      </c>
      <c r="S40" s="14">
        <f>IF(BAC_ARC_Daily!B22&lt;&gt;0,S27/BAC_ARC_Daily!B22,"")</f>
        <v>0</v>
      </c>
      <c r="T40" s="14">
        <f>IF(BAC_ARC_Daily!B23&lt;&gt;0,T27/BAC_ARC_Daily!B23,"")</f>
        <v>0</v>
      </c>
      <c r="U40" s="14">
        <f>IF(BAC_ARC_Daily!B24&lt;&gt;0,U27/BAC_ARC_Daily!B24,"")</f>
        <v>0</v>
      </c>
      <c r="V40" s="14">
        <f>IF(BAC_ARC_Daily!B25&lt;&gt;0,V27/BAC_ARC_Daily!B25,"")</f>
        <v>0</v>
      </c>
      <c r="W40" s="14">
        <f>IF(BAC_ARC_Daily!B26&lt;&gt;0,W27/BAC_ARC_Daily!B26,"")</f>
        <v>0</v>
      </c>
    </row>
    <row r="41" spans="1:23" ht="18" customHeight="1" x14ac:dyDescent="0.25">
      <c r="A41" s="11" t="str">
        <f>NGS_Bacteria_Input!A11</f>
        <v>Bac_taxon_7</v>
      </c>
      <c r="B41" s="14">
        <f>IF(BAC_ARC_Daily!B5&lt;&gt;0,B28/BAC_ARC_Daily!B5,"")</f>
        <v>0</v>
      </c>
      <c r="C41" s="14">
        <f>IF(BAC_ARC_Daily!B6&lt;&gt;0,C28/BAC_ARC_Daily!B6,"")</f>
        <v>0</v>
      </c>
      <c r="D41" s="14">
        <f>IF(BAC_ARC_Daily!B7&lt;&gt;0,D28/BAC_ARC_Daily!B7,"")</f>
        <v>0</v>
      </c>
      <c r="E41" s="14">
        <f>IF(BAC_ARC_Daily!B8&lt;&gt;0,E28/BAC_ARC_Daily!B8,"")</f>
        <v>0</v>
      </c>
      <c r="F41" s="14">
        <f>IF(BAC_ARC_Daily!B9&lt;&gt;0,F28/BAC_ARC_Daily!B9,"")</f>
        <v>0</v>
      </c>
      <c r="G41" s="14">
        <f>IF(BAC_ARC_Daily!B10&lt;&gt;0,G28/BAC_ARC_Daily!B10,"")</f>
        <v>0</v>
      </c>
      <c r="H41" s="14">
        <f>IF(BAC_ARC_Daily!B11&lt;&gt;0,H28/BAC_ARC_Daily!B11,"")</f>
        <v>0</v>
      </c>
      <c r="I41" s="14">
        <f>IF(BAC_ARC_Daily!B12&lt;&gt;0,I28/BAC_ARC_Daily!B12,"")</f>
        <v>0</v>
      </c>
      <c r="J41" s="14">
        <f>IF(BAC_ARC_Daily!B13&lt;&gt;0,J28/BAC_ARC_Daily!B13,"")</f>
        <v>0</v>
      </c>
      <c r="K41" s="14">
        <f>IF(BAC_ARC_Daily!B14&lt;&gt;0,K28/BAC_ARC_Daily!B14,"")</f>
        <v>0</v>
      </c>
      <c r="L41" s="14">
        <f>IF(BAC_ARC_Daily!B15&lt;&gt;0,L28/BAC_ARC_Daily!B15,"")</f>
        <v>0</v>
      </c>
      <c r="M41" s="14">
        <f>IF(BAC_ARC_Daily!B16&lt;&gt;0,M28/BAC_ARC_Daily!B16,"")</f>
        <v>0</v>
      </c>
      <c r="N41" s="14">
        <f>IF(BAC_ARC_Daily!B17&lt;&gt;0,N28/BAC_ARC_Daily!B17,"")</f>
        <v>0</v>
      </c>
      <c r="O41" s="14">
        <f>IF(BAC_ARC_Daily!B18&lt;&gt;0,O28/BAC_ARC_Daily!B18,"")</f>
        <v>0</v>
      </c>
      <c r="P41" s="14">
        <f>IF(BAC_ARC_Daily!B19&lt;&gt;0,P28/BAC_ARC_Daily!B19,"")</f>
        <v>0</v>
      </c>
      <c r="Q41" s="14">
        <f>IF(BAC_ARC_Daily!B20&lt;&gt;0,Q28/BAC_ARC_Daily!B20,"")</f>
        <v>0</v>
      </c>
      <c r="R41" s="14">
        <f>IF(BAC_ARC_Daily!B21&lt;&gt;0,R28/BAC_ARC_Daily!B21,"")</f>
        <v>0</v>
      </c>
      <c r="S41" s="14">
        <f>IF(BAC_ARC_Daily!B22&lt;&gt;0,S28/BAC_ARC_Daily!B22,"")</f>
        <v>0</v>
      </c>
      <c r="T41" s="14">
        <f>IF(BAC_ARC_Daily!B23&lt;&gt;0,T28/BAC_ARC_Daily!B23,"")</f>
        <v>0</v>
      </c>
      <c r="U41" s="14">
        <f>IF(BAC_ARC_Daily!B24&lt;&gt;0,U28/BAC_ARC_Daily!B24,"")</f>
        <v>0</v>
      </c>
      <c r="V41" s="14">
        <f>IF(BAC_ARC_Daily!B25&lt;&gt;0,V28/BAC_ARC_Daily!B25,"")</f>
        <v>0</v>
      </c>
      <c r="W41" s="14">
        <f>IF(BAC_ARC_Daily!B26&lt;&gt;0,W28/BAC_ARC_Daily!B26,"")</f>
        <v>0</v>
      </c>
    </row>
    <row r="42" spans="1:23" ht="18" customHeight="1" x14ac:dyDescent="0.25">
      <c r="A42" s="11" t="str">
        <f>NGS_Bacteria_Input!A12</f>
        <v>Bac_taxon_8</v>
      </c>
      <c r="B42" s="14">
        <f>IF(BAC_ARC_Daily!B5&lt;&gt;0,B29/BAC_ARC_Daily!B5,"")</f>
        <v>0</v>
      </c>
      <c r="C42" s="14">
        <f>IF(BAC_ARC_Daily!B6&lt;&gt;0,C29/BAC_ARC_Daily!B6,"")</f>
        <v>0</v>
      </c>
      <c r="D42" s="14">
        <f>IF(BAC_ARC_Daily!B7&lt;&gt;0,D29/BAC_ARC_Daily!B7,"")</f>
        <v>0</v>
      </c>
      <c r="E42" s="14">
        <f>IF(BAC_ARC_Daily!B8&lt;&gt;0,E29/BAC_ARC_Daily!B8,"")</f>
        <v>0</v>
      </c>
      <c r="F42" s="14">
        <f>IF(BAC_ARC_Daily!B9&lt;&gt;0,F29/BAC_ARC_Daily!B9,"")</f>
        <v>0</v>
      </c>
      <c r="G42" s="14">
        <f>IF(BAC_ARC_Daily!B10&lt;&gt;0,G29/BAC_ARC_Daily!B10,"")</f>
        <v>0</v>
      </c>
      <c r="H42" s="14">
        <f>IF(BAC_ARC_Daily!B11&lt;&gt;0,H29/BAC_ARC_Daily!B11,"")</f>
        <v>0</v>
      </c>
      <c r="I42" s="14">
        <f>IF(BAC_ARC_Daily!B12&lt;&gt;0,I29/BAC_ARC_Daily!B12,"")</f>
        <v>0</v>
      </c>
      <c r="J42" s="14">
        <f>IF(BAC_ARC_Daily!B13&lt;&gt;0,J29/BAC_ARC_Daily!B13,"")</f>
        <v>0</v>
      </c>
      <c r="K42" s="14">
        <f>IF(BAC_ARC_Daily!B14&lt;&gt;0,K29/BAC_ARC_Daily!B14,"")</f>
        <v>0</v>
      </c>
      <c r="L42" s="14">
        <f>IF(BAC_ARC_Daily!B15&lt;&gt;0,L29/BAC_ARC_Daily!B15,"")</f>
        <v>0</v>
      </c>
      <c r="M42" s="14">
        <f>IF(BAC_ARC_Daily!B16&lt;&gt;0,M29/BAC_ARC_Daily!B16,"")</f>
        <v>0</v>
      </c>
      <c r="N42" s="14">
        <f>IF(BAC_ARC_Daily!B17&lt;&gt;0,N29/BAC_ARC_Daily!B17,"")</f>
        <v>0</v>
      </c>
      <c r="O42" s="14">
        <f>IF(BAC_ARC_Daily!B18&lt;&gt;0,O29/BAC_ARC_Daily!B18,"")</f>
        <v>0</v>
      </c>
      <c r="P42" s="14">
        <f>IF(BAC_ARC_Daily!B19&lt;&gt;0,P29/BAC_ARC_Daily!B19,"")</f>
        <v>0</v>
      </c>
      <c r="Q42" s="14">
        <f>IF(BAC_ARC_Daily!B20&lt;&gt;0,Q29/BAC_ARC_Daily!B20,"")</f>
        <v>0</v>
      </c>
      <c r="R42" s="14">
        <f>IF(BAC_ARC_Daily!B21&lt;&gt;0,R29/BAC_ARC_Daily!B21,"")</f>
        <v>0</v>
      </c>
      <c r="S42" s="14">
        <f>IF(BAC_ARC_Daily!B22&lt;&gt;0,S29/BAC_ARC_Daily!B22,"")</f>
        <v>0</v>
      </c>
      <c r="T42" s="14">
        <f>IF(BAC_ARC_Daily!B23&lt;&gt;0,T29/BAC_ARC_Daily!B23,"")</f>
        <v>0</v>
      </c>
      <c r="U42" s="14">
        <f>IF(BAC_ARC_Daily!B24&lt;&gt;0,U29/BAC_ARC_Daily!B24,"")</f>
        <v>0</v>
      </c>
      <c r="V42" s="14">
        <f>IF(BAC_ARC_Daily!B25&lt;&gt;0,V29/BAC_ARC_Daily!B25,"")</f>
        <v>0</v>
      </c>
      <c r="W42" s="14">
        <f>IF(BAC_ARC_Daily!B26&lt;&gt;0,W29/BAC_ARC_Daily!B26,"")</f>
        <v>0</v>
      </c>
    </row>
    <row r="43" spans="1:23" ht="18" customHeight="1" x14ac:dyDescent="0.25">
      <c r="A43" s="11" t="str">
        <f>NGS_Bacteria_Input!A13</f>
        <v>Bac_taxon_9</v>
      </c>
      <c r="B43" s="14">
        <f>IF(BAC_ARC_Daily!B5&lt;&gt;0,B30/BAC_ARC_Daily!B5,"")</f>
        <v>0</v>
      </c>
      <c r="C43" s="14">
        <f>IF(BAC_ARC_Daily!B6&lt;&gt;0,C30/BAC_ARC_Daily!B6,"")</f>
        <v>0</v>
      </c>
      <c r="D43" s="14">
        <f>IF(BAC_ARC_Daily!B7&lt;&gt;0,D30/BAC_ARC_Daily!B7,"")</f>
        <v>0</v>
      </c>
      <c r="E43" s="14">
        <f>IF(BAC_ARC_Daily!B8&lt;&gt;0,E30/BAC_ARC_Daily!B8,"")</f>
        <v>0</v>
      </c>
      <c r="F43" s="14">
        <f>IF(BAC_ARC_Daily!B9&lt;&gt;0,F30/BAC_ARC_Daily!B9,"")</f>
        <v>0</v>
      </c>
      <c r="G43" s="14">
        <f>IF(BAC_ARC_Daily!B10&lt;&gt;0,G30/BAC_ARC_Daily!B10,"")</f>
        <v>0</v>
      </c>
      <c r="H43" s="14">
        <f>IF(BAC_ARC_Daily!B11&lt;&gt;0,H30/BAC_ARC_Daily!B11,"")</f>
        <v>0</v>
      </c>
      <c r="I43" s="14">
        <f>IF(BAC_ARC_Daily!B12&lt;&gt;0,I30/BAC_ARC_Daily!B12,"")</f>
        <v>0</v>
      </c>
      <c r="J43" s="14">
        <f>IF(BAC_ARC_Daily!B13&lt;&gt;0,J30/BAC_ARC_Daily!B13,"")</f>
        <v>0</v>
      </c>
      <c r="K43" s="14">
        <f>IF(BAC_ARC_Daily!B14&lt;&gt;0,K30/BAC_ARC_Daily!B14,"")</f>
        <v>0</v>
      </c>
      <c r="L43" s="14">
        <f>IF(BAC_ARC_Daily!B15&lt;&gt;0,L30/BAC_ARC_Daily!B15,"")</f>
        <v>0</v>
      </c>
      <c r="M43" s="14">
        <f>IF(BAC_ARC_Daily!B16&lt;&gt;0,M30/BAC_ARC_Daily!B16,"")</f>
        <v>0</v>
      </c>
      <c r="N43" s="14">
        <f>IF(BAC_ARC_Daily!B17&lt;&gt;0,N30/BAC_ARC_Daily!B17,"")</f>
        <v>0</v>
      </c>
      <c r="O43" s="14">
        <f>IF(BAC_ARC_Daily!B18&lt;&gt;0,O30/BAC_ARC_Daily!B18,"")</f>
        <v>0</v>
      </c>
      <c r="P43" s="14">
        <f>IF(BAC_ARC_Daily!B19&lt;&gt;0,P30/BAC_ARC_Daily!B19,"")</f>
        <v>0</v>
      </c>
      <c r="Q43" s="14">
        <f>IF(BAC_ARC_Daily!B20&lt;&gt;0,Q30/BAC_ARC_Daily!B20,"")</f>
        <v>0</v>
      </c>
      <c r="R43" s="14">
        <f>IF(BAC_ARC_Daily!B21&lt;&gt;0,R30/BAC_ARC_Daily!B21,"")</f>
        <v>0</v>
      </c>
      <c r="S43" s="14">
        <f>IF(BAC_ARC_Daily!B22&lt;&gt;0,S30/BAC_ARC_Daily!B22,"")</f>
        <v>0</v>
      </c>
      <c r="T43" s="14">
        <f>IF(BAC_ARC_Daily!B23&lt;&gt;0,T30/BAC_ARC_Daily!B23,"")</f>
        <v>0</v>
      </c>
      <c r="U43" s="14">
        <f>IF(BAC_ARC_Daily!B24&lt;&gt;0,U30/BAC_ARC_Daily!B24,"")</f>
        <v>0</v>
      </c>
      <c r="V43" s="14">
        <f>IF(BAC_ARC_Daily!B25&lt;&gt;0,V30/BAC_ARC_Daily!B25,"")</f>
        <v>0</v>
      </c>
      <c r="W43" s="14">
        <f>IF(BAC_ARC_Daily!B26&lt;&gt;0,W30/BAC_ARC_Daily!B26,"")</f>
        <v>0</v>
      </c>
    </row>
    <row r="44" spans="1:23" ht="18" customHeight="1" x14ac:dyDescent="0.25">
      <c r="A44" s="11" t="str">
        <f>NGS_Bacteria_Input!A14</f>
        <v>Bac_taxon_10</v>
      </c>
      <c r="B44" s="14">
        <f>IF(BAC_ARC_Daily!B5&lt;&gt;0,B31/BAC_ARC_Daily!B5,"")</f>
        <v>0</v>
      </c>
      <c r="C44" s="14">
        <f>IF(BAC_ARC_Daily!B6&lt;&gt;0,C31/BAC_ARC_Daily!B6,"")</f>
        <v>0</v>
      </c>
      <c r="D44" s="14">
        <f>IF(BAC_ARC_Daily!B7&lt;&gt;0,D31/BAC_ARC_Daily!B7,"")</f>
        <v>0</v>
      </c>
      <c r="E44" s="14">
        <f>IF(BAC_ARC_Daily!B8&lt;&gt;0,E31/BAC_ARC_Daily!B8,"")</f>
        <v>0</v>
      </c>
      <c r="F44" s="14">
        <f>IF(BAC_ARC_Daily!B9&lt;&gt;0,F31/BAC_ARC_Daily!B9,"")</f>
        <v>0</v>
      </c>
      <c r="G44" s="14">
        <f>IF(BAC_ARC_Daily!B10&lt;&gt;0,G31/BAC_ARC_Daily!B10,"")</f>
        <v>0</v>
      </c>
      <c r="H44" s="14">
        <f>IF(BAC_ARC_Daily!B11&lt;&gt;0,H31/BAC_ARC_Daily!B11,"")</f>
        <v>0</v>
      </c>
      <c r="I44" s="14">
        <f>IF(BAC_ARC_Daily!B12&lt;&gt;0,I31/BAC_ARC_Daily!B12,"")</f>
        <v>0</v>
      </c>
      <c r="J44" s="14">
        <f>IF(BAC_ARC_Daily!B13&lt;&gt;0,J31/BAC_ARC_Daily!B13,"")</f>
        <v>0</v>
      </c>
      <c r="K44" s="14">
        <f>IF(BAC_ARC_Daily!B14&lt;&gt;0,K31/BAC_ARC_Daily!B14,"")</f>
        <v>0</v>
      </c>
      <c r="L44" s="14">
        <f>IF(BAC_ARC_Daily!B15&lt;&gt;0,L31/BAC_ARC_Daily!B15,"")</f>
        <v>0</v>
      </c>
      <c r="M44" s="14">
        <f>IF(BAC_ARC_Daily!B16&lt;&gt;0,M31/BAC_ARC_Daily!B16,"")</f>
        <v>0</v>
      </c>
      <c r="N44" s="14">
        <f>IF(BAC_ARC_Daily!B17&lt;&gt;0,N31/BAC_ARC_Daily!B17,"")</f>
        <v>0</v>
      </c>
      <c r="O44" s="14">
        <f>IF(BAC_ARC_Daily!B18&lt;&gt;0,O31/BAC_ARC_Daily!B18,"")</f>
        <v>0</v>
      </c>
      <c r="P44" s="14">
        <f>IF(BAC_ARC_Daily!B19&lt;&gt;0,P31/BAC_ARC_Daily!B19,"")</f>
        <v>0</v>
      </c>
      <c r="Q44" s="14">
        <f>IF(BAC_ARC_Daily!B20&lt;&gt;0,Q31/BAC_ARC_Daily!B20,"")</f>
        <v>0</v>
      </c>
      <c r="R44" s="14">
        <f>IF(BAC_ARC_Daily!B21&lt;&gt;0,R31/BAC_ARC_Daily!B21,"")</f>
        <v>0</v>
      </c>
      <c r="S44" s="14">
        <f>IF(BAC_ARC_Daily!B22&lt;&gt;0,S31/BAC_ARC_Daily!B22,"")</f>
        <v>0</v>
      </c>
      <c r="T44" s="14">
        <f>IF(BAC_ARC_Daily!B23&lt;&gt;0,T31/BAC_ARC_Daily!B23,"")</f>
        <v>0</v>
      </c>
      <c r="U44" s="14">
        <f>IF(BAC_ARC_Daily!B24&lt;&gt;0,U31/BAC_ARC_Daily!B24,"")</f>
        <v>0</v>
      </c>
      <c r="V44" s="14">
        <f>IF(BAC_ARC_Daily!B25&lt;&gt;0,V31/BAC_ARC_Daily!B25,"")</f>
        <v>0</v>
      </c>
      <c r="W44" s="14">
        <f>IF(BAC_ARC_Daily!B26&lt;&gt;0,W31/BAC_ARC_Daily!B26,"")</f>
        <v>0</v>
      </c>
    </row>
    <row r="45" spans="1:23" ht="18" customHeight="1" x14ac:dyDescent="0.25">
      <c r="A45" s="11" t="str">
        <f>NGS_Bacteria_Input!A15</f>
        <v>Others</v>
      </c>
      <c r="B45" s="14">
        <f>IF(BAC_ARC_Daily!B5&lt;&gt;0,B32/BAC_ARC_Daily!B5,"")</f>
        <v>1</v>
      </c>
      <c r="C45" s="14">
        <f>IF(BAC_ARC_Daily!B6&lt;&gt;0,C32/BAC_ARC_Daily!B6,"")</f>
        <v>1</v>
      </c>
      <c r="D45" s="14">
        <f>IF(BAC_ARC_Daily!B7&lt;&gt;0,D32/BAC_ARC_Daily!B7,"")</f>
        <v>1</v>
      </c>
      <c r="E45" s="14">
        <f>IF(BAC_ARC_Daily!B8&lt;&gt;0,E32/BAC_ARC_Daily!B8,"")</f>
        <v>1</v>
      </c>
      <c r="F45" s="14">
        <f>IF(BAC_ARC_Daily!B9&lt;&gt;0,F32/BAC_ARC_Daily!B9,"")</f>
        <v>1</v>
      </c>
      <c r="G45" s="14">
        <f>IF(BAC_ARC_Daily!B10&lt;&gt;0,G32/BAC_ARC_Daily!B10,"")</f>
        <v>1</v>
      </c>
      <c r="H45" s="14">
        <f>IF(BAC_ARC_Daily!B11&lt;&gt;0,H32/BAC_ARC_Daily!B11,"")</f>
        <v>1</v>
      </c>
      <c r="I45" s="14">
        <f>IF(BAC_ARC_Daily!B12&lt;&gt;0,I32/BAC_ARC_Daily!B12,"")</f>
        <v>1</v>
      </c>
      <c r="J45" s="14">
        <f>IF(BAC_ARC_Daily!B13&lt;&gt;0,J32/BAC_ARC_Daily!B13,"")</f>
        <v>1</v>
      </c>
      <c r="K45" s="14">
        <f>IF(BAC_ARC_Daily!B14&lt;&gt;0,K32/BAC_ARC_Daily!B14,"")</f>
        <v>1</v>
      </c>
      <c r="L45" s="14">
        <f>IF(BAC_ARC_Daily!B15&lt;&gt;0,L32/BAC_ARC_Daily!B15,"")</f>
        <v>1</v>
      </c>
      <c r="M45" s="14">
        <f>IF(BAC_ARC_Daily!B16&lt;&gt;0,M32/BAC_ARC_Daily!B16,"")</f>
        <v>1</v>
      </c>
      <c r="N45" s="14">
        <f>IF(BAC_ARC_Daily!B17&lt;&gt;0,N32/BAC_ARC_Daily!B17,"")</f>
        <v>1</v>
      </c>
      <c r="O45" s="14">
        <f>IF(BAC_ARC_Daily!B18&lt;&gt;0,O32/BAC_ARC_Daily!B18,"")</f>
        <v>1</v>
      </c>
      <c r="P45" s="14">
        <f>IF(BAC_ARC_Daily!B19&lt;&gt;0,P32/BAC_ARC_Daily!B19,"")</f>
        <v>1</v>
      </c>
      <c r="Q45" s="14">
        <f>IF(BAC_ARC_Daily!B20&lt;&gt;0,Q32/BAC_ARC_Daily!B20,"")</f>
        <v>1</v>
      </c>
      <c r="R45" s="14">
        <f>IF(BAC_ARC_Daily!B21&lt;&gt;0,R32/BAC_ARC_Daily!B21,"")</f>
        <v>1</v>
      </c>
      <c r="S45" s="14">
        <f>IF(BAC_ARC_Daily!B22&lt;&gt;0,S32/BAC_ARC_Daily!B22,"")</f>
        <v>1</v>
      </c>
      <c r="T45" s="14">
        <f>IF(BAC_ARC_Daily!B23&lt;&gt;0,T32/BAC_ARC_Daily!B23,"")</f>
        <v>1</v>
      </c>
      <c r="U45" s="14">
        <f>IF(BAC_ARC_Daily!B24&lt;&gt;0,U32/BAC_ARC_Daily!B24,"")</f>
        <v>1</v>
      </c>
      <c r="V45" s="14">
        <f>IF(BAC_ARC_Daily!B25&lt;&gt;0,V32/BAC_ARC_Daily!B25,"")</f>
        <v>1</v>
      </c>
      <c r="W45" s="14">
        <f>IF(BAC_ARC_Daily!B26&lt;&gt;0,W32/BAC_ARC_Daily!B26,"")</f>
        <v>1</v>
      </c>
    </row>
    <row r="46" spans="1:23" ht="18" customHeight="1" x14ac:dyDescent="0.25"/>
    <row r="47" spans="1:23" ht="18" customHeight="1" x14ac:dyDescent="0.25"/>
    <row r="48" spans="1:23" ht="18" customHeight="1" x14ac:dyDescent="0.25">
      <c r="A48" s="29" t="s">
        <v>51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8" customHeight="1" x14ac:dyDescent="0.25">
      <c r="A49" s="25" t="s">
        <v>161</v>
      </c>
    </row>
    <row r="50" spans="1:23" ht="18" customHeight="1" x14ac:dyDescent="0.25">
      <c r="A50" s="11" t="str">
        <f>NGS_Bacteria_Input!A5</f>
        <v>Bac_taxon_1</v>
      </c>
      <c r="B50" s="21">
        <f>IF(Inputs!$G$36="","",Inputs!$G$36*NGS_Bacteria_Input!$E$5)</f>
        <v>0</v>
      </c>
      <c r="C50" s="21">
        <f>IF(B50="","",B50+Inputs!$B$5/Inputs!$B$13*(Inputs!$C$13*(Inputs!$C$28*NGS_Bacteria_Input!$B$5-B50)+Inputs!$D$13*(B5-B50)+Inputs!$E$13*(Inputs!$D$28*NGS_Bacteria_Input!$C$5-B50)))</f>
        <v>0</v>
      </c>
      <c r="D50" s="21">
        <f>IF(C50="","",C50+Inputs!$B$5/Inputs!$B$13*(Inputs!$C$13*(Inputs!$C$28*NGS_Bacteria_Input!$B$5-C50)+Inputs!$D$13*(C5-C50)+Inputs!$E$13*(Inputs!$D$28*NGS_Bacteria_Input!$C$5-C50)))</f>
        <v>0</v>
      </c>
      <c r="E50" s="21">
        <f>IF(D50="","",D50+Inputs!$B$5/Inputs!$B$13*(Inputs!$C$13*(Inputs!$C$28*NGS_Bacteria_Input!$B$5-D50)+Inputs!$D$13*(D5-D50)+Inputs!$E$13*(Inputs!$D$28*NGS_Bacteria_Input!$C$5-D50)))</f>
        <v>0</v>
      </c>
      <c r="F50" s="21">
        <f>IF(E50="","",E50+Inputs!$B$5/Inputs!$B$13*(Inputs!$C$13*(Inputs!$C$28*NGS_Bacteria_Input!$B$5-E50)+Inputs!$D$13*(E5-E50)+Inputs!$E$13*(Inputs!$D$28*NGS_Bacteria_Input!$C$5-E50)))</f>
        <v>0</v>
      </c>
      <c r="G50" s="21">
        <f>IF(F50="","",F50+Inputs!$B$5/Inputs!$B$13*(Inputs!$C$13*(Inputs!$C$28*NGS_Bacteria_Input!$B$5-F50)+Inputs!$D$13*(F5-F50)+Inputs!$E$13*(Inputs!$D$28*NGS_Bacteria_Input!$C$5-F50)))</f>
        <v>0</v>
      </c>
      <c r="H50" s="21">
        <f>IF(G50="","",G50+Inputs!$B$5/Inputs!$B$13*(Inputs!$C$13*(Inputs!$C$28*NGS_Bacteria_Input!$B$5-G50)+Inputs!$D$13*(G5-G50)+Inputs!$E$13*(Inputs!$D$28*NGS_Bacteria_Input!$C$5-G50)))</f>
        <v>0</v>
      </c>
      <c r="I50" s="21">
        <f>IF(H50="","",H50+Inputs!$B$5/Inputs!$B$13*(Inputs!$C$13*(Inputs!$C$28*NGS_Bacteria_Input!$B$5-H50)+Inputs!$D$13*(H5-H50)+Inputs!$E$13*(Inputs!$D$28*NGS_Bacteria_Input!$C$5-H50)))</f>
        <v>0</v>
      </c>
      <c r="J50" s="21">
        <f>IF(I50="","",I50+Inputs!$B$5/Inputs!$B$13*(Inputs!$C$13*(Inputs!$C$28*NGS_Bacteria_Input!$B$5-I50)+Inputs!$D$13*(I5-I50)+Inputs!$E$13*(Inputs!$D$28*NGS_Bacteria_Input!$C$5-I50)))</f>
        <v>0</v>
      </c>
      <c r="K50" s="21">
        <f>IF(J50="","",J50+Inputs!$B$5/Inputs!$B$13*(Inputs!$C$13*(Inputs!$C$28*NGS_Bacteria_Input!$B$5-J50)+Inputs!$D$13*(J5-J50)+Inputs!$E$13*(Inputs!$D$28*NGS_Bacteria_Input!$C$5-J50)))</f>
        <v>0</v>
      </c>
      <c r="L50" s="21">
        <f>IF(K50="","",K50+Inputs!$B$5/Inputs!$B$13*(Inputs!$C$13*(Inputs!$C$28*NGS_Bacteria_Input!$B$5-K50)+Inputs!$D$13*(K5-K50)+Inputs!$E$13*(Inputs!$D$28*NGS_Bacteria_Input!$C$5-K50)))</f>
        <v>0</v>
      </c>
      <c r="M50" s="21">
        <f>IF(L50="","",L50+Inputs!$B$5/Inputs!$B$13*(Inputs!$C$13*(Inputs!$C$28*NGS_Bacteria_Input!$B$5-L50)+Inputs!$D$13*(L5-L50)+Inputs!$E$13*(Inputs!$D$28*NGS_Bacteria_Input!$C$5-L50)))</f>
        <v>0</v>
      </c>
      <c r="N50" s="21">
        <f>IF(M50="","",M50+Inputs!$B$5/Inputs!$B$13*(Inputs!$C$13*(Inputs!$C$28*NGS_Bacteria_Input!$B$5-M50)+Inputs!$D$13*(M5-M50)+Inputs!$E$13*(Inputs!$D$28*NGS_Bacteria_Input!$C$5-M50)))</f>
        <v>0</v>
      </c>
      <c r="O50" s="21">
        <f>IF(N50="","",N50+Inputs!$B$5/Inputs!$B$13*(Inputs!$C$13*(Inputs!$C$28*NGS_Bacteria_Input!$B$5-N50)+Inputs!$D$13*(N5-N50)+Inputs!$E$13*(Inputs!$D$28*NGS_Bacteria_Input!$C$5-N50)))</f>
        <v>0</v>
      </c>
      <c r="P50" s="21">
        <f>IF(O50="","",O50+Inputs!$B$5/Inputs!$B$13*(Inputs!$C$13*(Inputs!$C$28*NGS_Bacteria_Input!$B$5-O50)+Inputs!$D$13*(O5-O50)+Inputs!$E$13*(Inputs!$D$28*NGS_Bacteria_Input!$C$5-O50)))</f>
        <v>0</v>
      </c>
      <c r="Q50" s="21">
        <f>IF(P50="","",P50+Inputs!$B$5/Inputs!$B$13*(Inputs!$C$13*(Inputs!$C$28*NGS_Bacteria_Input!$B$5-P50)+Inputs!$D$13*(P5-P50)+Inputs!$E$13*(Inputs!$D$28*NGS_Bacteria_Input!$C$5-P50)))</f>
        <v>0</v>
      </c>
      <c r="R50" s="21">
        <f>IF(Q50="","",Q50+Inputs!$B$5/Inputs!$B$13*(Inputs!$C$13*(Inputs!$C$28*NGS_Bacteria_Input!$B$5-Q50)+Inputs!$D$13*(Q5-Q50)+Inputs!$E$13*(Inputs!$D$28*NGS_Bacteria_Input!$C$5-Q50)))</f>
        <v>0</v>
      </c>
      <c r="S50" s="21">
        <f>IF(R50="","",R50+Inputs!$B$5/Inputs!$B$13*(Inputs!$C$13*(Inputs!$C$28*NGS_Bacteria_Input!$B$5-R50)+Inputs!$D$13*(R5-R50)+Inputs!$E$13*(Inputs!$D$28*NGS_Bacteria_Input!$C$5-R50)))</f>
        <v>0</v>
      </c>
      <c r="T50" s="21">
        <f>IF(S50="","",S50+Inputs!$B$5/Inputs!$B$13*(Inputs!$C$13*(Inputs!$C$28*NGS_Bacteria_Input!$B$5-S50)+Inputs!$D$13*(S5-S50)+Inputs!$E$13*(Inputs!$D$28*NGS_Bacteria_Input!$C$5-S50)))</f>
        <v>0</v>
      </c>
      <c r="U50" s="21">
        <f>IF(T50="","",T50+Inputs!$B$5/Inputs!$B$13*(Inputs!$C$13*(Inputs!$C$28*NGS_Bacteria_Input!$B$5-T50)+Inputs!$D$13*(T5-T50)+Inputs!$E$13*(Inputs!$D$28*NGS_Bacteria_Input!$C$5-T50)))</f>
        <v>0</v>
      </c>
      <c r="V50" s="21">
        <f>IF(U50="","",U50+Inputs!$B$5/Inputs!$B$13*(Inputs!$C$13*(Inputs!$C$28*NGS_Bacteria_Input!$B$5-U50)+Inputs!$D$13*(U5-U50)+Inputs!$E$13*(Inputs!$D$28*NGS_Bacteria_Input!$C$5-U50)))</f>
        <v>0</v>
      </c>
      <c r="W50" s="21">
        <f>IF(V50="","",V50+Inputs!$B$5/Inputs!$B$13*(Inputs!$C$13*(Inputs!$C$28*NGS_Bacteria_Input!$B$5-V50)+Inputs!$D$13*(V5-V50)+Inputs!$E$13*(Inputs!$D$28*NGS_Bacteria_Input!$C$5-V50)))</f>
        <v>0</v>
      </c>
    </row>
    <row r="51" spans="1:23" ht="18" customHeight="1" x14ac:dyDescent="0.25">
      <c r="A51" s="11" t="str">
        <f>NGS_Bacteria_Input!A6</f>
        <v>Bac_taxon_2</v>
      </c>
      <c r="B51" s="21">
        <f>IF(Inputs!$G$36="","",Inputs!$G$36*NGS_Bacteria_Input!$E$6)</f>
        <v>0</v>
      </c>
      <c r="C51" s="21">
        <f>IF(B51="","",B51+Inputs!$B$5/Inputs!$B$13*(Inputs!$C$13*(Inputs!$C$28*NGS_Bacteria_Input!$B$6-B51)+Inputs!$D$13*(B6-B51)+Inputs!$E$13*(Inputs!$D$28*NGS_Bacteria_Input!$C$6-B51)))</f>
        <v>0</v>
      </c>
      <c r="D51" s="21">
        <f>IF(C51="","",C51+Inputs!$B$5/Inputs!$B$13*(Inputs!$C$13*(Inputs!$C$28*NGS_Bacteria_Input!$B$6-C51)+Inputs!$D$13*(C6-C51)+Inputs!$E$13*(Inputs!$D$28*NGS_Bacteria_Input!$C$6-C51)))</f>
        <v>0</v>
      </c>
      <c r="E51" s="21">
        <f>IF(D51="","",D51+Inputs!$B$5/Inputs!$B$13*(Inputs!$C$13*(Inputs!$C$28*NGS_Bacteria_Input!$B$6-D51)+Inputs!$D$13*(D6-D51)+Inputs!$E$13*(Inputs!$D$28*NGS_Bacteria_Input!$C$6-D51)))</f>
        <v>0</v>
      </c>
      <c r="F51" s="21">
        <f>IF(E51="","",E51+Inputs!$B$5/Inputs!$B$13*(Inputs!$C$13*(Inputs!$C$28*NGS_Bacteria_Input!$B$6-E51)+Inputs!$D$13*(E6-E51)+Inputs!$E$13*(Inputs!$D$28*NGS_Bacteria_Input!$C$6-E51)))</f>
        <v>0</v>
      </c>
      <c r="G51" s="21">
        <f>IF(F51="","",F51+Inputs!$B$5/Inputs!$B$13*(Inputs!$C$13*(Inputs!$C$28*NGS_Bacteria_Input!$B$6-F51)+Inputs!$D$13*(F6-F51)+Inputs!$E$13*(Inputs!$D$28*NGS_Bacteria_Input!$C$6-F51)))</f>
        <v>0</v>
      </c>
      <c r="H51" s="21">
        <f>IF(G51="","",G51+Inputs!$B$5/Inputs!$B$13*(Inputs!$C$13*(Inputs!$C$28*NGS_Bacteria_Input!$B$6-G51)+Inputs!$D$13*(G6-G51)+Inputs!$E$13*(Inputs!$D$28*NGS_Bacteria_Input!$C$6-G51)))</f>
        <v>0</v>
      </c>
      <c r="I51" s="21">
        <f>IF(H51="","",H51+Inputs!$B$5/Inputs!$B$13*(Inputs!$C$13*(Inputs!$C$28*NGS_Bacteria_Input!$B$6-H51)+Inputs!$D$13*(H6-H51)+Inputs!$E$13*(Inputs!$D$28*NGS_Bacteria_Input!$C$6-H51)))</f>
        <v>0</v>
      </c>
      <c r="J51" s="21">
        <f>IF(I51="","",I51+Inputs!$B$5/Inputs!$B$13*(Inputs!$C$13*(Inputs!$C$28*NGS_Bacteria_Input!$B$6-I51)+Inputs!$D$13*(I6-I51)+Inputs!$E$13*(Inputs!$D$28*NGS_Bacteria_Input!$C$6-I51)))</f>
        <v>0</v>
      </c>
      <c r="K51" s="21">
        <f>IF(J51="","",J51+Inputs!$B$5/Inputs!$B$13*(Inputs!$C$13*(Inputs!$C$28*NGS_Bacteria_Input!$B$6-J51)+Inputs!$D$13*(J6-J51)+Inputs!$E$13*(Inputs!$D$28*NGS_Bacteria_Input!$C$6-J51)))</f>
        <v>0</v>
      </c>
      <c r="L51" s="21">
        <f>IF(K51="","",K51+Inputs!$B$5/Inputs!$B$13*(Inputs!$C$13*(Inputs!$C$28*NGS_Bacteria_Input!$B$6-K51)+Inputs!$D$13*(K6-K51)+Inputs!$E$13*(Inputs!$D$28*NGS_Bacteria_Input!$C$6-K51)))</f>
        <v>0</v>
      </c>
      <c r="M51" s="21">
        <f>IF(L51="","",L51+Inputs!$B$5/Inputs!$B$13*(Inputs!$C$13*(Inputs!$C$28*NGS_Bacteria_Input!$B$6-L51)+Inputs!$D$13*(L6-L51)+Inputs!$E$13*(Inputs!$D$28*NGS_Bacteria_Input!$C$6-L51)))</f>
        <v>0</v>
      </c>
      <c r="N51" s="21">
        <f>IF(M51="","",M51+Inputs!$B$5/Inputs!$B$13*(Inputs!$C$13*(Inputs!$C$28*NGS_Bacteria_Input!$B$6-M51)+Inputs!$D$13*(M6-M51)+Inputs!$E$13*(Inputs!$D$28*NGS_Bacteria_Input!$C$6-M51)))</f>
        <v>0</v>
      </c>
      <c r="O51" s="21">
        <f>IF(N51="","",N51+Inputs!$B$5/Inputs!$B$13*(Inputs!$C$13*(Inputs!$C$28*NGS_Bacteria_Input!$B$6-N51)+Inputs!$D$13*(N6-N51)+Inputs!$E$13*(Inputs!$D$28*NGS_Bacteria_Input!$C$6-N51)))</f>
        <v>0</v>
      </c>
      <c r="P51" s="21">
        <f>IF(O51="","",O51+Inputs!$B$5/Inputs!$B$13*(Inputs!$C$13*(Inputs!$C$28*NGS_Bacteria_Input!$B$6-O51)+Inputs!$D$13*(O6-O51)+Inputs!$E$13*(Inputs!$D$28*NGS_Bacteria_Input!$C$6-O51)))</f>
        <v>0</v>
      </c>
      <c r="Q51" s="21">
        <f>IF(P51="","",P51+Inputs!$B$5/Inputs!$B$13*(Inputs!$C$13*(Inputs!$C$28*NGS_Bacteria_Input!$B$6-P51)+Inputs!$D$13*(P6-P51)+Inputs!$E$13*(Inputs!$D$28*NGS_Bacteria_Input!$C$6-P51)))</f>
        <v>0</v>
      </c>
      <c r="R51" s="21">
        <f>IF(Q51="","",Q51+Inputs!$B$5/Inputs!$B$13*(Inputs!$C$13*(Inputs!$C$28*NGS_Bacteria_Input!$B$6-Q51)+Inputs!$D$13*(Q6-Q51)+Inputs!$E$13*(Inputs!$D$28*NGS_Bacteria_Input!$C$6-Q51)))</f>
        <v>0</v>
      </c>
      <c r="S51" s="21">
        <f>IF(R51="","",R51+Inputs!$B$5/Inputs!$B$13*(Inputs!$C$13*(Inputs!$C$28*NGS_Bacteria_Input!$B$6-R51)+Inputs!$D$13*(R6-R51)+Inputs!$E$13*(Inputs!$D$28*NGS_Bacteria_Input!$C$6-R51)))</f>
        <v>0</v>
      </c>
      <c r="T51" s="21">
        <f>IF(S51="","",S51+Inputs!$B$5/Inputs!$B$13*(Inputs!$C$13*(Inputs!$C$28*NGS_Bacteria_Input!$B$6-S51)+Inputs!$D$13*(S6-S51)+Inputs!$E$13*(Inputs!$D$28*NGS_Bacteria_Input!$C$6-S51)))</f>
        <v>0</v>
      </c>
      <c r="U51" s="21">
        <f>IF(T51="","",T51+Inputs!$B$5/Inputs!$B$13*(Inputs!$C$13*(Inputs!$C$28*NGS_Bacteria_Input!$B$6-T51)+Inputs!$D$13*(T6-T51)+Inputs!$E$13*(Inputs!$D$28*NGS_Bacteria_Input!$C$6-T51)))</f>
        <v>0</v>
      </c>
      <c r="V51" s="21">
        <f>IF(U51="","",U51+Inputs!$B$5/Inputs!$B$13*(Inputs!$C$13*(Inputs!$C$28*NGS_Bacteria_Input!$B$6-U51)+Inputs!$D$13*(U6-U51)+Inputs!$E$13*(Inputs!$D$28*NGS_Bacteria_Input!$C$6-U51)))</f>
        <v>0</v>
      </c>
      <c r="W51" s="21">
        <f>IF(V51="","",V51+Inputs!$B$5/Inputs!$B$13*(Inputs!$C$13*(Inputs!$C$28*NGS_Bacteria_Input!$B$6-V51)+Inputs!$D$13*(V6-V51)+Inputs!$E$13*(Inputs!$D$28*NGS_Bacteria_Input!$C$6-V51)))</f>
        <v>0</v>
      </c>
    </row>
    <row r="52" spans="1:23" ht="18" customHeight="1" x14ac:dyDescent="0.25">
      <c r="A52" s="11" t="str">
        <f>NGS_Bacteria_Input!A7</f>
        <v>Bac_taxon_3</v>
      </c>
      <c r="B52" s="21">
        <f>IF(Inputs!$G$36="","",Inputs!$G$36*NGS_Bacteria_Input!$E$7)</f>
        <v>0</v>
      </c>
      <c r="C52" s="21">
        <f>IF(B52="","",B52+Inputs!$B$5/Inputs!$B$13*(Inputs!$C$13*(Inputs!$C$28*NGS_Bacteria_Input!$B$7-B52)+Inputs!$D$13*(B7-B52)+Inputs!$E$13*(Inputs!$D$28*NGS_Bacteria_Input!$C$7-B52)))</f>
        <v>0</v>
      </c>
      <c r="D52" s="21">
        <f>IF(C52="","",C52+Inputs!$B$5/Inputs!$B$13*(Inputs!$C$13*(Inputs!$C$28*NGS_Bacteria_Input!$B$7-C52)+Inputs!$D$13*(C7-C52)+Inputs!$E$13*(Inputs!$D$28*NGS_Bacteria_Input!$C$7-C52)))</f>
        <v>0</v>
      </c>
      <c r="E52" s="21">
        <f>IF(D52="","",D52+Inputs!$B$5/Inputs!$B$13*(Inputs!$C$13*(Inputs!$C$28*NGS_Bacteria_Input!$B$7-D52)+Inputs!$D$13*(D7-D52)+Inputs!$E$13*(Inputs!$D$28*NGS_Bacteria_Input!$C$7-D52)))</f>
        <v>0</v>
      </c>
      <c r="F52" s="21">
        <f>IF(E52="","",E52+Inputs!$B$5/Inputs!$B$13*(Inputs!$C$13*(Inputs!$C$28*NGS_Bacteria_Input!$B$7-E52)+Inputs!$D$13*(E7-E52)+Inputs!$E$13*(Inputs!$D$28*NGS_Bacteria_Input!$C$7-E52)))</f>
        <v>0</v>
      </c>
      <c r="G52" s="21">
        <f>IF(F52="","",F52+Inputs!$B$5/Inputs!$B$13*(Inputs!$C$13*(Inputs!$C$28*NGS_Bacteria_Input!$B$7-F52)+Inputs!$D$13*(F7-F52)+Inputs!$E$13*(Inputs!$D$28*NGS_Bacteria_Input!$C$7-F52)))</f>
        <v>0</v>
      </c>
      <c r="H52" s="21">
        <f>IF(G52="","",G52+Inputs!$B$5/Inputs!$B$13*(Inputs!$C$13*(Inputs!$C$28*NGS_Bacteria_Input!$B$7-G52)+Inputs!$D$13*(G7-G52)+Inputs!$E$13*(Inputs!$D$28*NGS_Bacteria_Input!$C$7-G52)))</f>
        <v>0</v>
      </c>
      <c r="I52" s="21">
        <f>IF(H52="","",H52+Inputs!$B$5/Inputs!$B$13*(Inputs!$C$13*(Inputs!$C$28*NGS_Bacteria_Input!$B$7-H52)+Inputs!$D$13*(H7-H52)+Inputs!$E$13*(Inputs!$D$28*NGS_Bacteria_Input!$C$7-H52)))</f>
        <v>0</v>
      </c>
      <c r="J52" s="21">
        <f>IF(I52="","",I52+Inputs!$B$5/Inputs!$B$13*(Inputs!$C$13*(Inputs!$C$28*NGS_Bacteria_Input!$B$7-I52)+Inputs!$D$13*(I7-I52)+Inputs!$E$13*(Inputs!$D$28*NGS_Bacteria_Input!$C$7-I52)))</f>
        <v>0</v>
      </c>
      <c r="K52" s="21">
        <f>IF(J52="","",J52+Inputs!$B$5/Inputs!$B$13*(Inputs!$C$13*(Inputs!$C$28*NGS_Bacteria_Input!$B$7-J52)+Inputs!$D$13*(J7-J52)+Inputs!$E$13*(Inputs!$D$28*NGS_Bacteria_Input!$C$7-J52)))</f>
        <v>0</v>
      </c>
      <c r="L52" s="21">
        <f>IF(K52="","",K52+Inputs!$B$5/Inputs!$B$13*(Inputs!$C$13*(Inputs!$C$28*NGS_Bacteria_Input!$B$7-K52)+Inputs!$D$13*(K7-K52)+Inputs!$E$13*(Inputs!$D$28*NGS_Bacteria_Input!$C$7-K52)))</f>
        <v>0</v>
      </c>
      <c r="M52" s="21">
        <f>IF(L52="","",L52+Inputs!$B$5/Inputs!$B$13*(Inputs!$C$13*(Inputs!$C$28*NGS_Bacteria_Input!$B$7-L52)+Inputs!$D$13*(L7-L52)+Inputs!$E$13*(Inputs!$D$28*NGS_Bacteria_Input!$C$7-L52)))</f>
        <v>0</v>
      </c>
      <c r="N52" s="21">
        <f>IF(M52="","",M52+Inputs!$B$5/Inputs!$B$13*(Inputs!$C$13*(Inputs!$C$28*NGS_Bacteria_Input!$B$7-M52)+Inputs!$D$13*(M7-M52)+Inputs!$E$13*(Inputs!$D$28*NGS_Bacteria_Input!$C$7-M52)))</f>
        <v>0</v>
      </c>
      <c r="O52" s="21">
        <f>IF(N52="","",N52+Inputs!$B$5/Inputs!$B$13*(Inputs!$C$13*(Inputs!$C$28*NGS_Bacteria_Input!$B$7-N52)+Inputs!$D$13*(N7-N52)+Inputs!$E$13*(Inputs!$D$28*NGS_Bacteria_Input!$C$7-N52)))</f>
        <v>0</v>
      </c>
      <c r="P52" s="21">
        <f>IF(O52="","",O52+Inputs!$B$5/Inputs!$B$13*(Inputs!$C$13*(Inputs!$C$28*NGS_Bacteria_Input!$B$7-O52)+Inputs!$D$13*(O7-O52)+Inputs!$E$13*(Inputs!$D$28*NGS_Bacteria_Input!$C$7-O52)))</f>
        <v>0</v>
      </c>
      <c r="Q52" s="21">
        <f>IF(P52="","",P52+Inputs!$B$5/Inputs!$B$13*(Inputs!$C$13*(Inputs!$C$28*NGS_Bacteria_Input!$B$7-P52)+Inputs!$D$13*(P7-P52)+Inputs!$E$13*(Inputs!$D$28*NGS_Bacteria_Input!$C$7-P52)))</f>
        <v>0</v>
      </c>
      <c r="R52" s="21">
        <f>IF(Q52="","",Q52+Inputs!$B$5/Inputs!$B$13*(Inputs!$C$13*(Inputs!$C$28*NGS_Bacteria_Input!$B$7-Q52)+Inputs!$D$13*(Q7-Q52)+Inputs!$E$13*(Inputs!$D$28*NGS_Bacteria_Input!$C$7-Q52)))</f>
        <v>0</v>
      </c>
      <c r="S52" s="21">
        <f>IF(R52="","",R52+Inputs!$B$5/Inputs!$B$13*(Inputs!$C$13*(Inputs!$C$28*NGS_Bacteria_Input!$B$7-R52)+Inputs!$D$13*(R7-R52)+Inputs!$E$13*(Inputs!$D$28*NGS_Bacteria_Input!$C$7-R52)))</f>
        <v>0</v>
      </c>
      <c r="T52" s="21">
        <f>IF(S52="","",S52+Inputs!$B$5/Inputs!$B$13*(Inputs!$C$13*(Inputs!$C$28*NGS_Bacteria_Input!$B$7-S52)+Inputs!$D$13*(S7-S52)+Inputs!$E$13*(Inputs!$D$28*NGS_Bacteria_Input!$C$7-S52)))</f>
        <v>0</v>
      </c>
      <c r="U52" s="21">
        <f>IF(T52="","",T52+Inputs!$B$5/Inputs!$B$13*(Inputs!$C$13*(Inputs!$C$28*NGS_Bacteria_Input!$B$7-T52)+Inputs!$D$13*(T7-T52)+Inputs!$E$13*(Inputs!$D$28*NGS_Bacteria_Input!$C$7-T52)))</f>
        <v>0</v>
      </c>
      <c r="V52" s="21">
        <f>IF(U52="","",U52+Inputs!$B$5/Inputs!$B$13*(Inputs!$C$13*(Inputs!$C$28*NGS_Bacteria_Input!$B$7-U52)+Inputs!$D$13*(U7-U52)+Inputs!$E$13*(Inputs!$D$28*NGS_Bacteria_Input!$C$7-U52)))</f>
        <v>0</v>
      </c>
      <c r="W52" s="21">
        <f>IF(V52="","",V52+Inputs!$B$5/Inputs!$B$13*(Inputs!$C$13*(Inputs!$C$28*NGS_Bacteria_Input!$B$7-V52)+Inputs!$D$13*(V7-V52)+Inputs!$E$13*(Inputs!$D$28*NGS_Bacteria_Input!$C$7-V52)))</f>
        <v>0</v>
      </c>
    </row>
    <row r="53" spans="1:23" ht="18" customHeight="1" x14ac:dyDescent="0.25">
      <c r="A53" s="11" t="str">
        <f>NGS_Bacteria_Input!A8</f>
        <v>Bac_taxon_4</v>
      </c>
      <c r="B53" s="21">
        <f>IF(Inputs!$G$36="","",Inputs!$G$36*NGS_Bacteria_Input!$E$8)</f>
        <v>0</v>
      </c>
      <c r="C53" s="21">
        <f>IF(B53="","",B53+Inputs!$B$5/Inputs!$B$13*(Inputs!$C$13*(Inputs!$C$28*NGS_Bacteria_Input!$B$8-B53)+Inputs!$D$13*(B8-B53)+Inputs!$E$13*(Inputs!$D$28*NGS_Bacteria_Input!$C$8-B53)))</f>
        <v>0</v>
      </c>
      <c r="D53" s="21">
        <f>IF(C53="","",C53+Inputs!$B$5/Inputs!$B$13*(Inputs!$C$13*(Inputs!$C$28*NGS_Bacteria_Input!$B$8-C53)+Inputs!$D$13*(C8-C53)+Inputs!$E$13*(Inputs!$D$28*NGS_Bacteria_Input!$C$8-C53)))</f>
        <v>0</v>
      </c>
      <c r="E53" s="21">
        <f>IF(D53="","",D53+Inputs!$B$5/Inputs!$B$13*(Inputs!$C$13*(Inputs!$C$28*NGS_Bacteria_Input!$B$8-D53)+Inputs!$D$13*(D8-D53)+Inputs!$E$13*(Inputs!$D$28*NGS_Bacteria_Input!$C$8-D53)))</f>
        <v>0</v>
      </c>
      <c r="F53" s="21">
        <f>IF(E53="","",E53+Inputs!$B$5/Inputs!$B$13*(Inputs!$C$13*(Inputs!$C$28*NGS_Bacteria_Input!$B$8-E53)+Inputs!$D$13*(E8-E53)+Inputs!$E$13*(Inputs!$D$28*NGS_Bacteria_Input!$C$8-E53)))</f>
        <v>0</v>
      </c>
      <c r="G53" s="21">
        <f>IF(F53="","",F53+Inputs!$B$5/Inputs!$B$13*(Inputs!$C$13*(Inputs!$C$28*NGS_Bacteria_Input!$B$8-F53)+Inputs!$D$13*(F8-F53)+Inputs!$E$13*(Inputs!$D$28*NGS_Bacteria_Input!$C$8-F53)))</f>
        <v>0</v>
      </c>
      <c r="H53" s="21">
        <f>IF(G53="","",G53+Inputs!$B$5/Inputs!$B$13*(Inputs!$C$13*(Inputs!$C$28*NGS_Bacteria_Input!$B$8-G53)+Inputs!$D$13*(G8-G53)+Inputs!$E$13*(Inputs!$D$28*NGS_Bacteria_Input!$C$8-G53)))</f>
        <v>0</v>
      </c>
      <c r="I53" s="21">
        <f>IF(H53="","",H53+Inputs!$B$5/Inputs!$B$13*(Inputs!$C$13*(Inputs!$C$28*NGS_Bacteria_Input!$B$8-H53)+Inputs!$D$13*(H8-H53)+Inputs!$E$13*(Inputs!$D$28*NGS_Bacteria_Input!$C$8-H53)))</f>
        <v>0</v>
      </c>
      <c r="J53" s="21">
        <f>IF(I53="","",I53+Inputs!$B$5/Inputs!$B$13*(Inputs!$C$13*(Inputs!$C$28*NGS_Bacteria_Input!$B$8-I53)+Inputs!$D$13*(I8-I53)+Inputs!$E$13*(Inputs!$D$28*NGS_Bacteria_Input!$C$8-I53)))</f>
        <v>0</v>
      </c>
      <c r="K53" s="21">
        <f>IF(J53="","",J53+Inputs!$B$5/Inputs!$B$13*(Inputs!$C$13*(Inputs!$C$28*NGS_Bacteria_Input!$B$8-J53)+Inputs!$D$13*(J8-J53)+Inputs!$E$13*(Inputs!$D$28*NGS_Bacteria_Input!$C$8-J53)))</f>
        <v>0</v>
      </c>
      <c r="L53" s="21">
        <f>IF(K53="","",K53+Inputs!$B$5/Inputs!$B$13*(Inputs!$C$13*(Inputs!$C$28*NGS_Bacteria_Input!$B$8-K53)+Inputs!$D$13*(K8-K53)+Inputs!$E$13*(Inputs!$D$28*NGS_Bacteria_Input!$C$8-K53)))</f>
        <v>0</v>
      </c>
      <c r="M53" s="21">
        <f>IF(L53="","",L53+Inputs!$B$5/Inputs!$B$13*(Inputs!$C$13*(Inputs!$C$28*NGS_Bacteria_Input!$B$8-L53)+Inputs!$D$13*(L8-L53)+Inputs!$E$13*(Inputs!$D$28*NGS_Bacteria_Input!$C$8-L53)))</f>
        <v>0</v>
      </c>
      <c r="N53" s="21">
        <f>IF(M53="","",M53+Inputs!$B$5/Inputs!$B$13*(Inputs!$C$13*(Inputs!$C$28*NGS_Bacteria_Input!$B$8-M53)+Inputs!$D$13*(M8-M53)+Inputs!$E$13*(Inputs!$D$28*NGS_Bacteria_Input!$C$8-M53)))</f>
        <v>0</v>
      </c>
      <c r="O53" s="21">
        <f>IF(N53="","",N53+Inputs!$B$5/Inputs!$B$13*(Inputs!$C$13*(Inputs!$C$28*NGS_Bacteria_Input!$B$8-N53)+Inputs!$D$13*(N8-N53)+Inputs!$E$13*(Inputs!$D$28*NGS_Bacteria_Input!$C$8-N53)))</f>
        <v>0</v>
      </c>
      <c r="P53" s="21">
        <f>IF(O53="","",O53+Inputs!$B$5/Inputs!$B$13*(Inputs!$C$13*(Inputs!$C$28*NGS_Bacteria_Input!$B$8-O53)+Inputs!$D$13*(O8-O53)+Inputs!$E$13*(Inputs!$D$28*NGS_Bacteria_Input!$C$8-O53)))</f>
        <v>0</v>
      </c>
      <c r="Q53" s="21">
        <f>IF(P53="","",P53+Inputs!$B$5/Inputs!$B$13*(Inputs!$C$13*(Inputs!$C$28*NGS_Bacteria_Input!$B$8-P53)+Inputs!$D$13*(P8-P53)+Inputs!$E$13*(Inputs!$D$28*NGS_Bacteria_Input!$C$8-P53)))</f>
        <v>0</v>
      </c>
      <c r="R53" s="21">
        <f>IF(Q53="","",Q53+Inputs!$B$5/Inputs!$B$13*(Inputs!$C$13*(Inputs!$C$28*NGS_Bacteria_Input!$B$8-Q53)+Inputs!$D$13*(Q8-Q53)+Inputs!$E$13*(Inputs!$D$28*NGS_Bacteria_Input!$C$8-Q53)))</f>
        <v>0</v>
      </c>
      <c r="S53" s="21">
        <f>IF(R53="","",R53+Inputs!$B$5/Inputs!$B$13*(Inputs!$C$13*(Inputs!$C$28*NGS_Bacteria_Input!$B$8-R53)+Inputs!$D$13*(R8-R53)+Inputs!$E$13*(Inputs!$D$28*NGS_Bacteria_Input!$C$8-R53)))</f>
        <v>0</v>
      </c>
      <c r="T53" s="21">
        <f>IF(S53="","",S53+Inputs!$B$5/Inputs!$B$13*(Inputs!$C$13*(Inputs!$C$28*NGS_Bacteria_Input!$B$8-S53)+Inputs!$D$13*(S8-S53)+Inputs!$E$13*(Inputs!$D$28*NGS_Bacteria_Input!$C$8-S53)))</f>
        <v>0</v>
      </c>
      <c r="U53" s="21">
        <f>IF(T53="","",T53+Inputs!$B$5/Inputs!$B$13*(Inputs!$C$13*(Inputs!$C$28*NGS_Bacteria_Input!$B$8-T53)+Inputs!$D$13*(T8-T53)+Inputs!$E$13*(Inputs!$D$28*NGS_Bacteria_Input!$C$8-T53)))</f>
        <v>0</v>
      </c>
      <c r="V53" s="21">
        <f>IF(U53="","",U53+Inputs!$B$5/Inputs!$B$13*(Inputs!$C$13*(Inputs!$C$28*NGS_Bacteria_Input!$B$8-U53)+Inputs!$D$13*(U8-U53)+Inputs!$E$13*(Inputs!$D$28*NGS_Bacteria_Input!$C$8-U53)))</f>
        <v>0</v>
      </c>
      <c r="W53" s="21">
        <f>IF(V53="","",V53+Inputs!$B$5/Inputs!$B$13*(Inputs!$C$13*(Inputs!$C$28*NGS_Bacteria_Input!$B$8-V53)+Inputs!$D$13*(V8-V53)+Inputs!$E$13*(Inputs!$D$28*NGS_Bacteria_Input!$C$8-V53)))</f>
        <v>0</v>
      </c>
    </row>
    <row r="54" spans="1:23" ht="18" customHeight="1" x14ac:dyDescent="0.25">
      <c r="A54" s="11" t="str">
        <f>NGS_Bacteria_Input!A9</f>
        <v>Bac_taxon_5</v>
      </c>
      <c r="B54" s="21">
        <f>IF(Inputs!$G$36="","",Inputs!$G$36*NGS_Bacteria_Input!$E$9)</f>
        <v>0</v>
      </c>
      <c r="C54" s="21">
        <f>IF(B54="","",B54+Inputs!$B$5/Inputs!$B$13*(Inputs!$C$13*(Inputs!$C$28*NGS_Bacteria_Input!$B$9-B54)+Inputs!$D$13*(B9-B54)+Inputs!$E$13*(Inputs!$D$28*NGS_Bacteria_Input!$C$9-B54)))</f>
        <v>0</v>
      </c>
      <c r="D54" s="21">
        <f>IF(C54="","",C54+Inputs!$B$5/Inputs!$B$13*(Inputs!$C$13*(Inputs!$C$28*NGS_Bacteria_Input!$B$9-C54)+Inputs!$D$13*(C9-C54)+Inputs!$E$13*(Inputs!$D$28*NGS_Bacteria_Input!$C$9-C54)))</f>
        <v>0</v>
      </c>
      <c r="E54" s="21">
        <f>IF(D54="","",D54+Inputs!$B$5/Inputs!$B$13*(Inputs!$C$13*(Inputs!$C$28*NGS_Bacteria_Input!$B$9-D54)+Inputs!$D$13*(D9-D54)+Inputs!$E$13*(Inputs!$D$28*NGS_Bacteria_Input!$C$9-D54)))</f>
        <v>0</v>
      </c>
      <c r="F54" s="21">
        <f>IF(E54="","",E54+Inputs!$B$5/Inputs!$B$13*(Inputs!$C$13*(Inputs!$C$28*NGS_Bacteria_Input!$B$9-E54)+Inputs!$D$13*(E9-E54)+Inputs!$E$13*(Inputs!$D$28*NGS_Bacteria_Input!$C$9-E54)))</f>
        <v>0</v>
      </c>
      <c r="G54" s="21">
        <f>IF(F54="","",F54+Inputs!$B$5/Inputs!$B$13*(Inputs!$C$13*(Inputs!$C$28*NGS_Bacteria_Input!$B$9-F54)+Inputs!$D$13*(F9-F54)+Inputs!$E$13*(Inputs!$D$28*NGS_Bacteria_Input!$C$9-F54)))</f>
        <v>0</v>
      </c>
      <c r="H54" s="21">
        <f>IF(G54="","",G54+Inputs!$B$5/Inputs!$B$13*(Inputs!$C$13*(Inputs!$C$28*NGS_Bacteria_Input!$B$9-G54)+Inputs!$D$13*(G9-G54)+Inputs!$E$13*(Inputs!$D$28*NGS_Bacteria_Input!$C$9-G54)))</f>
        <v>0</v>
      </c>
      <c r="I54" s="21">
        <f>IF(H54="","",H54+Inputs!$B$5/Inputs!$B$13*(Inputs!$C$13*(Inputs!$C$28*NGS_Bacteria_Input!$B$9-H54)+Inputs!$D$13*(H9-H54)+Inputs!$E$13*(Inputs!$D$28*NGS_Bacteria_Input!$C$9-H54)))</f>
        <v>0</v>
      </c>
      <c r="J54" s="21">
        <f>IF(I54="","",I54+Inputs!$B$5/Inputs!$B$13*(Inputs!$C$13*(Inputs!$C$28*NGS_Bacteria_Input!$B$9-I54)+Inputs!$D$13*(I9-I54)+Inputs!$E$13*(Inputs!$D$28*NGS_Bacteria_Input!$C$9-I54)))</f>
        <v>0</v>
      </c>
      <c r="K54" s="21">
        <f>IF(J54="","",J54+Inputs!$B$5/Inputs!$B$13*(Inputs!$C$13*(Inputs!$C$28*NGS_Bacteria_Input!$B$9-J54)+Inputs!$D$13*(J9-J54)+Inputs!$E$13*(Inputs!$D$28*NGS_Bacteria_Input!$C$9-J54)))</f>
        <v>0</v>
      </c>
      <c r="L54" s="21">
        <f>IF(K54="","",K54+Inputs!$B$5/Inputs!$B$13*(Inputs!$C$13*(Inputs!$C$28*NGS_Bacteria_Input!$B$9-K54)+Inputs!$D$13*(K9-K54)+Inputs!$E$13*(Inputs!$D$28*NGS_Bacteria_Input!$C$9-K54)))</f>
        <v>0</v>
      </c>
      <c r="M54" s="21">
        <f>IF(L54="","",L54+Inputs!$B$5/Inputs!$B$13*(Inputs!$C$13*(Inputs!$C$28*NGS_Bacteria_Input!$B$9-L54)+Inputs!$D$13*(L9-L54)+Inputs!$E$13*(Inputs!$D$28*NGS_Bacteria_Input!$C$9-L54)))</f>
        <v>0</v>
      </c>
      <c r="N54" s="21">
        <f>IF(M54="","",M54+Inputs!$B$5/Inputs!$B$13*(Inputs!$C$13*(Inputs!$C$28*NGS_Bacteria_Input!$B$9-M54)+Inputs!$D$13*(M9-M54)+Inputs!$E$13*(Inputs!$D$28*NGS_Bacteria_Input!$C$9-M54)))</f>
        <v>0</v>
      </c>
      <c r="O54" s="21">
        <f>IF(N54="","",N54+Inputs!$B$5/Inputs!$B$13*(Inputs!$C$13*(Inputs!$C$28*NGS_Bacteria_Input!$B$9-N54)+Inputs!$D$13*(N9-N54)+Inputs!$E$13*(Inputs!$D$28*NGS_Bacteria_Input!$C$9-N54)))</f>
        <v>0</v>
      </c>
      <c r="P54" s="21">
        <f>IF(O54="","",O54+Inputs!$B$5/Inputs!$B$13*(Inputs!$C$13*(Inputs!$C$28*NGS_Bacteria_Input!$B$9-O54)+Inputs!$D$13*(O9-O54)+Inputs!$E$13*(Inputs!$D$28*NGS_Bacteria_Input!$C$9-O54)))</f>
        <v>0</v>
      </c>
      <c r="Q54" s="21">
        <f>IF(P54="","",P54+Inputs!$B$5/Inputs!$B$13*(Inputs!$C$13*(Inputs!$C$28*NGS_Bacteria_Input!$B$9-P54)+Inputs!$D$13*(P9-P54)+Inputs!$E$13*(Inputs!$D$28*NGS_Bacteria_Input!$C$9-P54)))</f>
        <v>0</v>
      </c>
      <c r="R54" s="21">
        <f>IF(Q54="","",Q54+Inputs!$B$5/Inputs!$B$13*(Inputs!$C$13*(Inputs!$C$28*NGS_Bacteria_Input!$B$9-Q54)+Inputs!$D$13*(Q9-Q54)+Inputs!$E$13*(Inputs!$D$28*NGS_Bacteria_Input!$C$9-Q54)))</f>
        <v>0</v>
      </c>
      <c r="S54" s="21">
        <f>IF(R54="","",R54+Inputs!$B$5/Inputs!$B$13*(Inputs!$C$13*(Inputs!$C$28*NGS_Bacteria_Input!$B$9-R54)+Inputs!$D$13*(R9-R54)+Inputs!$E$13*(Inputs!$D$28*NGS_Bacteria_Input!$C$9-R54)))</f>
        <v>0</v>
      </c>
      <c r="T54" s="21">
        <f>IF(S54="","",S54+Inputs!$B$5/Inputs!$B$13*(Inputs!$C$13*(Inputs!$C$28*NGS_Bacteria_Input!$B$9-S54)+Inputs!$D$13*(S9-S54)+Inputs!$E$13*(Inputs!$D$28*NGS_Bacteria_Input!$C$9-S54)))</f>
        <v>0</v>
      </c>
      <c r="U54" s="21">
        <f>IF(T54="","",T54+Inputs!$B$5/Inputs!$B$13*(Inputs!$C$13*(Inputs!$C$28*NGS_Bacteria_Input!$B$9-T54)+Inputs!$D$13*(T9-T54)+Inputs!$E$13*(Inputs!$D$28*NGS_Bacteria_Input!$C$9-T54)))</f>
        <v>0</v>
      </c>
      <c r="V54" s="21">
        <f>IF(U54="","",U54+Inputs!$B$5/Inputs!$B$13*(Inputs!$C$13*(Inputs!$C$28*NGS_Bacteria_Input!$B$9-U54)+Inputs!$D$13*(U9-U54)+Inputs!$E$13*(Inputs!$D$28*NGS_Bacteria_Input!$C$9-U54)))</f>
        <v>0</v>
      </c>
      <c r="W54" s="21">
        <f>IF(V54="","",V54+Inputs!$B$5/Inputs!$B$13*(Inputs!$C$13*(Inputs!$C$28*NGS_Bacteria_Input!$B$9-V54)+Inputs!$D$13*(V9-V54)+Inputs!$E$13*(Inputs!$D$28*NGS_Bacteria_Input!$C$9-V54)))</f>
        <v>0</v>
      </c>
    </row>
    <row r="55" spans="1:23" ht="18" customHeight="1" x14ac:dyDescent="0.25">
      <c r="A55" s="11" t="str">
        <f>NGS_Bacteria_Input!A10</f>
        <v>Bac_taxon_6</v>
      </c>
      <c r="B55" s="21">
        <f>IF(Inputs!$G$36="","",Inputs!$G$36*NGS_Bacteria_Input!$E$10)</f>
        <v>0</v>
      </c>
      <c r="C55" s="21">
        <f>IF(B55="","",B55+Inputs!$B$5/Inputs!$B$13*(Inputs!$C$13*(Inputs!$C$28*NGS_Bacteria_Input!$B$10-B55)+Inputs!$D$13*(B10-B55)+Inputs!$E$13*(Inputs!$D$28*NGS_Bacteria_Input!$C$10-B55)))</f>
        <v>0</v>
      </c>
      <c r="D55" s="21">
        <f>IF(C55="","",C55+Inputs!$B$5/Inputs!$B$13*(Inputs!$C$13*(Inputs!$C$28*NGS_Bacteria_Input!$B$10-C55)+Inputs!$D$13*(C10-C55)+Inputs!$E$13*(Inputs!$D$28*NGS_Bacteria_Input!$C$10-C55)))</f>
        <v>0</v>
      </c>
      <c r="E55" s="21">
        <f>IF(D55="","",D55+Inputs!$B$5/Inputs!$B$13*(Inputs!$C$13*(Inputs!$C$28*NGS_Bacteria_Input!$B$10-D55)+Inputs!$D$13*(D10-D55)+Inputs!$E$13*(Inputs!$D$28*NGS_Bacteria_Input!$C$10-D55)))</f>
        <v>0</v>
      </c>
      <c r="F55" s="21">
        <f>IF(E55="","",E55+Inputs!$B$5/Inputs!$B$13*(Inputs!$C$13*(Inputs!$C$28*NGS_Bacteria_Input!$B$10-E55)+Inputs!$D$13*(E10-E55)+Inputs!$E$13*(Inputs!$D$28*NGS_Bacteria_Input!$C$10-E55)))</f>
        <v>0</v>
      </c>
      <c r="G55" s="21">
        <f>IF(F55="","",F55+Inputs!$B$5/Inputs!$B$13*(Inputs!$C$13*(Inputs!$C$28*NGS_Bacteria_Input!$B$10-F55)+Inputs!$D$13*(F10-F55)+Inputs!$E$13*(Inputs!$D$28*NGS_Bacteria_Input!$C$10-F55)))</f>
        <v>0</v>
      </c>
      <c r="H55" s="21">
        <f>IF(G55="","",G55+Inputs!$B$5/Inputs!$B$13*(Inputs!$C$13*(Inputs!$C$28*NGS_Bacteria_Input!$B$10-G55)+Inputs!$D$13*(G10-G55)+Inputs!$E$13*(Inputs!$D$28*NGS_Bacteria_Input!$C$10-G55)))</f>
        <v>0</v>
      </c>
      <c r="I55" s="21">
        <f>IF(H55="","",H55+Inputs!$B$5/Inputs!$B$13*(Inputs!$C$13*(Inputs!$C$28*NGS_Bacteria_Input!$B$10-H55)+Inputs!$D$13*(H10-H55)+Inputs!$E$13*(Inputs!$D$28*NGS_Bacteria_Input!$C$10-H55)))</f>
        <v>0</v>
      </c>
      <c r="J55" s="21">
        <f>IF(I55="","",I55+Inputs!$B$5/Inputs!$B$13*(Inputs!$C$13*(Inputs!$C$28*NGS_Bacteria_Input!$B$10-I55)+Inputs!$D$13*(I10-I55)+Inputs!$E$13*(Inputs!$D$28*NGS_Bacteria_Input!$C$10-I55)))</f>
        <v>0</v>
      </c>
      <c r="K55" s="21">
        <f>IF(J55="","",J55+Inputs!$B$5/Inputs!$B$13*(Inputs!$C$13*(Inputs!$C$28*NGS_Bacteria_Input!$B$10-J55)+Inputs!$D$13*(J10-J55)+Inputs!$E$13*(Inputs!$D$28*NGS_Bacteria_Input!$C$10-J55)))</f>
        <v>0</v>
      </c>
      <c r="L55" s="21">
        <f>IF(K55="","",K55+Inputs!$B$5/Inputs!$B$13*(Inputs!$C$13*(Inputs!$C$28*NGS_Bacteria_Input!$B$10-K55)+Inputs!$D$13*(K10-K55)+Inputs!$E$13*(Inputs!$D$28*NGS_Bacteria_Input!$C$10-K55)))</f>
        <v>0</v>
      </c>
      <c r="M55" s="21">
        <f>IF(L55="","",L55+Inputs!$B$5/Inputs!$B$13*(Inputs!$C$13*(Inputs!$C$28*NGS_Bacteria_Input!$B$10-L55)+Inputs!$D$13*(L10-L55)+Inputs!$E$13*(Inputs!$D$28*NGS_Bacteria_Input!$C$10-L55)))</f>
        <v>0</v>
      </c>
      <c r="N55" s="21">
        <f>IF(M55="","",M55+Inputs!$B$5/Inputs!$B$13*(Inputs!$C$13*(Inputs!$C$28*NGS_Bacteria_Input!$B$10-M55)+Inputs!$D$13*(M10-M55)+Inputs!$E$13*(Inputs!$D$28*NGS_Bacteria_Input!$C$10-M55)))</f>
        <v>0</v>
      </c>
      <c r="O55" s="21">
        <f>IF(N55="","",N55+Inputs!$B$5/Inputs!$B$13*(Inputs!$C$13*(Inputs!$C$28*NGS_Bacteria_Input!$B$10-N55)+Inputs!$D$13*(N10-N55)+Inputs!$E$13*(Inputs!$D$28*NGS_Bacteria_Input!$C$10-N55)))</f>
        <v>0</v>
      </c>
      <c r="P55" s="21">
        <f>IF(O55="","",O55+Inputs!$B$5/Inputs!$B$13*(Inputs!$C$13*(Inputs!$C$28*NGS_Bacteria_Input!$B$10-O55)+Inputs!$D$13*(O10-O55)+Inputs!$E$13*(Inputs!$D$28*NGS_Bacteria_Input!$C$10-O55)))</f>
        <v>0</v>
      </c>
      <c r="Q55" s="21">
        <f>IF(P55="","",P55+Inputs!$B$5/Inputs!$B$13*(Inputs!$C$13*(Inputs!$C$28*NGS_Bacteria_Input!$B$10-P55)+Inputs!$D$13*(P10-P55)+Inputs!$E$13*(Inputs!$D$28*NGS_Bacteria_Input!$C$10-P55)))</f>
        <v>0</v>
      </c>
      <c r="R55" s="21">
        <f>IF(Q55="","",Q55+Inputs!$B$5/Inputs!$B$13*(Inputs!$C$13*(Inputs!$C$28*NGS_Bacteria_Input!$B$10-Q55)+Inputs!$D$13*(Q10-Q55)+Inputs!$E$13*(Inputs!$D$28*NGS_Bacteria_Input!$C$10-Q55)))</f>
        <v>0</v>
      </c>
      <c r="S55" s="21">
        <f>IF(R55="","",R55+Inputs!$B$5/Inputs!$B$13*(Inputs!$C$13*(Inputs!$C$28*NGS_Bacteria_Input!$B$10-R55)+Inputs!$D$13*(R10-R55)+Inputs!$E$13*(Inputs!$D$28*NGS_Bacteria_Input!$C$10-R55)))</f>
        <v>0</v>
      </c>
      <c r="T55" s="21">
        <f>IF(S55="","",S55+Inputs!$B$5/Inputs!$B$13*(Inputs!$C$13*(Inputs!$C$28*NGS_Bacteria_Input!$B$10-S55)+Inputs!$D$13*(S10-S55)+Inputs!$E$13*(Inputs!$D$28*NGS_Bacteria_Input!$C$10-S55)))</f>
        <v>0</v>
      </c>
      <c r="U55" s="21">
        <f>IF(T55="","",T55+Inputs!$B$5/Inputs!$B$13*(Inputs!$C$13*(Inputs!$C$28*NGS_Bacteria_Input!$B$10-T55)+Inputs!$D$13*(T10-T55)+Inputs!$E$13*(Inputs!$D$28*NGS_Bacteria_Input!$C$10-T55)))</f>
        <v>0</v>
      </c>
      <c r="V55" s="21">
        <f>IF(U55="","",U55+Inputs!$B$5/Inputs!$B$13*(Inputs!$C$13*(Inputs!$C$28*NGS_Bacteria_Input!$B$10-U55)+Inputs!$D$13*(U10-U55)+Inputs!$E$13*(Inputs!$D$28*NGS_Bacteria_Input!$C$10-U55)))</f>
        <v>0</v>
      </c>
      <c r="W55" s="21">
        <f>IF(V55="","",V55+Inputs!$B$5/Inputs!$B$13*(Inputs!$C$13*(Inputs!$C$28*NGS_Bacteria_Input!$B$10-V55)+Inputs!$D$13*(V10-V55)+Inputs!$E$13*(Inputs!$D$28*NGS_Bacteria_Input!$C$10-V55)))</f>
        <v>0</v>
      </c>
    </row>
    <row r="56" spans="1:23" ht="18" customHeight="1" x14ac:dyDescent="0.25">
      <c r="A56" s="11" t="str">
        <f>NGS_Bacteria_Input!A11</f>
        <v>Bac_taxon_7</v>
      </c>
      <c r="B56" s="21">
        <f>IF(Inputs!$G$36="","",Inputs!$G$36*NGS_Bacteria_Input!$E$11)</f>
        <v>0</v>
      </c>
      <c r="C56" s="21">
        <f>IF(B56="","",B56+Inputs!$B$5/Inputs!$B$13*(Inputs!$C$13*(Inputs!$C$28*NGS_Bacteria_Input!$B$11-B56)+Inputs!$D$13*(B11-B56)+Inputs!$E$13*(Inputs!$D$28*NGS_Bacteria_Input!$C$11-B56)))</f>
        <v>0</v>
      </c>
      <c r="D56" s="21">
        <f>IF(C56="","",C56+Inputs!$B$5/Inputs!$B$13*(Inputs!$C$13*(Inputs!$C$28*NGS_Bacteria_Input!$B$11-C56)+Inputs!$D$13*(C11-C56)+Inputs!$E$13*(Inputs!$D$28*NGS_Bacteria_Input!$C$11-C56)))</f>
        <v>0</v>
      </c>
      <c r="E56" s="21">
        <f>IF(D56="","",D56+Inputs!$B$5/Inputs!$B$13*(Inputs!$C$13*(Inputs!$C$28*NGS_Bacteria_Input!$B$11-D56)+Inputs!$D$13*(D11-D56)+Inputs!$E$13*(Inputs!$D$28*NGS_Bacteria_Input!$C$11-D56)))</f>
        <v>0</v>
      </c>
      <c r="F56" s="21">
        <f>IF(E56="","",E56+Inputs!$B$5/Inputs!$B$13*(Inputs!$C$13*(Inputs!$C$28*NGS_Bacteria_Input!$B$11-E56)+Inputs!$D$13*(E11-E56)+Inputs!$E$13*(Inputs!$D$28*NGS_Bacteria_Input!$C$11-E56)))</f>
        <v>0</v>
      </c>
      <c r="G56" s="21">
        <f>IF(F56="","",F56+Inputs!$B$5/Inputs!$B$13*(Inputs!$C$13*(Inputs!$C$28*NGS_Bacteria_Input!$B$11-F56)+Inputs!$D$13*(F11-F56)+Inputs!$E$13*(Inputs!$D$28*NGS_Bacteria_Input!$C$11-F56)))</f>
        <v>0</v>
      </c>
      <c r="H56" s="21">
        <f>IF(G56="","",G56+Inputs!$B$5/Inputs!$B$13*(Inputs!$C$13*(Inputs!$C$28*NGS_Bacteria_Input!$B$11-G56)+Inputs!$D$13*(G11-G56)+Inputs!$E$13*(Inputs!$D$28*NGS_Bacteria_Input!$C$11-G56)))</f>
        <v>0</v>
      </c>
      <c r="I56" s="21">
        <f>IF(H56="","",H56+Inputs!$B$5/Inputs!$B$13*(Inputs!$C$13*(Inputs!$C$28*NGS_Bacteria_Input!$B$11-H56)+Inputs!$D$13*(H11-H56)+Inputs!$E$13*(Inputs!$D$28*NGS_Bacteria_Input!$C$11-H56)))</f>
        <v>0</v>
      </c>
      <c r="J56" s="21">
        <f>IF(I56="","",I56+Inputs!$B$5/Inputs!$B$13*(Inputs!$C$13*(Inputs!$C$28*NGS_Bacteria_Input!$B$11-I56)+Inputs!$D$13*(I11-I56)+Inputs!$E$13*(Inputs!$D$28*NGS_Bacteria_Input!$C$11-I56)))</f>
        <v>0</v>
      </c>
      <c r="K56" s="21">
        <f>IF(J56="","",J56+Inputs!$B$5/Inputs!$B$13*(Inputs!$C$13*(Inputs!$C$28*NGS_Bacteria_Input!$B$11-J56)+Inputs!$D$13*(J11-J56)+Inputs!$E$13*(Inputs!$D$28*NGS_Bacteria_Input!$C$11-J56)))</f>
        <v>0</v>
      </c>
      <c r="L56" s="21">
        <f>IF(K56="","",K56+Inputs!$B$5/Inputs!$B$13*(Inputs!$C$13*(Inputs!$C$28*NGS_Bacteria_Input!$B$11-K56)+Inputs!$D$13*(K11-K56)+Inputs!$E$13*(Inputs!$D$28*NGS_Bacteria_Input!$C$11-K56)))</f>
        <v>0</v>
      </c>
      <c r="M56" s="21">
        <f>IF(L56="","",L56+Inputs!$B$5/Inputs!$B$13*(Inputs!$C$13*(Inputs!$C$28*NGS_Bacteria_Input!$B$11-L56)+Inputs!$D$13*(L11-L56)+Inputs!$E$13*(Inputs!$D$28*NGS_Bacteria_Input!$C$11-L56)))</f>
        <v>0</v>
      </c>
      <c r="N56" s="21">
        <f>IF(M56="","",M56+Inputs!$B$5/Inputs!$B$13*(Inputs!$C$13*(Inputs!$C$28*NGS_Bacteria_Input!$B$11-M56)+Inputs!$D$13*(M11-M56)+Inputs!$E$13*(Inputs!$D$28*NGS_Bacteria_Input!$C$11-M56)))</f>
        <v>0</v>
      </c>
      <c r="O56" s="21">
        <f>IF(N56="","",N56+Inputs!$B$5/Inputs!$B$13*(Inputs!$C$13*(Inputs!$C$28*NGS_Bacteria_Input!$B$11-N56)+Inputs!$D$13*(N11-N56)+Inputs!$E$13*(Inputs!$D$28*NGS_Bacteria_Input!$C$11-N56)))</f>
        <v>0</v>
      </c>
      <c r="P56" s="21">
        <f>IF(O56="","",O56+Inputs!$B$5/Inputs!$B$13*(Inputs!$C$13*(Inputs!$C$28*NGS_Bacteria_Input!$B$11-O56)+Inputs!$D$13*(O11-O56)+Inputs!$E$13*(Inputs!$D$28*NGS_Bacteria_Input!$C$11-O56)))</f>
        <v>0</v>
      </c>
      <c r="Q56" s="21">
        <f>IF(P56="","",P56+Inputs!$B$5/Inputs!$B$13*(Inputs!$C$13*(Inputs!$C$28*NGS_Bacteria_Input!$B$11-P56)+Inputs!$D$13*(P11-P56)+Inputs!$E$13*(Inputs!$D$28*NGS_Bacteria_Input!$C$11-P56)))</f>
        <v>0</v>
      </c>
      <c r="R56" s="21">
        <f>IF(Q56="","",Q56+Inputs!$B$5/Inputs!$B$13*(Inputs!$C$13*(Inputs!$C$28*NGS_Bacteria_Input!$B$11-Q56)+Inputs!$D$13*(Q11-Q56)+Inputs!$E$13*(Inputs!$D$28*NGS_Bacteria_Input!$C$11-Q56)))</f>
        <v>0</v>
      </c>
      <c r="S56" s="21">
        <f>IF(R56="","",R56+Inputs!$B$5/Inputs!$B$13*(Inputs!$C$13*(Inputs!$C$28*NGS_Bacteria_Input!$B$11-R56)+Inputs!$D$13*(R11-R56)+Inputs!$E$13*(Inputs!$D$28*NGS_Bacteria_Input!$C$11-R56)))</f>
        <v>0</v>
      </c>
      <c r="T56" s="21">
        <f>IF(S56="","",S56+Inputs!$B$5/Inputs!$B$13*(Inputs!$C$13*(Inputs!$C$28*NGS_Bacteria_Input!$B$11-S56)+Inputs!$D$13*(S11-S56)+Inputs!$E$13*(Inputs!$D$28*NGS_Bacteria_Input!$C$11-S56)))</f>
        <v>0</v>
      </c>
      <c r="U56" s="21">
        <f>IF(T56="","",T56+Inputs!$B$5/Inputs!$B$13*(Inputs!$C$13*(Inputs!$C$28*NGS_Bacteria_Input!$B$11-T56)+Inputs!$D$13*(T11-T56)+Inputs!$E$13*(Inputs!$D$28*NGS_Bacteria_Input!$C$11-T56)))</f>
        <v>0</v>
      </c>
      <c r="V56" s="21">
        <f>IF(U56="","",U56+Inputs!$B$5/Inputs!$B$13*(Inputs!$C$13*(Inputs!$C$28*NGS_Bacteria_Input!$B$11-U56)+Inputs!$D$13*(U11-U56)+Inputs!$E$13*(Inputs!$D$28*NGS_Bacteria_Input!$C$11-U56)))</f>
        <v>0</v>
      </c>
      <c r="W56" s="21">
        <f>IF(V56="","",V56+Inputs!$B$5/Inputs!$B$13*(Inputs!$C$13*(Inputs!$C$28*NGS_Bacteria_Input!$B$11-V56)+Inputs!$D$13*(V11-V56)+Inputs!$E$13*(Inputs!$D$28*NGS_Bacteria_Input!$C$11-V56)))</f>
        <v>0</v>
      </c>
    </row>
    <row r="57" spans="1:23" ht="18" customHeight="1" x14ac:dyDescent="0.25">
      <c r="A57" s="11" t="str">
        <f>NGS_Bacteria_Input!A12</f>
        <v>Bac_taxon_8</v>
      </c>
      <c r="B57" s="21">
        <f>IF(Inputs!$G$36="","",Inputs!$G$36*NGS_Bacteria_Input!$E$12)</f>
        <v>0</v>
      </c>
      <c r="C57" s="21">
        <f>IF(B57="","",B57+Inputs!$B$5/Inputs!$B$13*(Inputs!$C$13*(Inputs!$C$28*NGS_Bacteria_Input!$B$12-B57)+Inputs!$D$13*(B12-B57)+Inputs!$E$13*(Inputs!$D$28*NGS_Bacteria_Input!$C$12-B57)))</f>
        <v>0</v>
      </c>
      <c r="D57" s="21">
        <f>IF(C57="","",C57+Inputs!$B$5/Inputs!$B$13*(Inputs!$C$13*(Inputs!$C$28*NGS_Bacteria_Input!$B$12-C57)+Inputs!$D$13*(C12-C57)+Inputs!$E$13*(Inputs!$D$28*NGS_Bacteria_Input!$C$12-C57)))</f>
        <v>0</v>
      </c>
      <c r="E57" s="21">
        <f>IF(D57="","",D57+Inputs!$B$5/Inputs!$B$13*(Inputs!$C$13*(Inputs!$C$28*NGS_Bacteria_Input!$B$12-D57)+Inputs!$D$13*(D12-D57)+Inputs!$E$13*(Inputs!$D$28*NGS_Bacteria_Input!$C$12-D57)))</f>
        <v>0</v>
      </c>
      <c r="F57" s="21">
        <f>IF(E57="","",E57+Inputs!$B$5/Inputs!$B$13*(Inputs!$C$13*(Inputs!$C$28*NGS_Bacteria_Input!$B$12-E57)+Inputs!$D$13*(E12-E57)+Inputs!$E$13*(Inputs!$D$28*NGS_Bacteria_Input!$C$12-E57)))</f>
        <v>0</v>
      </c>
      <c r="G57" s="21">
        <f>IF(F57="","",F57+Inputs!$B$5/Inputs!$B$13*(Inputs!$C$13*(Inputs!$C$28*NGS_Bacteria_Input!$B$12-F57)+Inputs!$D$13*(F12-F57)+Inputs!$E$13*(Inputs!$D$28*NGS_Bacteria_Input!$C$12-F57)))</f>
        <v>0</v>
      </c>
      <c r="H57" s="21">
        <f>IF(G57="","",G57+Inputs!$B$5/Inputs!$B$13*(Inputs!$C$13*(Inputs!$C$28*NGS_Bacteria_Input!$B$12-G57)+Inputs!$D$13*(G12-G57)+Inputs!$E$13*(Inputs!$D$28*NGS_Bacteria_Input!$C$12-G57)))</f>
        <v>0</v>
      </c>
      <c r="I57" s="21">
        <f>IF(H57="","",H57+Inputs!$B$5/Inputs!$B$13*(Inputs!$C$13*(Inputs!$C$28*NGS_Bacteria_Input!$B$12-H57)+Inputs!$D$13*(H12-H57)+Inputs!$E$13*(Inputs!$D$28*NGS_Bacteria_Input!$C$12-H57)))</f>
        <v>0</v>
      </c>
      <c r="J57" s="21">
        <f>IF(I57="","",I57+Inputs!$B$5/Inputs!$B$13*(Inputs!$C$13*(Inputs!$C$28*NGS_Bacteria_Input!$B$12-I57)+Inputs!$D$13*(I12-I57)+Inputs!$E$13*(Inputs!$D$28*NGS_Bacteria_Input!$C$12-I57)))</f>
        <v>0</v>
      </c>
      <c r="K57" s="21">
        <f>IF(J57="","",J57+Inputs!$B$5/Inputs!$B$13*(Inputs!$C$13*(Inputs!$C$28*NGS_Bacteria_Input!$B$12-J57)+Inputs!$D$13*(J12-J57)+Inputs!$E$13*(Inputs!$D$28*NGS_Bacteria_Input!$C$12-J57)))</f>
        <v>0</v>
      </c>
      <c r="L57" s="21">
        <f>IF(K57="","",K57+Inputs!$B$5/Inputs!$B$13*(Inputs!$C$13*(Inputs!$C$28*NGS_Bacteria_Input!$B$12-K57)+Inputs!$D$13*(K12-K57)+Inputs!$E$13*(Inputs!$D$28*NGS_Bacteria_Input!$C$12-K57)))</f>
        <v>0</v>
      </c>
      <c r="M57" s="21">
        <f>IF(L57="","",L57+Inputs!$B$5/Inputs!$B$13*(Inputs!$C$13*(Inputs!$C$28*NGS_Bacteria_Input!$B$12-L57)+Inputs!$D$13*(L12-L57)+Inputs!$E$13*(Inputs!$D$28*NGS_Bacteria_Input!$C$12-L57)))</f>
        <v>0</v>
      </c>
      <c r="N57" s="21">
        <f>IF(M57="","",M57+Inputs!$B$5/Inputs!$B$13*(Inputs!$C$13*(Inputs!$C$28*NGS_Bacteria_Input!$B$12-M57)+Inputs!$D$13*(M12-M57)+Inputs!$E$13*(Inputs!$D$28*NGS_Bacteria_Input!$C$12-M57)))</f>
        <v>0</v>
      </c>
      <c r="O57" s="21">
        <f>IF(N57="","",N57+Inputs!$B$5/Inputs!$B$13*(Inputs!$C$13*(Inputs!$C$28*NGS_Bacteria_Input!$B$12-N57)+Inputs!$D$13*(N12-N57)+Inputs!$E$13*(Inputs!$D$28*NGS_Bacteria_Input!$C$12-N57)))</f>
        <v>0</v>
      </c>
      <c r="P57" s="21">
        <f>IF(O57="","",O57+Inputs!$B$5/Inputs!$B$13*(Inputs!$C$13*(Inputs!$C$28*NGS_Bacteria_Input!$B$12-O57)+Inputs!$D$13*(O12-O57)+Inputs!$E$13*(Inputs!$D$28*NGS_Bacteria_Input!$C$12-O57)))</f>
        <v>0</v>
      </c>
      <c r="Q57" s="21">
        <f>IF(P57="","",P57+Inputs!$B$5/Inputs!$B$13*(Inputs!$C$13*(Inputs!$C$28*NGS_Bacteria_Input!$B$12-P57)+Inputs!$D$13*(P12-P57)+Inputs!$E$13*(Inputs!$D$28*NGS_Bacteria_Input!$C$12-P57)))</f>
        <v>0</v>
      </c>
      <c r="R57" s="21">
        <f>IF(Q57="","",Q57+Inputs!$B$5/Inputs!$B$13*(Inputs!$C$13*(Inputs!$C$28*NGS_Bacteria_Input!$B$12-Q57)+Inputs!$D$13*(Q12-Q57)+Inputs!$E$13*(Inputs!$D$28*NGS_Bacteria_Input!$C$12-Q57)))</f>
        <v>0</v>
      </c>
      <c r="S57" s="21">
        <f>IF(R57="","",R57+Inputs!$B$5/Inputs!$B$13*(Inputs!$C$13*(Inputs!$C$28*NGS_Bacteria_Input!$B$12-R57)+Inputs!$D$13*(R12-R57)+Inputs!$E$13*(Inputs!$D$28*NGS_Bacteria_Input!$C$12-R57)))</f>
        <v>0</v>
      </c>
      <c r="T57" s="21">
        <f>IF(S57="","",S57+Inputs!$B$5/Inputs!$B$13*(Inputs!$C$13*(Inputs!$C$28*NGS_Bacteria_Input!$B$12-S57)+Inputs!$D$13*(S12-S57)+Inputs!$E$13*(Inputs!$D$28*NGS_Bacteria_Input!$C$12-S57)))</f>
        <v>0</v>
      </c>
      <c r="U57" s="21">
        <f>IF(T57="","",T57+Inputs!$B$5/Inputs!$B$13*(Inputs!$C$13*(Inputs!$C$28*NGS_Bacteria_Input!$B$12-T57)+Inputs!$D$13*(T12-T57)+Inputs!$E$13*(Inputs!$D$28*NGS_Bacteria_Input!$C$12-T57)))</f>
        <v>0</v>
      </c>
      <c r="V57" s="21">
        <f>IF(U57="","",U57+Inputs!$B$5/Inputs!$B$13*(Inputs!$C$13*(Inputs!$C$28*NGS_Bacteria_Input!$B$12-U57)+Inputs!$D$13*(U12-U57)+Inputs!$E$13*(Inputs!$D$28*NGS_Bacteria_Input!$C$12-U57)))</f>
        <v>0</v>
      </c>
      <c r="W57" s="21">
        <f>IF(V57="","",V57+Inputs!$B$5/Inputs!$B$13*(Inputs!$C$13*(Inputs!$C$28*NGS_Bacteria_Input!$B$12-V57)+Inputs!$D$13*(V12-V57)+Inputs!$E$13*(Inputs!$D$28*NGS_Bacteria_Input!$C$12-V57)))</f>
        <v>0</v>
      </c>
    </row>
    <row r="58" spans="1:23" ht="18" customHeight="1" x14ac:dyDescent="0.25">
      <c r="A58" s="11" t="str">
        <f>NGS_Bacteria_Input!A13</f>
        <v>Bac_taxon_9</v>
      </c>
      <c r="B58" s="21">
        <f>IF(Inputs!$G$36="","",Inputs!$G$36*NGS_Bacteria_Input!$E$13)</f>
        <v>0</v>
      </c>
      <c r="C58" s="21">
        <f>IF(B58="","",B58+Inputs!$B$5/Inputs!$B$13*(Inputs!$C$13*(Inputs!$C$28*NGS_Bacteria_Input!$B$13-B58)+Inputs!$D$13*(B13-B58)+Inputs!$E$13*(Inputs!$D$28*NGS_Bacteria_Input!$C$13-B58)))</f>
        <v>0</v>
      </c>
      <c r="D58" s="21">
        <f>IF(C58="","",C58+Inputs!$B$5/Inputs!$B$13*(Inputs!$C$13*(Inputs!$C$28*NGS_Bacteria_Input!$B$13-C58)+Inputs!$D$13*(C13-C58)+Inputs!$E$13*(Inputs!$D$28*NGS_Bacteria_Input!$C$13-C58)))</f>
        <v>0</v>
      </c>
      <c r="E58" s="21">
        <f>IF(D58="","",D58+Inputs!$B$5/Inputs!$B$13*(Inputs!$C$13*(Inputs!$C$28*NGS_Bacteria_Input!$B$13-D58)+Inputs!$D$13*(D13-D58)+Inputs!$E$13*(Inputs!$D$28*NGS_Bacteria_Input!$C$13-D58)))</f>
        <v>0</v>
      </c>
      <c r="F58" s="21">
        <f>IF(E58="","",E58+Inputs!$B$5/Inputs!$B$13*(Inputs!$C$13*(Inputs!$C$28*NGS_Bacteria_Input!$B$13-E58)+Inputs!$D$13*(E13-E58)+Inputs!$E$13*(Inputs!$D$28*NGS_Bacteria_Input!$C$13-E58)))</f>
        <v>0</v>
      </c>
      <c r="G58" s="21">
        <f>IF(F58="","",F58+Inputs!$B$5/Inputs!$B$13*(Inputs!$C$13*(Inputs!$C$28*NGS_Bacteria_Input!$B$13-F58)+Inputs!$D$13*(F13-F58)+Inputs!$E$13*(Inputs!$D$28*NGS_Bacteria_Input!$C$13-F58)))</f>
        <v>0</v>
      </c>
      <c r="H58" s="21">
        <f>IF(G58="","",G58+Inputs!$B$5/Inputs!$B$13*(Inputs!$C$13*(Inputs!$C$28*NGS_Bacteria_Input!$B$13-G58)+Inputs!$D$13*(G13-G58)+Inputs!$E$13*(Inputs!$D$28*NGS_Bacteria_Input!$C$13-G58)))</f>
        <v>0</v>
      </c>
      <c r="I58" s="21">
        <f>IF(H58="","",H58+Inputs!$B$5/Inputs!$B$13*(Inputs!$C$13*(Inputs!$C$28*NGS_Bacteria_Input!$B$13-H58)+Inputs!$D$13*(H13-H58)+Inputs!$E$13*(Inputs!$D$28*NGS_Bacteria_Input!$C$13-H58)))</f>
        <v>0</v>
      </c>
      <c r="J58" s="21">
        <f>IF(I58="","",I58+Inputs!$B$5/Inputs!$B$13*(Inputs!$C$13*(Inputs!$C$28*NGS_Bacteria_Input!$B$13-I58)+Inputs!$D$13*(I13-I58)+Inputs!$E$13*(Inputs!$D$28*NGS_Bacteria_Input!$C$13-I58)))</f>
        <v>0</v>
      </c>
      <c r="K58" s="21">
        <f>IF(J58="","",J58+Inputs!$B$5/Inputs!$B$13*(Inputs!$C$13*(Inputs!$C$28*NGS_Bacteria_Input!$B$13-J58)+Inputs!$D$13*(J13-J58)+Inputs!$E$13*(Inputs!$D$28*NGS_Bacteria_Input!$C$13-J58)))</f>
        <v>0</v>
      </c>
      <c r="L58" s="21">
        <f>IF(K58="","",K58+Inputs!$B$5/Inputs!$B$13*(Inputs!$C$13*(Inputs!$C$28*NGS_Bacteria_Input!$B$13-K58)+Inputs!$D$13*(K13-K58)+Inputs!$E$13*(Inputs!$D$28*NGS_Bacteria_Input!$C$13-K58)))</f>
        <v>0</v>
      </c>
      <c r="M58" s="21">
        <f>IF(L58="","",L58+Inputs!$B$5/Inputs!$B$13*(Inputs!$C$13*(Inputs!$C$28*NGS_Bacteria_Input!$B$13-L58)+Inputs!$D$13*(L13-L58)+Inputs!$E$13*(Inputs!$D$28*NGS_Bacteria_Input!$C$13-L58)))</f>
        <v>0</v>
      </c>
      <c r="N58" s="21">
        <f>IF(M58="","",M58+Inputs!$B$5/Inputs!$B$13*(Inputs!$C$13*(Inputs!$C$28*NGS_Bacteria_Input!$B$13-M58)+Inputs!$D$13*(M13-M58)+Inputs!$E$13*(Inputs!$D$28*NGS_Bacteria_Input!$C$13-M58)))</f>
        <v>0</v>
      </c>
      <c r="O58" s="21">
        <f>IF(N58="","",N58+Inputs!$B$5/Inputs!$B$13*(Inputs!$C$13*(Inputs!$C$28*NGS_Bacteria_Input!$B$13-N58)+Inputs!$D$13*(N13-N58)+Inputs!$E$13*(Inputs!$D$28*NGS_Bacteria_Input!$C$13-N58)))</f>
        <v>0</v>
      </c>
      <c r="P58" s="21">
        <f>IF(O58="","",O58+Inputs!$B$5/Inputs!$B$13*(Inputs!$C$13*(Inputs!$C$28*NGS_Bacteria_Input!$B$13-O58)+Inputs!$D$13*(O13-O58)+Inputs!$E$13*(Inputs!$D$28*NGS_Bacteria_Input!$C$13-O58)))</f>
        <v>0</v>
      </c>
      <c r="Q58" s="21">
        <f>IF(P58="","",P58+Inputs!$B$5/Inputs!$B$13*(Inputs!$C$13*(Inputs!$C$28*NGS_Bacteria_Input!$B$13-P58)+Inputs!$D$13*(P13-P58)+Inputs!$E$13*(Inputs!$D$28*NGS_Bacteria_Input!$C$13-P58)))</f>
        <v>0</v>
      </c>
      <c r="R58" s="21">
        <f>IF(Q58="","",Q58+Inputs!$B$5/Inputs!$B$13*(Inputs!$C$13*(Inputs!$C$28*NGS_Bacteria_Input!$B$13-Q58)+Inputs!$D$13*(Q13-Q58)+Inputs!$E$13*(Inputs!$D$28*NGS_Bacteria_Input!$C$13-Q58)))</f>
        <v>0</v>
      </c>
      <c r="S58" s="21">
        <f>IF(R58="","",R58+Inputs!$B$5/Inputs!$B$13*(Inputs!$C$13*(Inputs!$C$28*NGS_Bacteria_Input!$B$13-R58)+Inputs!$D$13*(R13-R58)+Inputs!$E$13*(Inputs!$D$28*NGS_Bacteria_Input!$C$13-R58)))</f>
        <v>0</v>
      </c>
      <c r="T58" s="21">
        <f>IF(S58="","",S58+Inputs!$B$5/Inputs!$B$13*(Inputs!$C$13*(Inputs!$C$28*NGS_Bacteria_Input!$B$13-S58)+Inputs!$D$13*(S13-S58)+Inputs!$E$13*(Inputs!$D$28*NGS_Bacteria_Input!$C$13-S58)))</f>
        <v>0</v>
      </c>
      <c r="U58" s="21">
        <f>IF(T58="","",T58+Inputs!$B$5/Inputs!$B$13*(Inputs!$C$13*(Inputs!$C$28*NGS_Bacteria_Input!$B$13-T58)+Inputs!$D$13*(T13-T58)+Inputs!$E$13*(Inputs!$D$28*NGS_Bacteria_Input!$C$13-T58)))</f>
        <v>0</v>
      </c>
      <c r="V58" s="21">
        <f>IF(U58="","",U58+Inputs!$B$5/Inputs!$B$13*(Inputs!$C$13*(Inputs!$C$28*NGS_Bacteria_Input!$B$13-U58)+Inputs!$D$13*(U13-U58)+Inputs!$E$13*(Inputs!$D$28*NGS_Bacteria_Input!$C$13-U58)))</f>
        <v>0</v>
      </c>
      <c r="W58" s="21">
        <f>IF(V58="","",V58+Inputs!$B$5/Inputs!$B$13*(Inputs!$C$13*(Inputs!$C$28*NGS_Bacteria_Input!$B$13-V58)+Inputs!$D$13*(V13-V58)+Inputs!$E$13*(Inputs!$D$28*NGS_Bacteria_Input!$C$13-V58)))</f>
        <v>0</v>
      </c>
    </row>
    <row r="59" spans="1:23" ht="18" customHeight="1" x14ac:dyDescent="0.25">
      <c r="A59" s="11" t="str">
        <f>NGS_Bacteria_Input!A14</f>
        <v>Bac_taxon_10</v>
      </c>
      <c r="B59" s="21">
        <f>IF(Inputs!$G$36="","",Inputs!$G$36*NGS_Bacteria_Input!$E$14)</f>
        <v>0</v>
      </c>
      <c r="C59" s="21">
        <f>IF(B59="","",B59+Inputs!$B$5/Inputs!$B$13*(Inputs!$C$13*(Inputs!$C$28*NGS_Bacteria_Input!$B$14-B59)+Inputs!$D$13*(B14-B59)+Inputs!$E$13*(Inputs!$D$28*NGS_Bacteria_Input!$C$14-B59)))</f>
        <v>0</v>
      </c>
      <c r="D59" s="21">
        <f>IF(C59="","",C59+Inputs!$B$5/Inputs!$B$13*(Inputs!$C$13*(Inputs!$C$28*NGS_Bacteria_Input!$B$14-C59)+Inputs!$D$13*(C14-C59)+Inputs!$E$13*(Inputs!$D$28*NGS_Bacteria_Input!$C$14-C59)))</f>
        <v>0</v>
      </c>
      <c r="E59" s="21">
        <f>IF(D59="","",D59+Inputs!$B$5/Inputs!$B$13*(Inputs!$C$13*(Inputs!$C$28*NGS_Bacteria_Input!$B$14-D59)+Inputs!$D$13*(D14-D59)+Inputs!$E$13*(Inputs!$D$28*NGS_Bacteria_Input!$C$14-D59)))</f>
        <v>0</v>
      </c>
      <c r="F59" s="21">
        <f>IF(E59="","",E59+Inputs!$B$5/Inputs!$B$13*(Inputs!$C$13*(Inputs!$C$28*NGS_Bacteria_Input!$B$14-E59)+Inputs!$D$13*(E14-E59)+Inputs!$E$13*(Inputs!$D$28*NGS_Bacteria_Input!$C$14-E59)))</f>
        <v>0</v>
      </c>
      <c r="G59" s="21">
        <f>IF(F59="","",F59+Inputs!$B$5/Inputs!$B$13*(Inputs!$C$13*(Inputs!$C$28*NGS_Bacteria_Input!$B$14-F59)+Inputs!$D$13*(F14-F59)+Inputs!$E$13*(Inputs!$D$28*NGS_Bacteria_Input!$C$14-F59)))</f>
        <v>0</v>
      </c>
      <c r="H59" s="21">
        <f>IF(G59="","",G59+Inputs!$B$5/Inputs!$B$13*(Inputs!$C$13*(Inputs!$C$28*NGS_Bacteria_Input!$B$14-G59)+Inputs!$D$13*(G14-G59)+Inputs!$E$13*(Inputs!$D$28*NGS_Bacteria_Input!$C$14-G59)))</f>
        <v>0</v>
      </c>
      <c r="I59" s="21">
        <f>IF(H59="","",H59+Inputs!$B$5/Inputs!$B$13*(Inputs!$C$13*(Inputs!$C$28*NGS_Bacteria_Input!$B$14-H59)+Inputs!$D$13*(H14-H59)+Inputs!$E$13*(Inputs!$D$28*NGS_Bacteria_Input!$C$14-H59)))</f>
        <v>0</v>
      </c>
      <c r="J59" s="21">
        <f>IF(I59="","",I59+Inputs!$B$5/Inputs!$B$13*(Inputs!$C$13*(Inputs!$C$28*NGS_Bacteria_Input!$B$14-I59)+Inputs!$D$13*(I14-I59)+Inputs!$E$13*(Inputs!$D$28*NGS_Bacteria_Input!$C$14-I59)))</f>
        <v>0</v>
      </c>
      <c r="K59" s="21">
        <f>IF(J59="","",J59+Inputs!$B$5/Inputs!$B$13*(Inputs!$C$13*(Inputs!$C$28*NGS_Bacteria_Input!$B$14-J59)+Inputs!$D$13*(J14-J59)+Inputs!$E$13*(Inputs!$D$28*NGS_Bacteria_Input!$C$14-J59)))</f>
        <v>0</v>
      </c>
      <c r="L59" s="21">
        <f>IF(K59="","",K59+Inputs!$B$5/Inputs!$B$13*(Inputs!$C$13*(Inputs!$C$28*NGS_Bacteria_Input!$B$14-K59)+Inputs!$D$13*(K14-K59)+Inputs!$E$13*(Inputs!$D$28*NGS_Bacteria_Input!$C$14-K59)))</f>
        <v>0</v>
      </c>
      <c r="M59" s="21">
        <f>IF(L59="","",L59+Inputs!$B$5/Inputs!$B$13*(Inputs!$C$13*(Inputs!$C$28*NGS_Bacteria_Input!$B$14-L59)+Inputs!$D$13*(L14-L59)+Inputs!$E$13*(Inputs!$D$28*NGS_Bacteria_Input!$C$14-L59)))</f>
        <v>0</v>
      </c>
      <c r="N59" s="21">
        <f>IF(M59="","",M59+Inputs!$B$5/Inputs!$B$13*(Inputs!$C$13*(Inputs!$C$28*NGS_Bacteria_Input!$B$14-M59)+Inputs!$D$13*(M14-M59)+Inputs!$E$13*(Inputs!$D$28*NGS_Bacteria_Input!$C$14-M59)))</f>
        <v>0</v>
      </c>
      <c r="O59" s="21">
        <f>IF(N59="","",N59+Inputs!$B$5/Inputs!$B$13*(Inputs!$C$13*(Inputs!$C$28*NGS_Bacteria_Input!$B$14-N59)+Inputs!$D$13*(N14-N59)+Inputs!$E$13*(Inputs!$D$28*NGS_Bacteria_Input!$C$14-N59)))</f>
        <v>0</v>
      </c>
      <c r="P59" s="21">
        <f>IF(O59="","",O59+Inputs!$B$5/Inputs!$B$13*(Inputs!$C$13*(Inputs!$C$28*NGS_Bacteria_Input!$B$14-O59)+Inputs!$D$13*(O14-O59)+Inputs!$E$13*(Inputs!$D$28*NGS_Bacteria_Input!$C$14-O59)))</f>
        <v>0</v>
      </c>
      <c r="Q59" s="21">
        <f>IF(P59="","",P59+Inputs!$B$5/Inputs!$B$13*(Inputs!$C$13*(Inputs!$C$28*NGS_Bacteria_Input!$B$14-P59)+Inputs!$D$13*(P14-P59)+Inputs!$E$13*(Inputs!$D$28*NGS_Bacteria_Input!$C$14-P59)))</f>
        <v>0</v>
      </c>
      <c r="R59" s="21">
        <f>IF(Q59="","",Q59+Inputs!$B$5/Inputs!$B$13*(Inputs!$C$13*(Inputs!$C$28*NGS_Bacteria_Input!$B$14-Q59)+Inputs!$D$13*(Q14-Q59)+Inputs!$E$13*(Inputs!$D$28*NGS_Bacteria_Input!$C$14-Q59)))</f>
        <v>0</v>
      </c>
      <c r="S59" s="21">
        <f>IF(R59="","",R59+Inputs!$B$5/Inputs!$B$13*(Inputs!$C$13*(Inputs!$C$28*NGS_Bacteria_Input!$B$14-R59)+Inputs!$D$13*(R14-R59)+Inputs!$E$13*(Inputs!$D$28*NGS_Bacteria_Input!$C$14-R59)))</f>
        <v>0</v>
      </c>
      <c r="T59" s="21">
        <f>IF(S59="","",S59+Inputs!$B$5/Inputs!$B$13*(Inputs!$C$13*(Inputs!$C$28*NGS_Bacteria_Input!$B$14-S59)+Inputs!$D$13*(S14-S59)+Inputs!$E$13*(Inputs!$D$28*NGS_Bacteria_Input!$C$14-S59)))</f>
        <v>0</v>
      </c>
      <c r="U59" s="21">
        <f>IF(T59="","",T59+Inputs!$B$5/Inputs!$B$13*(Inputs!$C$13*(Inputs!$C$28*NGS_Bacteria_Input!$B$14-T59)+Inputs!$D$13*(T14-T59)+Inputs!$E$13*(Inputs!$D$28*NGS_Bacteria_Input!$C$14-T59)))</f>
        <v>0</v>
      </c>
      <c r="V59" s="21">
        <f>IF(U59="","",U59+Inputs!$B$5/Inputs!$B$13*(Inputs!$C$13*(Inputs!$C$28*NGS_Bacteria_Input!$B$14-U59)+Inputs!$D$13*(U14-U59)+Inputs!$E$13*(Inputs!$D$28*NGS_Bacteria_Input!$C$14-U59)))</f>
        <v>0</v>
      </c>
      <c r="W59" s="21">
        <f>IF(V59="","",V59+Inputs!$B$5/Inputs!$B$13*(Inputs!$C$13*(Inputs!$C$28*NGS_Bacteria_Input!$B$14-V59)+Inputs!$D$13*(V14-V59)+Inputs!$E$13*(Inputs!$D$28*NGS_Bacteria_Input!$C$14-V59)))</f>
        <v>0</v>
      </c>
    </row>
    <row r="60" spans="1:23" ht="18" customHeight="1" x14ac:dyDescent="0.25">
      <c r="A60" s="11" t="str">
        <f>NGS_Bacteria_Input!A15</f>
        <v>Others</v>
      </c>
      <c r="B60" s="21">
        <f>IF(Inputs!$G$36="","",Inputs!$G$36*NGS_Bacteria_Input!$E$15)</f>
        <v>1954522.2981748674</v>
      </c>
      <c r="C60" s="21">
        <f>IF(B60="","",B60+Inputs!$B$5/Inputs!$B$13*(Inputs!$C$13*(Inputs!$C$28*NGS_Bacteria_Input!$B$15-B60)+Inputs!$D$13*(B15-B60)+Inputs!$E$13*(Inputs!$D$28*NGS_Bacteria_Input!$C$15-B60)))</f>
        <v>1889873.5111413919</v>
      </c>
      <c r="D60" s="21">
        <f>IF(C60="","",C60+Inputs!$B$5/Inputs!$B$13*(Inputs!$C$13*(Inputs!$C$28*NGS_Bacteria_Input!$B$15-C60)+Inputs!$D$13*(C15-C60)+Inputs!$E$13*(Inputs!$D$28*NGS_Bacteria_Input!$C$15-C60)))</f>
        <v>1827795.1357466877</v>
      </c>
      <c r="E60" s="21">
        <f>IF(D60="","",D60+Inputs!$B$5/Inputs!$B$13*(Inputs!$C$13*(Inputs!$C$28*NGS_Bacteria_Input!$B$15-D60)+Inputs!$D$13*(D15-D60)+Inputs!$E$13*(Inputs!$D$28*NGS_Bacteria_Input!$C$15-D60)))</f>
        <v>1768172.2161769769</v>
      </c>
      <c r="F60" s="21">
        <f>IF(E60="","",E60+Inputs!$B$5/Inputs!$B$13*(Inputs!$C$13*(Inputs!$C$28*NGS_Bacteria_Input!$B$15-E60)+Inputs!$D$13*(E15-E60)+Inputs!$E$13*(Inputs!$D$28*NGS_Bacteria_Input!$C$15-E60)))</f>
        <v>1710895.2788575187</v>
      </c>
      <c r="G60" s="21">
        <f>IF(F60="","",F60+Inputs!$B$5/Inputs!$B$13*(Inputs!$C$13*(Inputs!$C$28*NGS_Bacteria_Input!$B$15-F60)+Inputs!$D$13*(F15-F60)+Inputs!$E$13*(Inputs!$D$28*NGS_Bacteria_Input!$C$15-F60)))</f>
        <v>1655860.0628101421</v>
      </c>
      <c r="H60" s="21">
        <f>IF(G60="","",G60+Inputs!$B$5/Inputs!$B$13*(Inputs!$C$13*(Inputs!$C$28*NGS_Bacteria_Input!$B$15-G60)+Inputs!$D$13*(G15-G60)+Inputs!$E$13*(Inputs!$D$28*NGS_Bacteria_Input!$C$15-G60)))</f>
        <v>1602967.2634618552</v>
      </c>
      <c r="I60" s="21">
        <f>IF(H60="","",H60+Inputs!$B$5/Inputs!$B$13*(Inputs!$C$13*(Inputs!$C$28*NGS_Bacteria_Input!$B$15-H60)+Inputs!$D$13*(H15-H60)+Inputs!$E$13*(Inputs!$D$28*NGS_Bacteria_Input!$C$15-H60)))</f>
        <v>1552122.2892291141</v>
      </c>
      <c r="J60" s="21">
        <f>IF(I60="","",I60+Inputs!$B$5/Inputs!$B$13*(Inputs!$C$13*(Inputs!$C$28*NGS_Bacteria_Input!$B$15-I60)+Inputs!$D$13*(I15-I60)+Inputs!$E$13*(Inputs!$D$28*NGS_Bacteria_Input!$C$15-I60)))</f>
        <v>1503235.030236349</v>
      </c>
      <c r="K60" s="21">
        <f>IF(J60="","",J60+Inputs!$B$5/Inputs!$B$13*(Inputs!$C$13*(Inputs!$C$28*NGS_Bacteria_Input!$B$15-J60)+Inputs!$D$13*(J15-J60)+Inputs!$E$13*(Inputs!$D$28*NGS_Bacteria_Input!$C$15-J60)))</f>
        <v>1456219.6385596707</v>
      </c>
      <c r="L60" s="21">
        <f>IF(K60="","",K60+Inputs!$B$5/Inputs!$B$13*(Inputs!$C$13*(Inputs!$C$28*NGS_Bacteria_Input!$B$15-K60)+Inputs!$D$13*(K15-K60)+Inputs!$E$13*(Inputs!$D$28*NGS_Bacteria_Input!$C$15-K60)))</f>
        <v>1410994.3194173411</v>
      </c>
      <c r="M60" s="21">
        <f>IF(L60="","",L60+Inputs!$B$5/Inputs!$B$13*(Inputs!$C$13*(Inputs!$C$28*NGS_Bacteria_Input!$B$15-L60)+Inputs!$D$13*(L15-L60)+Inputs!$E$13*(Inputs!$D$28*NGS_Bacteria_Input!$C$15-L60)))</f>
        <v>1367481.1327577368</v>
      </c>
      <c r="N60" s="21">
        <f>IF(M60="","",M60+Inputs!$B$5/Inputs!$B$13*(Inputs!$C$13*(Inputs!$C$28*NGS_Bacteria_Input!$B$15-M60)+Inputs!$D$13*(M15-M60)+Inputs!$E$13*(Inputs!$D$28*NGS_Bacteria_Input!$C$15-M60)))</f>
        <v>1325605.8047231827</v>
      </c>
      <c r="O60" s="21">
        <f>IF(N60="","",N60+Inputs!$B$5/Inputs!$B$13*(Inputs!$C$13*(Inputs!$C$28*NGS_Bacteria_Input!$B$15-N60)+Inputs!$D$13*(N15-N60)+Inputs!$E$13*(Inputs!$D$28*NGS_Bacteria_Input!$C$15-N60)))</f>
        <v>1285297.5484943076</v>
      </c>
      <c r="P60" s="21">
        <f>IF(O60="","",O60+Inputs!$B$5/Inputs!$B$13*(Inputs!$C$13*(Inputs!$C$28*NGS_Bacteria_Input!$B$15-O60)+Inputs!$D$13*(O15-O60)+Inputs!$E$13*(Inputs!$D$28*NGS_Bacteria_Input!$C$15-O60)))</f>
        <v>1246488.8940445033</v>
      </c>
      <c r="Q60" s="21">
        <f>IF(P60="","",P60+Inputs!$B$5/Inputs!$B$13*(Inputs!$C$13*(Inputs!$C$28*NGS_Bacteria_Input!$B$15-P60)+Inputs!$D$13*(P15-P60)+Inputs!$E$13*(Inputs!$D$28*NGS_Bacteria_Input!$C$15-P60)))</f>
        <v>1209115.5263577576</v>
      </c>
      <c r="R60" s="21">
        <f>IF(Q60="","",Q60+Inputs!$B$5/Inputs!$B$13*(Inputs!$C$13*(Inputs!$C$28*NGS_Bacteria_Input!$B$15-Q60)+Inputs!$D$13*(Q15-Q60)+Inputs!$E$13*(Inputs!$D$28*NGS_Bacteria_Input!$C$15-Q60)))</f>
        <v>1173116.1316856134</v>
      </c>
      <c r="S60" s="21">
        <f>IF(R60="","",R60+Inputs!$B$5/Inputs!$B$13*(Inputs!$C$13*(Inputs!$C$28*NGS_Bacteria_Input!$B$15-R60)+Inputs!$D$13*(R15-R60)+Inputs!$E$13*(Inputs!$D$28*NGS_Bacteria_Input!$C$15-R60)))</f>
        <v>1138432.2514403604</v>
      </c>
      <c r="T60" s="21">
        <f>IF(S60="","",S60+Inputs!$B$5/Inputs!$B$13*(Inputs!$C$13*(Inputs!$C$28*NGS_Bacteria_Input!$B$15-S60)+Inputs!$D$13*(S15-S60)+Inputs!$E$13*(Inputs!$D$28*NGS_Bacteria_Input!$C$15-S60)))</f>
        <v>1105008.1433418388</v>
      </c>
      <c r="U60" s="21">
        <f>IF(T60="","",T60+Inputs!$B$5/Inputs!$B$13*(Inputs!$C$13*(Inputs!$C$28*NGS_Bacteria_Input!$B$15-T60)+Inputs!$D$13*(T15-T60)+Inputs!$E$13*(Inputs!$D$28*NGS_Bacteria_Input!$C$15-T60)))</f>
        <v>1072790.6494544917</v>
      </c>
      <c r="V60" s="21">
        <f>IF(U60="","",U60+Inputs!$B$5/Inputs!$B$13*(Inputs!$C$13*(Inputs!$C$28*NGS_Bacteria_Input!$B$15-U60)+Inputs!$D$13*(U15-U60)+Inputs!$E$13*(Inputs!$D$28*NGS_Bacteria_Input!$C$15-U60)))</f>
        <v>1041729.0707695766</v>
      </c>
      <c r="W60" s="21">
        <f>IF(V60="","",V60+Inputs!$B$5/Inputs!$B$13*(Inputs!$C$13*(Inputs!$C$28*NGS_Bacteria_Input!$B$15-V60)+Inputs!$D$13*(V15-V60)+Inputs!$E$13*(Inputs!$D$28*NGS_Bacteria_Input!$C$15-V60)))</f>
        <v>1011775.0480048158</v>
      </c>
    </row>
    <row r="61" spans="1:23" ht="18" customHeight="1" x14ac:dyDescent="0.25"/>
    <row r="62" spans="1:23" ht="18" customHeight="1" x14ac:dyDescent="0.25">
      <c r="A62" s="25" t="s">
        <v>162</v>
      </c>
    </row>
    <row r="63" spans="1:23" ht="18" customHeight="1" x14ac:dyDescent="0.25">
      <c r="A63" s="11" t="str">
        <f>NGS_Bacteria_Input!A5</f>
        <v>Bac_taxon_1</v>
      </c>
      <c r="B63" s="14">
        <f>IF(BAC_ARC_Daily!I5&lt;&gt;0,B50/BAC_ARC_Daily!I5,"")</f>
        <v>0</v>
      </c>
      <c r="C63" s="14">
        <f>IF(BAC_ARC_Daily!I6&lt;&gt;0,C50/BAC_ARC_Daily!I6,"")</f>
        <v>0</v>
      </c>
      <c r="D63" s="14">
        <f>IF(BAC_ARC_Daily!I7&lt;&gt;0,D50/BAC_ARC_Daily!I7,"")</f>
        <v>0</v>
      </c>
      <c r="E63" s="14">
        <f>IF(BAC_ARC_Daily!I8&lt;&gt;0,E50/BAC_ARC_Daily!I8,"")</f>
        <v>0</v>
      </c>
      <c r="F63" s="14">
        <f>IF(BAC_ARC_Daily!I9&lt;&gt;0,F50/BAC_ARC_Daily!I9,"")</f>
        <v>0</v>
      </c>
      <c r="G63" s="14">
        <f>IF(BAC_ARC_Daily!I10&lt;&gt;0,G50/BAC_ARC_Daily!I10,"")</f>
        <v>0</v>
      </c>
      <c r="H63" s="14">
        <f>IF(BAC_ARC_Daily!I11&lt;&gt;0,H50/BAC_ARC_Daily!I11,"")</f>
        <v>0</v>
      </c>
      <c r="I63" s="14">
        <f>IF(BAC_ARC_Daily!I12&lt;&gt;0,I50/BAC_ARC_Daily!I12,"")</f>
        <v>0</v>
      </c>
      <c r="J63" s="14">
        <f>IF(BAC_ARC_Daily!I13&lt;&gt;0,J50/BAC_ARC_Daily!I13,"")</f>
        <v>0</v>
      </c>
      <c r="K63" s="14">
        <f>IF(BAC_ARC_Daily!I14&lt;&gt;0,K50/BAC_ARC_Daily!I14,"")</f>
        <v>0</v>
      </c>
      <c r="L63" s="14">
        <f>IF(BAC_ARC_Daily!I15&lt;&gt;0,L50/BAC_ARC_Daily!I15,"")</f>
        <v>0</v>
      </c>
      <c r="M63" s="14">
        <f>IF(BAC_ARC_Daily!I16&lt;&gt;0,M50/BAC_ARC_Daily!I16,"")</f>
        <v>0</v>
      </c>
      <c r="N63" s="14">
        <f>IF(BAC_ARC_Daily!I17&lt;&gt;0,N50/BAC_ARC_Daily!I17,"")</f>
        <v>0</v>
      </c>
      <c r="O63" s="14">
        <f>IF(BAC_ARC_Daily!I18&lt;&gt;0,O50/BAC_ARC_Daily!I18,"")</f>
        <v>0</v>
      </c>
      <c r="P63" s="14">
        <f>IF(BAC_ARC_Daily!I19&lt;&gt;0,P50/BAC_ARC_Daily!I19,"")</f>
        <v>0</v>
      </c>
      <c r="Q63" s="14">
        <f>IF(BAC_ARC_Daily!I20&lt;&gt;0,Q50/BAC_ARC_Daily!I20,"")</f>
        <v>0</v>
      </c>
      <c r="R63" s="14">
        <f>IF(BAC_ARC_Daily!I21&lt;&gt;0,R50/BAC_ARC_Daily!I21,"")</f>
        <v>0</v>
      </c>
      <c r="S63" s="14">
        <f>IF(BAC_ARC_Daily!I22&lt;&gt;0,S50/BAC_ARC_Daily!I22,"")</f>
        <v>0</v>
      </c>
      <c r="T63" s="14">
        <f>IF(BAC_ARC_Daily!I23&lt;&gt;0,T50/BAC_ARC_Daily!I23,"")</f>
        <v>0</v>
      </c>
      <c r="U63" s="14">
        <f>IF(BAC_ARC_Daily!I24&lt;&gt;0,U50/BAC_ARC_Daily!I24,"")</f>
        <v>0</v>
      </c>
      <c r="V63" s="14">
        <f>IF(BAC_ARC_Daily!I25&lt;&gt;0,V50/BAC_ARC_Daily!I25,"")</f>
        <v>0</v>
      </c>
      <c r="W63" s="14">
        <f>IF(BAC_ARC_Daily!I26&lt;&gt;0,W50/BAC_ARC_Daily!I26,"")</f>
        <v>0</v>
      </c>
    </row>
    <row r="64" spans="1:23" ht="18" customHeight="1" x14ac:dyDescent="0.25">
      <c r="A64" s="11" t="str">
        <f>NGS_Bacteria_Input!A6</f>
        <v>Bac_taxon_2</v>
      </c>
      <c r="B64" s="14">
        <f>IF(BAC_ARC_Daily!I5&lt;&gt;0,B51/BAC_ARC_Daily!I5,"")</f>
        <v>0</v>
      </c>
      <c r="C64" s="14">
        <f>IF(BAC_ARC_Daily!I6&lt;&gt;0,C51/BAC_ARC_Daily!I6,"")</f>
        <v>0</v>
      </c>
      <c r="D64" s="14">
        <f>IF(BAC_ARC_Daily!I7&lt;&gt;0,D51/BAC_ARC_Daily!I7,"")</f>
        <v>0</v>
      </c>
      <c r="E64" s="14">
        <f>IF(BAC_ARC_Daily!I8&lt;&gt;0,E51/BAC_ARC_Daily!I8,"")</f>
        <v>0</v>
      </c>
      <c r="F64" s="14">
        <f>IF(BAC_ARC_Daily!I9&lt;&gt;0,F51/BAC_ARC_Daily!I9,"")</f>
        <v>0</v>
      </c>
      <c r="G64" s="14">
        <f>IF(BAC_ARC_Daily!I10&lt;&gt;0,G51/BAC_ARC_Daily!I10,"")</f>
        <v>0</v>
      </c>
      <c r="H64" s="14">
        <f>IF(BAC_ARC_Daily!I11&lt;&gt;0,H51/BAC_ARC_Daily!I11,"")</f>
        <v>0</v>
      </c>
      <c r="I64" s="14">
        <f>IF(BAC_ARC_Daily!I12&lt;&gt;0,I51/BAC_ARC_Daily!I12,"")</f>
        <v>0</v>
      </c>
      <c r="J64" s="14">
        <f>IF(BAC_ARC_Daily!I13&lt;&gt;0,J51/BAC_ARC_Daily!I13,"")</f>
        <v>0</v>
      </c>
      <c r="K64" s="14">
        <f>IF(BAC_ARC_Daily!I14&lt;&gt;0,K51/BAC_ARC_Daily!I14,"")</f>
        <v>0</v>
      </c>
      <c r="L64" s="14">
        <f>IF(BAC_ARC_Daily!I15&lt;&gt;0,L51/BAC_ARC_Daily!I15,"")</f>
        <v>0</v>
      </c>
      <c r="M64" s="14">
        <f>IF(BAC_ARC_Daily!I16&lt;&gt;0,M51/BAC_ARC_Daily!I16,"")</f>
        <v>0</v>
      </c>
      <c r="N64" s="14">
        <f>IF(BAC_ARC_Daily!I17&lt;&gt;0,N51/BAC_ARC_Daily!I17,"")</f>
        <v>0</v>
      </c>
      <c r="O64" s="14">
        <f>IF(BAC_ARC_Daily!I18&lt;&gt;0,O51/BAC_ARC_Daily!I18,"")</f>
        <v>0</v>
      </c>
      <c r="P64" s="14">
        <f>IF(BAC_ARC_Daily!I19&lt;&gt;0,P51/BAC_ARC_Daily!I19,"")</f>
        <v>0</v>
      </c>
      <c r="Q64" s="14">
        <f>IF(BAC_ARC_Daily!I20&lt;&gt;0,Q51/BAC_ARC_Daily!I20,"")</f>
        <v>0</v>
      </c>
      <c r="R64" s="14">
        <f>IF(BAC_ARC_Daily!I21&lt;&gt;0,R51/BAC_ARC_Daily!I21,"")</f>
        <v>0</v>
      </c>
      <c r="S64" s="14">
        <f>IF(BAC_ARC_Daily!I22&lt;&gt;0,S51/BAC_ARC_Daily!I22,"")</f>
        <v>0</v>
      </c>
      <c r="T64" s="14">
        <f>IF(BAC_ARC_Daily!I23&lt;&gt;0,T51/BAC_ARC_Daily!I23,"")</f>
        <v>0</v>
      </c>
      <c r="U64" s="14">
        <f>IF(BAC_ARC_Daily!I24&lt;&gt;0,U51/BAC_ARC_Daily!I24,"")</f>
        <v>0</v>
      </c>
      <c r="V64" s="14">
        <f>IF(BAC_ARC_Daily!I25&lt;&gt;0,V51/BAC_ARC_Daily!I25,"")</f>
        <v>0</v>
      </c>
      <c r="W64" s="14">
        <f>IF(BAC_ARC_Daily!I26&lt;&gt;0,W51/BAC_ARC_Daily!I26,"")</f>
        <v>0</v>
      </c>
    </row>
    <row r="65" spans="1:23" ht="18" customHeight="1" x14ac:dyDescent="0.25">
      <c r="A65" s="11" t="str">
        <f>NGS_Bacteria_Input!A7</f>
        <v>Bac_taxon_3</v>
      </c>
      <c r="B65" s="14">
        <f>IF(BAC_ARC_Daily!I5&lt;&gt;0,B52/BAC_ARC_Daily!I5,"")</f>
        <v>0</v>
      </c>
      <c r="C65" s="14">
        <f>IF(BAC_ARC_Daily!I6&lt;&gt;0,C52/BAC_ARC_Daily!I6,"")</f>
        <v>0</v>
      </c>
      <c r="D65" s="14">
        <f>IF(BAC_ARC_Daily!I7&lt;&gt;0,D52/BAC_ARC_Daily!I7,"")</f>
        <v>0</v>
      </c>
      <c r="E65" s="14">
        <f>IF(BAC_ARC_Daily!I8&lt;&gt;0,E52/BAC_ARC_Daily!I8,"")</f>
        <v>0</v>
      </c>
      <c r="F65" s="14">
        <f>IF(BAC_ARC_Daily!I9&lt;&gt;0,F52/BAC_ARC_Daily!I9,"")</f>
        <v>0</v>
      </c>
      <c r="G65" s="14">
        <f>IF(BAC_ARC_Daily!I10&lt;&gt;0,G52/BAC_ARC_Daily!I10,"")</f>
        <v>0</v>
      </c>
      <c r="H65" s="14">
        <f>IF(BAC_ARC_Daily!I11&lt;&gt;0,H52/BAC_ARC_Daily!I11,"")</f>
        <v>0</v>
      </c>
      <c r="I65" s="14">
        <f>IF(BAC_ARC_Daily!I12&lt;&gt;0,I52/BAC_ARC_Daily!I12,"")</f>
        <v>0</v>
      </c>
      <c r="J65" s="14">
        <f>IF(BAC_ARC_Daily!I13&lt;&gt;0,J52/BAC_ARC_Daily!I13,"")</f>
        <v>0</v>
      </c>
      <c r="K65" s="14">
        <f>IF(BAC_ARC_Daily!I14&lt;&gt;0,K52/BAC_ARC_Daily!I14,"")</f>
        <v>0</v>
      </c>
      <c r="L65" s="14">
        <f>IF(BAC_ARC_Daily!I15&lt;&gt;0,L52/BAC_ARC_Daily!I15,"")</f>
        <v>0</v>
      </c>
      <c r="M65" s="14">
        <f>IF(BAC_ARC_Daily!I16&lt;&gt;0,M52/BAC_ARC_Daily!I16,"")</f>
        <v>0</v>
      </c>
      <c r="N65" s="14">
        <f>IF(BAC_ARC_Daily!I17&lt;&gt;0,N52/BAC_ARC_Daily!I17,"")</f>
        <v>0</v>
      </c>
      <c r="O65" s="14">
        <f>IF(BAC_ARC_Daily!I18&lt;&gt;0,O52/BAC_ARC_Daily!I18,"")</f>
        <v>0</v>
      </c>
      <c r="P65" s="14">
        <f>IF(BAC_ARC_Daily!I19&lt;&gt;0,P52/BAC_ARC_Daily!I19,"")</f>
        <v>0</v>
      </c>
      <c r="Q65" s="14">
        <f>IF(BAC_ARC_Daily!I20&lt;&gt;0,Q52/BAC_ARC_Daily!I20,"")</f>
        <v>0</v>
      </c>
      <c r="R65" s="14">
        <f>IF(BAC_ARC_Daily!I21&lt;&gt;0,R52/BAC_ARC_Daily!I21,"")</f>
        <v>0</v>
      </c>
      <c r="S65" s="14">
        <f>IF(BAC_ARC_Daily!I22&lt;&gt;0,S52/BAC_ARC_Daily!I22,"")</f>
        <v>0</v>
      </c>
      <c r="T65" s="14">
        <f>IF(BAC_ARC_Daily!I23&lt;&gt;0,T52/BAC_ARC_Daily!I23,"")</f>
        <v>0</v>
      </c>
      <c r="U65" s="14">
        <f>IF(BAC_ARC_Daily!I24&lt;&gt;0,U52/BAC_ARC_Daily!I24,"")</f>
        <v>0</v>
      </c>
      <c r="V65" s="14">
        <f>IF(BAC_ARC_Daily!I25&lt;&gt;0,V52/BAC_ARC_Daily!I25,"")</f>
        <v>0</v>
      </c>
      <c r="W65" s="14">
        <f>IF(BAC_ARC_Daily!I26&lt;&gt;0,W52/BAC_ARC_Daily!I26,"")</f>
        <v>0</v>
      </c>
    </row>
    <row r="66" spans="1:23" ht="18" customHeight="1" x14ac:dyDescent="0.25">
      <c r="A66" s="11" t="str">
        <f>NGS_Bacteria_Input!A8</f>
        <v>Bac_taxon_4</v>
      </c>
      <c r="B66" s="14">
        <f>IF(BAC_ARC_Daily!I5&lt;&gt;0,B53/BAC_ARC_Daily!I5,"")</f>
        <v>0</v>
      </c>
      <c r="C66" s="14">
        <f>IF(BAC_ARC_Daily!I6&lt;&gt;0,C53/BAC_ARC_Daily!I6,"")</f>
        <v>0</v>
      </c>
      <c r="D66" s="14">
        <f>IF(BAC_ARC_Daily!I7&lt;&gt;0,D53/BAC_ARC_Daily!I7,"")</f>
        <v>0</v>
      </c>
      <c r="E66" s="14">
        <f>IF(BAC_ARC_Daily!I8&lt;&gt;0,E53/BAC_ARC_Daily!I8,"")</f>
        <v>0</v>
      </c>
      <c r="F66" s="14">
        <f>IF(BAC_ARC_Daily!I9&lt;&gt;0,F53/BAC_ARC_Daily!I9,"")</f>
        <v>0</v>
      </c>
      <c r="G66" s="14">
        <f>IF(BAC_ARC_Daily!I10&lt;&gt;0,G53/BAC_ARC_Daily!I10,"")</f>
        <v>0</v>
      </c>
      <c r="H66" s="14">
        <f>IF(BAC_ARC_Daily!I11&lt;&gt;0,H53/BAC_ARC_Daily!I11,"")</f>
        <v>0</v>
      </c>
      <c r="I66" s="14">
        <f>IF(BAC_ARC_Daily!I12&lt;&gt;0,I53/BAC_ARC_Daily!I12,"")</f>
        <v>0</v>
      </c>
      <c r="J66" s="14">
        <f>IF(BAC_ARC_Daily!I13&lt;&gt;0,J53/BAC_ARC_Daily!I13,"")</f>
        <v>0</v>
      </c>
      <c r="K66" s="14">
        <f>IF(BAC_ARC_Daily!I14&lt;&gt;0,K53/BAC_ARC_Daily!I14,"")</f>
        <v>0</v>
      </c>
      <c r="L66" s="14">
        <f>IF(BAC_ARC_Daily!I15&lt;&gt;0,L53/BAC_ARC_Daily!I15,"")</f>
        <v>0</v>
      </c>
      <c r="M66" s="14">
        <f>IF(BAC_ARC_Daily!I16&lt;&gt;0,M53/BAC_ARC_Daily!I16,"")</f>
        <v>0</v>
      </c>
      <c r="N66" s="14">
        <f>IF(BAC_ARC_Daily!I17&lt;&gt;0,N53/BAC_ARC_Daily!I17,"")</f>
        <v>0</v>
      </c>
      <c r="O66" s="14">
        <f>IF(BAC_ARC_Daily!I18&lt;&gt;0,O53/BAC_ARC_Daily!I18,"")</f>
        <v>0</v>
      </c>
      <c r="P66" s="14">
        <f>IF(BAC_ARC_Daily!I19&lt;&gt;0,P53/BAC_ARC_Daily!I19,"")</f>
        <v>0</v>
      </c>
      <c r="Q66" s="14">
        <f>IF(BAC_ARC_Daily!I20&lt;&gt;0,Q53/BAC_ARC_Daily!I20,"")</f>
        <v>0</v>
      </c>
      <c r="R66" s="14">
        <f>IF(BAC_ARC_Daily!I21&lt;&gt;0,R53/BAC_ARC_Daily!I21,"")</f>
        <v>0</v>
      </c>
      <c r="S66" s="14">
        <f>IF(BAC_ARC_Daily!I22&lt;&gt;0,S53/BAC_ARC_Daily!I22,"")</f>
        <v>0</v>
      </c>
      <c r="T66" s="14">
        <f>IF(BAC_ARC_Daily!I23&lt;&gt;0,T53/BAC_ARC_Daily!I23,"")</f>
        <v>0</v>
      </c>
      <c r="U66" s="14">
        <f>IF(BAC_ARC_Daily!I24&lt;&gt;0,U53/BAC_ARC_Daily!I24,"")</f>
        <v>0</v>
      </c>
      <c r="V66" s="14">
        <f>IF(BAC_ARC_Daily!I25&lt;&gt;0,V53/BAC_ARC_Daily!I25,"")</f>
        <v>0</v>
      </c>
      <c r="W66" s="14">
        <f>IF(BAC_ARC_Daily!I26&lt;&gt;0,W53/BAC_ARC_Daily!I26,"")</f>
        <v>0</v>
      </c>
    </row>
    <row r="67" spans="1:23" ht="18" customHeight="1" x14ac:dyDescent="0.25">
      <c r="A67" s="11" t="str">
        <f>NGS_Bacteria_Input!A9</f>
        <v>Bac_taxon_5</v>
      </c>
      <c r="B67" s="14">
        <f>IF(BAC_ARC_Daily!I5&lt;&gt;0,B54/BAC_ARC_Daily!I5,"")</f>
        <v>0</v>
      </c>
      <c r="C67" s="14">
        <f>IF(BAC_ARC_Daily!I6&lt;&gt;0,C54/BAC_ARC_Daily!I6,"")</f>
        <v>0</v>
      </c>
      <c r="D67" s="14">
        <f>IF(BAC_ARC_Daily!I7&lt;&gt;0,D54/BAC_ARC_Daily!I7,"")</f>
        <v>0</v>
      </c>
      <c r="E67" s="14">
        <f>IF(BAC_ARC_Daily!I8&lt;&gt;0,E54/BAC_ARC_Daily!I8,"")</f>
        <v>0</v>
      </c>
      <c r="F67" s="14">
        <f>IF(BAC_ARC_Daily!I9&lt;&gt;0,F54/BAC_ARC_Daily!I9,"")</f>
        <v>0</v>
      </c>
      <c r="G67" s="14">
        <f>IF(BAC_ARC_Daily!I10&lt;&gt;0,G54/BAC_ARC_Daily!I10,"")</f>
        <v>0</v>
      </c>
      <c r="H67" s="14">
        <f>IF(BAC_ARC_Daily!I11&lt;&gt;0,H54/BAC_ARC_Daily!I11,"")</f>
        <v>0</v>
      </c>
      <c r="I67" s="14">
        <f>IF(BAC_ARC_Daily!I12&lt;&gt;0,I54/BAC_ARC_Daily!I12,"")</f>
        <v>0</v>
      </c>
      <c r="J67" s="14">
        <f>IF(BAC_ARC_Daily!I13&lt;&gt;0,J54/BAC_ARC_Daily!I13,"")</f>
        <v>0</v>
      </c>
      <c r="K67" s="14">
        <f>IF(BAC_ARC_Daily!I14&lt;&gt;0,K54/BAC_ARC_Daily!I14,"")</f>
        <v>0</v>
      </c>
      <c r="L67" s="14">
        <f>IF(BAC_ARC_Daily!I15&lt;&gt;0,L54/BAC_ARC_Daily!I15,"")</f>
        <v>0</v>
      </c>
      <c r="M67" s="14">
        <f>IF(BAC_ARC_Daily!I16&lt;&gt;0,M54/BAC_ARC_Daily!I16,"")</f>
        <v>0</v>
      </c>
      <c r="N67" s="14">
        <f>IF(BAC_ARC_Daily!I17&lt;&gt;0,N54/BAC_ARC_Daily!I17,"")</f>
        <v>0</v>
      </c>
      <c r="O67" s="14">
        <f>IF(BAC_ARC_Daily!I18&lt;&gt;0,O54/BAC_ARC_Daily!I18,"")</f>
        <v>0</v>
      </c>
      <c r="P67" s="14">
        <f>IF(BAC_ARC_Daily!I19&lt;&gt;0,P54/BAC_ARC_Daily!I19,"")</f>
        <v>0</v>
      </c>
      <c r="Q67" s="14">
        <f>IF(BAC_ARC_Daily!I20&lt;&gt;0,Q54/BAC_ARC_Daily!I20,"")</f>
        <v>0</v>
      </c>
      <c r="R67" s="14">
        <f>IF(BAC_ARC_Daily!I21&lt;&gt;0,R54/BAC_ARC_Daily!I21,"")</f>
        <v>0</v>
      </c>
      <c r="S67" s="14">
        <f>IF(BAC_ARC_Daily!I22&lt;&gt;0,S54/BAC_ARC_Daily!I22,"")</f>
        <v>0</v>
      </c>
      <c r="T67" s="14">
        <f>IF(BAC_ARC_Daily!I23&lt;&gt;0,T54/BAC_ARC_Daily!I23,"")</f>
        <v>0</v>
      </c>
      <c r="U67" s="14">
        <f>IF(BAC_ARC_Daily!I24&lt;&gt;0,U54/BAC_ARC_Daily!I24,"")</f>
        <v>0</v>
      </c>
      <c r="V67" s="14">
        <f>IF(BAC_ARC_Daily!I25&lt;&gt;0,V54/BAC_ARC_Daily!I25,"")</f>
        <v>0</v>
      </c>
      <c r="W67" s="14">
        <f>IF(BAC_ARC_Daily!I26&lt;&gt;0,W54/BAC_ARC_Daily!I26,"")</f>
        <v>0</v>
      </c>
    </row>
    <row r="68" spans="1:23" ht="18" customHeight="1" x14ac:dyDescent="0.25">
      <c r="A68" s="11" t="str">
        <f>NGS_Bacteria_Input!A10</f>
        <v>Bac_taxon_6</v>
      </c>
      <c r="B68" s="14">
        <f>IF(BAC_ARC_Daily!I5&lt;&gt;0,B55/BAC_ARC_Daily!I5,"")</f>
        <v>0</v>
      </c>
      <c r="C68" s="14">
        <f>IF(BAC_ARC_Daily!I6&lt;&gt;0,C55/BAC_ARC_Daily!I6,"")</f>
        <v>0</v>
      </c>
      <c r="D68" s="14">
        <f>IF(BAC_ARC_Daily!I7&lt;&gt;0,D55/BAC_ARC_Daily!I7,"")</f>
        <v>0</v>
      </c>
      <c r="E68" s="14">
        <f>IF(BAC_ARC_Daily!I8&lt;&gt;0,E55/BAC_ARC_Daily!I8,"")</f>
        <v>0</v>
      </c>
      <c r="F68" s="14">
        <f>IF(BAC_ARC_Daily!I9&lt;&gt;0,F55/BAC_ARC_Daily!I9,"")</f>
        <v>0</v>
      </c>
      <c r="G68" s="14">
        <f>IF(BAC_ARC_Daily!I10&lt;&gt;0,G55/BAC_ARC_Daily!I10,"")</f>
        <v>0</v>
      </c>
      <c r="H68" s="14">
        <f>IF(BAC_ARC_Daily!I11&lt;&gt;0,H55/BAC_ARC_Daily!I11,"")</f>
        <v>0</v>
      </c>
      <c r="I68" s="14">
        <f>IF(BAC_ARC_Daily!I12&lt;&gt;0,I55/BAC_ARC_Daily!I12,"")</f>
        <v>0</v>
      </c>
      <c r="J68" s="14">
        <f>IF(BAC_ARC_Daily!I13&lt;&gt;0,J55/BAC_ARC_Daily!I13,"")</f>
        <v>0</v>
      </c>
      <c r="K68" s="14">
        <f>IF(BAC_ARC_Daily!I14&lt;&gt;0,K55/BAC_ARC_Daily!I14,"")</f>
        <v>0</v>
      </c>
      <c r="L68" s="14">
        <f>IF(BAC_ARC_Daily!I15&lt;&gt;0,L55/BAC_ARC_Daily!I15,"")</f>
        <v>0</v>
      </c>
      <c r="M68" s="14">
        <f>IF(BAC_ARC_Daily!I16&lt;&gt;0,M55/BAC_ARC_Daily!I16,"")</f>
        <v>0</v>
      </c>
      <c r="N68" s="14">
        <f>IF(BAC_ARC_Daily!I17&lt;&gt;0,N55/BAC_ARC_Daily!I17,"")</f>
        <v>0</v>
      </c>
      <c r="O68" s="14">
        <f>IF(BAC_ARC_Daily!I18&lt;&gt;0,O55/BAC_ARC_Daily!I18,"")</f>
        <v>0</v>
      </c>
      <c r="P68" s="14">
        <f>IF(BAC_ARC_Daily!I19&lt;&gt;0,P55/BAC_ARC_Daily!I19,"")</f>
        <v>0</v>
      </c>
      <c r="Q68" s="14">
        <f>IF(BAC_ARC_Daily!I20&lt;&gt;0,Q55/BAC_ARC_Daily!I20,"")</f>
        <v>0</v>
      </c>
      <c r="R68" s="14">
        <f>IF(BAC_ARC_Daily!I21&lt;&gt;0,R55/BAC_ARC_Daily!I21,"")</f>
        <v>0</v>
      </c>
      <c r="S68" s="14">
        <f>IF(BAC_ARC_Daily!I22&lt;&gt;0,S55/BAC_ARC_Daily!I22,"")</f>
        <v>0</v>
      </c>
      <c r="T68" s="14">
        <f>IF(BAC_ARC_Daily!I23&lt;&gt;0,T55/BAC_ARC_Daily!I23,"")</f>
        <v>0</v>
      </c>
      <c r="U68" s="14">
        <f>IF(BAC_ARC_Daily!I24&lt;&gt;0,U55/BAC_ARC_Daily!I24,"")</f>
        <v>0</v>
      </c>
      <c r="V68" s="14">
        <f>IF(BAC_ARC_Daily!I25&lt;&gt;0,V55/BAC_ARC_Daily!I25,"")</f>
        <v>0</v>
      </c>
      <c r="W68" s="14">
        <f>IF(BAC_ARC_Daily!I26&lt;&gt;0,W55/BAC_ARC_Daily!I26,"")</f>
        <v>0</v>
      </c>
    </row>
    <row r="69" spans="1:23" ht="18" customHeight="1" x14ac:dyDescent="0.25">
      <c r="A69" s="11" t="str">
        <f>NGS_Bacteria_Input!A11</f>
        <v>Bac_taxon_7</v>
      </c>
      <c r="B69" s="14">
        <f>IF(BAC_ARC_Daily!I5&lt;&gt;0,B56/BAC_ARC_Daily!I5,"")</f>
        <v>0</v>
      </c>
      <c r="C69" s="14">
        <f>IF(BAC_ARC_Daily!I6&lt;&gt;0,C56/BAC_ARC_Daily!I6,"")</f>
        <v>0</v>
      </c>
      <c r="D69" s="14">
        <f>IF(BAC_ARC_Daily!I7&lt;&gt;0,D56/BAC_ARC_Daily!I7,"")</f>
        <v>0</v>
      </c>
      <c r="E69" s="14">
        <f>IF(BAC_ARC_Daily!I8&lt;&gt;0,E56/BAC_ARC_Daily!I8,"")</f>
        <v>0</v>
      </c>
      <c r="F69" s="14">
        <f>IF(BAC_ARC_Daily!I9&lt;&gt;0,F56/BAC_ARC_Daily!I9,"")</f>
        <v>0</v>
      </c>
      <c r="G69" s="14">
        <f>IF(BAC_ARC_Daily!I10&lt;&gt;0,G56/BAC_ARC_Daily!I10,"")</f>
        <v>0</v>
      </c>
      <c r="H69" s="14">
        <f>IF(BAC_ARC_Daily!I11&lt;&gt;0,H56/BAC_ARC_Daily!I11,"")</f>
        <v>0</v>
      </c>
      <c r="I69" s="14">
        <f>IF(BAC_ARC_Daily!I12&lt;&gt;0,I56/BAC_ARC_Daily!I12,"")</f>
        <v>0</v>
      </c>
      <c r="J69" s="14">
        <f>IF(BAC_ARC_Daily!I13&lt;&gt;0,J56/BAC_ARC_Daily!I13,"")</f>
        <v>0</v>
      </c>
      <c r="K69" s="14">
        <f>IF(BAC_ARC_Daily!I14&lt;&gt;0,K56/BAC_ARC_Daily!I14,"")</f>
        <v>0</v>
      </c>
      <c r="L69" s="14">
        <f>IF(BAC_ARC_Daily!I15&lt;&gt;0,L56/BAC_ARC_Daily!I15,"")</f>
        <v>0</v>
      </c>
      <c r="M69" s="14">
        <f>IF(BAC_ARC_Daily!I16&lt;&gt;0,M56/BAC_ARC_Daily!I16,"")</f>
        <v>0</v>
      </c>
      <c r="N69" s="14">
        <f>IF(BAC_ARC_Daily!I17&lt;&gt;0,N56/BAC_ARC_Daily!I17,"")</f>
        <v>0</v>
      </c>
      <c r="O69" s="14">
        <f>IF(BAC_ARC_Daily!I18&lt;&gt;0,O56/BAC_ARC_Daily!I18,"")</f>
        <v>0</v>
      </c>
      <c r="P69" s="14">
        <f>IF(BAC_ARC_Daily!I19&lt;&gt;0,P56/BAC_ARC_Daily!I19,"")</f>
        <v>0</v>
      </c>
      <c r="Q69" s="14">
        <f>IF(BAC_ARC_Daily!I20&lt;&gt;0,Q56/BAC_ARC_Daily!I20,"")</f>
        <v>0</v>
      </c>
      <c r="R69" s="14">
        <f>IF(BAC_ARC_Daily!I21&lt;&gt;0,R56/BAC_ARC_Daily!I21,"")</f>
        <v>0</v>
      </c>
      <c r="S69" s="14">
        <f>IF(BAC_ARC_Daily!I22&lt;&gt;0,S56/BAC_ARC_Daily!I22,"")</f>
        <v>0</v>
      </c>
      <c r="T69" s="14">
        <f>IF(BAC_ARC_Daily!I23&lt;&gt;0,T56/BAC_ARC_Daily!I23,"")</f>
        <v>0</v>
      </c>
      <c r="U69" s="14">
        <f>IF(BAC_ARC_Daily!I24&lt;&gt;0,U56/BAC_ARC_Daily!I24,"")</f>
        <v>0</v>
      </c>
      <c r="V69" s="14">
        <f>IF(BAC_ARC_Daily!I25&lt;&gt;0,V56/BAC_ARC_Daily!I25,"")</f>
        <v>0</v>
      </c>
      <c r="W69" s="14">
        <f>IF(BAC_ARC_Daily!I26&lt;&gt;0,W56/BAC_ARC_Daily!I26,"")</f>
        <v>0</v>
      </c>
    </row>
    <row r="70" spans="1:23" ht="18" customHeight="1" x14ac:dyDescent="0.25">
      <c r="A70" s="11" t="str">
        <f>NGS_Bacteria_Input!A12</f>
        <v>Bac_taxon_8</v>
      </c>
      <c r="B70" s="14">
        <f>IF(BAC_ARC_Daily!I5&lt;&gt;0,B57/BAC_ARC_Daily!I5,"")</f>
        <v>0</v>
      </c>
      <c r="C70" s="14">
        <f>IF(BAC_ARC_Daily!I6&lt;&gt;0,C57/BAC_ARC_Daily!I6,"")</f>
        <v>0</v>
      </c>
      <c r="D70" s="14">
        <f>IF(BAC_ARC_Daily!I7&lt;&gt;0,D57/BAC_ARC_Daily!I7,"")</f>
        <v>0</v>
      </c>
      <c r="E70" s="14">
        <f>IF(BAC_ARC_Daily!I8&lt;&gt;0,E57/BAC_ARC_Daily!I8,"")</f>
        <v>0</v>
      </c>
      <c r="F70" s="14">
        <f>IF(BAC_ARC_Daily!I9&lt;&gt;0,F57/BAC_ARC_Daily!I9,"")</f>
        <v>0</v>
      </c>
      <c r="G70" s="14">
        <f>IF(BAC_ARC_Daily!I10&lt;&gt;0,G57/BAC_ARC_Daily!I10,"")</f>
        <v>0</v>
      </c>
      <c r="H70" s="14">
        <f>IF(BAC_ARC_Daily!I11&lt;&gt;0,H57/BAC_ARC_Daily!I11,"")</f>
        <v>0</v>
      </c>
      <c r="I70" s="14">
        <f>IF(BAC_ARC_Daily!I12&lt;&gt;0,I57/BAC_ARC_Daily!I12,"")</f>
        <v>0</v>
      </c>
      <c r="J70" s="14">
        <f>IF(BAC_ARC_Daily!I13&lt;&gt;0,J57/BAC_ARC_Daily!I13,"")</f>
        <v>0</v>
      </c>
      <c r="K70" s="14">
        <f>IF(BAC_ARC_Daily!I14&lt;&gt;0,K57/BAC_ARC_Daily!I14,"")</f>
        <v>0</v>
      </c>
      <c r="L70" s="14">
        <f>IF(BAC_ARC_Daily!I15&lt;&gt;0,L57/BAC_ARC_Daily!I15,"")</f>
        <v>0</v>
      </c>
      <c r="M70" s="14">
        <f>IF(BAC_ARC_Daily!I16&lt;&gt;0,M57/BAC_ARC_Daily!I16,"")</f>
        <v>0</v>
      </c>
      <c r="N70" s="14">
        <f>IF(BAC_ARC_Daily!I17&lt;&gt;0,N57/BAC_ARC_Daily!I17,"")</f>
        <v>0</v>
      </c>
      <c r="O70" s="14">
        <f>IF(BAC_ARC_Daily!I18&lt;&gt;0,O57/BAC_ARC_Daily!I18,"")</f>
        <v>0</v>
      </c>
      <c r="P70" s="14">
        <f>IF(BAC_ARC_Daily!I19&lt;&gt;0,P57/BAC_ARC_Daily!I19,"")</f>
        <v>0</v>
      </c>
      <c r="Q70" s="14">
        <f>IF(BAC_ARC_Daily!I20&lt;&gt;0,Q57/BAC_ARC_Daily!I20,"")</f>
        <v>0</v>
      </c>
      <c r="R70" s="14">
        <f>IF(BAC_ARC_Daily!I21&lt;&gt;0,R57/BAC_ARC_Daily!I21,"")</f>
        <v>0</v>
      </c>
      <c r="S70" s="14">
        <f>IF(BAC_ARC_Daily!I22&lt;&gt;0,S57/BAC_ARC_Daily!I22,"")</f>
        <v>0</v>
      </c>
      <c r="T70" s="14">
        <f>IF(BAC_ARC_Daily!I23&lt;&gt;0,T57/BAC_ARC_Daily!I23,"")</f>
        <v>0</v>
      </c>
      <c r="U70" s="14">
        <f>IF(BAC_ARC_Daily!I24&lt;&gt;0,U57/BAC_ARC_Daily!I24,"")</f>
        <v>0</v>
      </c>
      <c r="V70" s="14">
        <f>IF(BAC_ARC_Daily!I25&lt;&gt;0,V57/BAC_ARC_Daily!I25,"")</f>
        <v>0</v>
      </c>
      <c r="W70" s="14">
        <f>IF(BAC_ARC_Daily!I26&lt;&gt;0,W57/BAC_ARC_Daily!I26,"")</f>
        <v>0</v>
      </c>
    </row>
    <row r="71" spans="1:23" ht="18" customHeight="1" x14ac:dyDescent="0.25">
      <c r="A71" s="11" t="str">
        <f>NGS_Bacteria_Input!A13</f>
        <v>Bac_taxon_9</v>
      </c>
      <c r="B71" s="14">
        <f>IF(BAC_ARC_Daily!I5&lt;&gt;0,B58/BAC_ARC_Daily!I5,"")</f>
        <v>0</v>
      </c>
      <c r="C71" s="14">
        <f>IF(BAC_ARC_Daily!I6&lt;&gt;0,C58/BAC_ARC_Daily!I6,"")</f>
        <v>0</v>
      </c>
      <c r="D71" s="14">
        <f>IF(BAC_ARC_Daily!I7&lt;&gt;0,D58/BAC_ARC_Daily!I7,"")</f>
        <v>0</v>
      </c>
      <c r="E71" s="14">
        <f>IF(BAC_ARC_Daily!I8&lt;&gt;0,E58/BAC_ARC_Daily!I8,"")</f>
        <v>0</v>
      </c>
      <c r="F71" s="14">
        <f>IF(BAC_ARC_Daily!I9&lt;&gt;0,F58/BAC_ARC_Daily!I9,"")</f>
        <v>0</v>
      </c>
      <c r="G71" s="14">
        <f>IF(BAC_ARC_Daily!I10&lt;&gt;0,G58/BAC_ARC_Daily!I10,"")</f>
        <v>0</v>
      </c>
      <c r="H71" s="14">
        <f>IF(BAC_ARC_Daily!I11&lt;&gt;0,H58/BAC_ARC_Daily!I11,"")</f>
        <v>0</v>
      </c>
      <c r="I71" s="14">
        <f>IF(BAC_ARC_Daily!I12&lt;&gt;0,I58/BAC_ARC_Daily!I12,"")</f>
        <v>0</v>
      </c>
      <c r="J71" s="14">
        <f>IF(BAC_ARC_Daily!I13&lt;&gt;0,J58/BAC_ARC_Daily!I13,"")</f>
        <v>0</v>
      </c>
      <c r="K71" s="14">
        <f>IF(BAC_ARC_Daily!I14&lt;&gt;0,K58/BAC_ARC_Daily!I14,"")</f>
        <v>0</v>
      </c>
      <c r="L71" s="14">
        <f>IF(BAC_ARC_Daily!I15&lt;&gt;0,L58/BAC_ARC_Daily!I15,"")</f>
        <v>0</v>
      </c>
      <c r="M71" s="14">
        <f>IF(BAC_ARC_Daily!I16&lt;&gt;0,M58/BAC_ARC_Daily!I16,"")</f>
        <v>0</v>
      </c>
      <c r="N71" s="14">
        <f>IF(BAC_ARC_Daily!I17&lt;&gt;0,N58/BAC_ARC_Daily!I17,"")</f>
        <v>0</v>
      </c>
      <c r="O71" s="14">
        <f>IF(BAC_ARC_Daily!I18&lt;&gt;0,O58/BAC_ARC_Daily!I18,"")</f>
        <v>0</v>
      </c>
      <c r="P71" s="14">
        <f>IF(BAC_ARC_Daily!I19&lt;&gt;0,P58/BAC_ARC_Daily!I19,"")</f>
        <v>0</v>
      </c>
      <c r="Q71" s="14">
        <f>IF(BAC_ARC_Daily!I20&lt;&gt;0,Q58/BAC_ARC_Daily!I20,"")</f>
        <v>0</v>
      </c>
      <c r="R71" s="14">
        <f>IF(BAC_ARC_Daily!I21&lt;&gt;0,R58/BAC_ARC_Daily!I21,"")</f>
        <v>0</v>
      </c>
      <c r="S71" s="14">
        <f>IF(BAC_ARC_Daily!I22&lt;&gt;0,S58/BAC_ARC_Daily!I22,"")</f>
        <v>0</v>
      </c>
      <c r="T71" s="14">
        <f>IF(BAC_ARC_Daily!I23&lt;&gt;0,T58/BAC_ARC_Daily!I23,"")</f>
        <v>0</v>
      </c>
      <c r="U71" s="14">
        <f>IF(BAC_ARC_Daily!I24&lt;&gt;0,U58/BAC_ARC_Daily!I24,"")</f>
        <v>0</v>
      </c>
      <c r="V71" s="14">
        <f>IF(BAC_ARC_Daily!I25&lt;&gt;0,V58/BAC_ARC_Daily!I25,"")</f>
        <v>0</v>
      </c>
      <c r="W71" s="14">
        <f>IF(BAC_ARC_Daily!I26&lt;&gt;0,W58/BAC_ARC_Daily!I26,"")</f>
        <v>0</v>
      </c>
    </row>
    <row r="72" spans="1:23" ht="18" customHeight="1" x14ac:dyDescent="0.25">
      <c r="A72" s="11" t="str">
        <f>NGS_Bacteria_Input!A14</f>
        <v>Bac_taxon_10</v>
      </c>
      <c r="B72" s="14">
        <f>IF(BAC_ARC_Daily!I5&lt;&gt;0,B59/BAC_ARC_Daily!I5,"")</f>
        <v>0</v>
      </c>
      <c r="C72" s="14">
        <f>IF(BAC_ARC_Daily!I6&lt;&gt;0,C59/BAC_ARC_Daily!I6,"")</f>
        <v>0</v>
      </c>
      <c r="D72" s="14">
        <f>IF(BAC_ARC_Daily!I7&lt;&gt;0,D59/BAC_ARC_Daily!I7,"")</f>
        <v>0</v>
      </c>
      <c r="E72" s="14">
        <f>IF(BAC_ARC_Daily!I8&lt;&gt;0,E59/BAC_ARC_Daily!I8,"")</f>
        <v>0</v>
      </c>
      <c r="F72" s="14">
        <f>IF(BAC_ARC_Daily!I9&lt;&gt;0,F59/BAC_ARC_Daily!I9,"")</f>
        <v>0</v>
      </c>
      <c r="G72" s="14">
        <f>IF(BAC_ARC_Daily!I10&lt;&gt;0,G59/BAC_ARC_Daily!I10,"")</f>
        <v>0</v>
      </c>
      <c r="H72" s="14">
        <f>IF(BAC_ARC_Daily!I11&lt;&gt;0,H59/BAC_ARC_Daily!I11,"")</f>
        <v>0</v>
      </c>
      <c r="I72" s="14">
        <f>IF(BAC_ARC_Daily!I12&lt;&gt;0,I59/BAC_ARC_Daily!I12,"")</f>
        <v>0</v>
      </c>
      <c r="J72" s="14">
        <f>IF(BAC_ARC_Daily!I13&lt;&gt;0,J59/BAC_ARC_Daily!I13,"")</f>
        <v>0</v>
      </c>
      <c r="K72" s="14">
        <f>IF(BAC_ARC_Daily!I14&lt;&gt;0,K59/BAC_ARC_Daily!I14,"")</f>
        <v>0</v>
      </c>
      <c r="L72" s="14">
        <f>IF(BAC_ARC_Daily!I15&lt;&gt;0,L59/BAC_ARC_Daily!I15,"")</f>
        <v>0</v>
      </c>
      <c r="M72" s="14">
        <f>IF(BAC_ARC_Daily!I16&lt;&gt;0,M59/BAC_ARC_Daily!I16,"")</f>
        <v>0</v>
      </c>
      <c r="N72" s="14">
        <f>IF(BAC_ARC_Daily!I17&lt;&gt;0,N59/BAC_ARC_Daily!I17,"")</f>
        <v>0</v>
      </c>
      <c r="O72" s="14">
        <f>IF(BAC_ARC_Daily!I18&lt;&gt;0,O59/BAC_ARC_Daily!I18,"")</f>
        <v>0</v>
      </c>
      <c r="P72" s="14">
        <f>IF(BAC_ARC_Daily!I19&lt;&gt;0,P59/BAC_ARC_Daily!I19,"")</f>
        <v>0</v>
      </c>
      <c r="Q72" s="14">
        <f>IF(BAC_ARC_Daily!I20&lt;&gt;0,Q59/BAC_ARC_Daily!I20,"")</f>
        <v>0</v>
      </c>
      <c r="R72" s="14">
        <f>IF(BAC_ARC_Daily!I21&lt;&gt;0,R59/BAC_ARC_Daily!I21,"")</f>
        <v>0</v>
      </c>
      <c r="S72" s="14">
        <f>IF(BAC_ARC_Daily!I22&lt;&gt;0,S59/BAC_ARC_Daily!I22,"")</f>
        <v>0</v>
      </c>
      <c r="T72" s="14">
        <f>IF(BAC_ARC_Daily!I23&lt;&gt;0,T59/BAC_ARC_Daily!I23,"")</f>
        <v>0</v>
      </c>
      <c r="U72" s="14">
        <f>IF(BAC_ARC_Daily!I24&lt;&gt;0,U59/BAC_ARC_Daily!I24,"")</f>
        <v>0</v>
      </c>
      <c r="V72" s="14">
        <f>IF(BAC_ARC_Daily!I25&lt;&gt;0,V59/BAC_ARC_Daily!I25,"")</f>
        <v>0</v>
      </c>
      <c r="W72" s="14">
        <f>IF(BAC_ARC_Daily!I26&lt;&gt;0,W59/BAC_ARC_Daily!I26,"")</f>
        <v>0</v>
      </c>
    </row>
    <row r="73" spans="1:23" ht="18" customHeight="1" x14ac:dyDescent="0.25">
      <c r="A73" s="11" t="str">
        <f>NGS_Bacteria_Input!A15</f>
        <v>Others</v>
      </c>
      <c r="B73" s="14">
        <f>IF(BAC_ARC_Daily!I5&lt;&gt;0,B60/BAC_ARC_Daily!I5,"")</f>
        <v>1</v>
      </c>
      <c r="C73" s="14">
        <f>IF(BAC_ARC_Daily!I6&lt;&gt;0,C60/BAC_ARC_Daily!I6,"")</f>
        <v>1</v>
      </c>
      <c r="D73" s="14">
        <f>IF(BAC_ARC_Daily!I7&lt;&gt;0,D60/BAC_ARC_Daily!I7,"")</f>
        <v>1</v>
      </c>
      <c r="E73" s="14">
        <f>IF(BAC_ARC_Daily!I8&lt;&gt;0,E60/BAC_ARC_Daily!I8,"")</f>
        <v>1</v>
      </c>
      <c r="F73" s="14">
        <f>IF(BAC_ARC_Daily!I9&lt;&gt;0,F60/BAC_ARC_Daily!I9,"")</f>
        <v>1</v>
      </c>
      <c r="G73" s="14">
        <f>IF(BAC_ARC_Daily!I10&lt;&gt;0,G60/BAC_ARC_Daily!I10,"")</f>
        <v>1</v>
      </c>
      <c r="H73" s="14">
        <f>IF(BAC_ARC_Daily!I11&lt;&gt;0,H60/BAC_ARC_Daily!I11,"")</f>
        <v>1</v>
      </c>
      <c r="I73" s="14">
        <f>IF(BAC_ARC_Daily!I12&lt;&gt;0,I60/BAC_ARC_Daily!I12,"")</f>
        <v>1</v>
      </c>
      <c r="J73" s="14">
        <f>IF(BAC_ARC_Daily!I13&lt;&gt;0,J60/BAC_ARC_Daily!I13,"")</f>
        <v>1</v>
      </c>
      <c r="K73" s="14">
        <f>IF(BAC_ARC_Daily!I14&lt;&gt;0,K60/BAC_ARC_Daily!I14,"")</f>
        <v>1</v>
      </c>
      <c r="L73" s="14">
        <f>IF(BAC_ARC_Daily!I15&lt;&gt;0,L60/BAC_ARC_Daily!I15,"")</f>
        <v>1</v>
      </c>
      <c r="M73" s="14">
        <f>IF(BAC_ARC_Daily!I16&lt;&gt;0,M60/BAC_ARC_Daily!I16,"")</f>
        <v>1</v>
      </c>
      <c r="N73" s="14">
        <f>IF(BAC_ARC_Daily!I17&lt;&gt;0,N60/BAC_ARC_Daily!I17,"")</f>
        <v>1</v>
      </c>
      <c r="O73" s="14">
        <f>IF(BAC_ARC_Daily!I18&lt;&gt;0,O60/BAC_ARC_Daily!I18,"")</f>
        <v>1</v>
      </c>
      <c r="P73" s="14">
        <f>IF(BAC_ARC_Daily!I19&lt;&gt;0,P60/BAC_ARC_Daily!I19,"")</f>
        <v>1</v>
      </c>
      <c r="Q73" s="14">
        <f>IF(BAC_ARC_Daily!I20&lt;&gt;0,Q60/BAC_ARC_Daily!I20,"")</f>
        <v>1</v>
      </c>
      <c r="R73" s="14">
        <f>IF(BAC_ARC_Daily!I21&lt;&gt;0,R60/BAC_ARC_Daily!I21,"")</f>
        <v>1</v>
      </c>
      <c r="S73" s="14">
        <f>IF(BAC_ARC_Daily!I22&lt;&gt;0,S60/BAC_ARC_Daily!I22,"")</f>
        <v>1</v>
      </c>
      <c r="T73" s="14">
        <f>IF(BAC_ARC_Daily!I23&lt;&gt;0,T60/BAC_ARC_Daily!I23,"")</f>
        <v>1</v>
      </c>
      <c r="U73" s="14">
        <f>IF(BAC_ARC_Daily!I24&lt;&gt;0,U60/BAC_ARC_Daily!I24,"")</f>
        <v>1</v>
      </c>
      <c r="V73" s="14">
        <f>IF(BAC_ARC_Daily!I25&lt;&gt;0,V60/BAC_ARC_Daily!I25,"")</f>
        <v>1</v>
      </c>
      <c r="W73" s="14">
        <f>IF(BAC_ARC_Daily!I26&lt;&gt;0,W60/BAC_ARC_Daily!I26,"")</f>
        <v>1</v>
      </c>
    </row>
    <row r="74" spans="1:23" ht="18" customHeight="1" x14ac:dyDescent="0.25"/>
    <row r="75" spans="1:23" ht="18" customHeight="1" x14ac:dyDescent="0.25"/>
    <row r="76" spans="1:23" ht="18" customHeight="1" x14ac:dyDescent="0.25">
      <c r="A76" s="29" t="s">
        <v>52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 spans="1:23" ht="18" customHeight="1" x14ac:dyDescent="0.25">
      <c r="A77" s="25" t="s">
        <v>161</v>
      </c>
    </row>
    <row r="78" spans="1:23" ht="18" customHeight="1" x14ac:dyDescent="0.25">
      <c r="A78" s="11" t="str">
        <f>NGS_Bacteria_Input!A5</f>
        <v>Bac_taxon_1</v>
      </c>
      <c r="B78" s="21">
        <f>IF(Inputs!$G$37="","",Inputs!$G$37*NGS_Bacteria_Input!$F$5)</f>
        <v>0</v>
      </c>
      <c r="C78" s="21">
        <f>IF(B78="","",B78+Inputs!$B$5/Inputs!$B$14*(Inputs!$C$14*(Inputs!$C$28*NGS_Bacteria_Input!$B$5-B78)+Inputs!$D$14*(B5-B78)+Inputs!$E$14*(Inputs!$D$28*NGS_Bacteria_Input!$C$5-B78)))</f>
        <v>0</v>
      </c>
      <c r="D78" s="21">
        <f>IF(C78="","",C78+Inputs!$B$5/Inputs!$B$14*(Inputs!$C$14*(Inputs!$C$28*NGS_Bacteria_Input!$B$5-C78)+Inputs!$D$14*(C5-C78)+Inputs!$E$14*(Inputs!$D$28*NGS_Bacteria_Input!$C$5-C78)))</f>
        <v>0</v>
      </c>
      <c r="E78" s="21">
        <f>IF(D78="","",D78+Inputs!$B$5/Inputs!$B$14*(Inputs!$C$14*(Inputs!$C$28*NGS_Bacteria_Input!$B$5-D78)+Inputs!$D$14*(D5-D78)+Inputs!$E$14*(Inputs!$D$28*NGS_Bacteria_Input!$C$5-D78)))</f>
        <v>0</v>
      </c>
      <c r="F78" s="21">
        <f>IF(E78="","",E78+Inputs!$B$5/Inputs!$B$14*(Inputs!$C$14*(Inputs!$C$28*NGS_Bacteria_Input!$B$5-E78)+Inputs!$D$14*(E5-E78)+Inputs!$E$14*(Inputs!$D$28*NGS_Bacteria_Input!$C$5-E78)))</f>
        <v>0</v>
      </c>
      <c r="G78" s="21">
        <f>IF(F78="","",F78+Inputs!$B$5/Inputs!$B$14*(Inputs!$C$14*(Inputs!$C$28*NGS_Bacteria_Input!$B$5-F78)+Inputs!$D$14*(F5-F78)+Inputs!$E$14*(Inputs!$D$28*NGS_Bacteria_Input!$C$5-F78)))</f>
        <v>0</v>
      </c>
      <c r="H78" s="21">
        <f>IF(G78="","",G78+Inputs!$B$5/Inputs!$B$14*(Inputs!$C$14*(Inputs!$C$28*NGS_Bacteria_Input!$B$5-G78)+Inputs!$D$14*(G5-G78)+Inputs!$E$14*(Inputs!$D$28*NGS_Bacteria_Input!$C$5-G78)))</f>
        <v>0</v>
      </c>
      <c r="I78" s="21">
        <f>IF(H78="","",H78+Inputs!$B$5/Inputs!$B$14*(Inputs!$C$14*(Inputs!$C$28*NGS_Bacteria_Input!$B$5-H78)+Inputs!$D$14*(H5-H78)+Inputs!$E$14*(Inputs!$D$28*NGS_Bacteria_Input!$C$5-H78)))</f>
        <v>0</v>
      </c>
      <c r="J78" s="21">
        <f>IF(I78="","",I78+Inputs!$B$5/Inputs!$B$14*(Inputs!$C$14*(Inputs!$C$28*NGS_Bacteria_Input!$B$5-I78)+Inputs!$D$14*(I5-I78)+Inputs!$E$14*(Inputs!$D$28*NGS_Bacteria_Input!$C$5-I78)))</f>
        <v>0</v>
      </c>
      <c r="K78" s="21">
        <f>IF(J78="","",J78+Inputs!$B$5/Inputs!$B$14*(Inputs!$C$14*(Inputs!$C$28*NGS_Bacteria_Input!$B$5-J78)+Inputs!$D$14*(J5-J78)+Inputs!$E$14*(Inputs!$D$28*NGS_Bacteria_Input!$C$5-J78)))</f>
        <v>0</v>
      </c>
      <c r="L78" s="21">
        <f>IF(K78="","",K78+Inputs!$B$5/Inputs!$B$14*(Inputs!$C$14*(Inputs!$C$28*NGS_Bacteria_Input!$B$5-K78)+Inputs!$D$14*(K5-K78)+Inputs!$E$14*(Inputs!$D$28*NGS_Bacteria_Input!$C$5-K78)))</f>
        <v>0</v>
      </c>
      <c r="M78" s="21">
        <f>IF(L78="","",L78+Inputs!$B$5/Inputs!$B$14*(Inputs!$C$14*(Inputs!$C$28*NGS_Bacteria_Input!$B$5-L78)+Inputs!$D$14*(L5-L78)+Inputs!$E$14*(Inputs!$D$28*NGS_Bacteria_Input!$C$5-L78)))</f>
        <v>0</v>
      </c>
      <c r="N78" s="21">
        <f>IF(M78="","",M78+Inputs!$B$5/Inputs!$B$14*(Inputs!$C$14*(Inputs!$C$28*NGS_Bacteria_Input!$B$5-M78)+Inputs!$D$14*(M5-M78)+Inputs!$E$14*(Inputs!$D$28*NGS_Bacteria_Input!$C$5-M78)))</f>
        <v>0</v>
      </c>
      <c r="O78" s="21">
        <f>IF(N78="","",N78+Inputs!$B$5/Inputs!$B$14*(Inputs!$C$14*(Inputs!$C$28*NGS_Bacteria_Input!$B$5-N78)+Inputs!$D$14*(N5-N78)+Inputs!$E$14*(Inputs!$D$28*NGS_Bacteria_Input!$C$5-N78)))</f>
        <v>0</v>
      </c>
      <c r="P78" s="21">
        <f>IF(O78="","",O78+Inputs!$B$5/Inputs!$B$14*(Inputs!$C$14*(Inputs!$C$28*NGS_Bacteria_Input!$B$5-O78)+Inputs!$D$14*(O5-O78)+Inputs!$E$14*(Inputs!$D$28*NGS_Bacteria_Input!$C$5-O78)))</f>
        <v>0</v>
      </c>
      <c r="Q78" s="21">
        <f>IF(P78="","",P78+Inputs!$B$5/Inputs!$B$14*(Inputs!$C$14*(Inputs!$C$28*NGS_Bacteria_Input!$B$5-P78)+Inputs!$D$14*(P5-P78)+Inputs!$E$14*(Inputs!$D$28*NGS_Bacteria_Input!$C$5-P78)))</f>
        <v>0</v>
      </c>
      <c r="R78" s="21">
        <f>IF(Q78="","",Q78+Inputs!$B$5/Inputs!$B$14*(Inputs!$C$14*(Inputs!$C$28*NGS_Bacteria_Input!$B$5-Q78)+Inputs!$D$14*(Q5-Q78)+Inputs!$E$14*(Inputs!$D$28*NGS_Bacteria_Input!$C$5-Q78)))</f>
        <v>0</v>
      </c>
      <c r="S78" s="21">
        <f>IF(R78="","",R78+Inputs!$B$5/Inputs!$B$14*(Inputs!$C$14*(Inputs!$C$28*NGS_Bacteria_Input!$B$5-R78)+Inputs!$D$14*(R5-R78)+Inputs!$E$14*(Inputs!$D$28*NGS_Bacteria_Input!$C$5-R78)))</f>
        <v>0</v>
      </c>
      <c r="T78" s="21">
        <f>IF(S78="","",S78+Inputs!$B$5/Inputs!$B$14*(Inputs!$C$14*(Inputs!$C$28*NGS_Bacteria_Input!$B$5-S78)+Inputs!$D$14*(S5-S78)+Inputs!$E$14*(Inputs!$D$28*NGS_Bacteria_Input!$C$5-S78)))</f>
        <v>0</v>
      </c>
      <c r="U78" s="21">
        <f>IF(T78="","",T78+Inputs!$B$5/Inputs!$B$14*(Inputs!$C$14*(Inputs!$C$28*NGS_Bacteria_Input!$B$5-T78)+Inputs!$D$14*(T5-T78)+Inputs!$E$14*(Inputs!$D$28*NGS_Bacteria_Input!$C$5-T78)))</f>
        <v>0</v>
      </c>
      <c r="V78" s="21">
        <f>IF(U78="","",U78+Inputs!$B$5/Inputs!$B$14*(Inputs!$C$14*(Inputs!$C$28*NGS_Bacteria_Input!$B$5-U78)+Inputs!$D$14*(U5-U78)+Inputs!$E$14*(Inputs!$D$28*NGS_Bacteria_Input!$C$5-U78)))</f>
        <v>0</v>
      </c>
      <c r="W78" s="21">
        <f>IF(V78="","",V78+Inputs!$B$5/Inputs!$B$14*(Inputs!$C$14*(Inputs!$C$28*NGS_Bacteria_Input!$B$5-V78)+Inputs!$D$14*(V5-V78)+Inputs!$E$14*(Inputs!$D$28*NGS_Bacteria_Input!$C$5-V78)))</f>
        <v>0</v>
      </c>
    </row>
    <row r="79" spans="1:23" ht="18" customHeight="1" x14ac:dyDescent="0.25">
      <c r="A79" s="11" t="str">
        <f>NGS_Bacteria_Input!A6</f>
        <v>Bac_taxon_2</v>
      </c>
      <c r="B79" s="21">
        <f>IF(Inputs!$G$37="","",Inputs!$G$37*NGS_Bacteria_Input!$F$6)</f>
        <v>0</v>
      </c>
      <c r="C79" s="21">
        <f>IF(B79="","",B79+Inputs!$B$5/Inputs!$B$14*(Inputs!$C$14*(Inputs!$C$28*NGS_Bacteria_Input!$B$6-B79)+Inputs!$D$14*(B6-B79)+Inputs!$E$14*(Inputs!$D$28*NGS_Bacteria_Input!$C$6-B79)))</f>
        <v>0</v>
      </c>
      <c r="D79" s="21">
        <f>IF(C79="","",C79+Inputs!$B$5/Inputs!$B$14*(Inputs!$C$14*(Inputs!$C$28*NGS_Bacteria_Input!$B$6-C79)+Inputs!$D$14*(C6-C79)+Inputs!$E$14*(Inputs!$D$28*NGS_Bacteria_Input!$C$6-C79)))</f>
        <v>0</v>
      </c>
      <c r="E79" s="21">
        <f>IF(D79="","",D79+Inputs!$B$5/Inputs!$B$14*(Inputs!$C$14*(Inputs!$C$28*NGS_Bacteria_Input!$B$6-D79)+Inputs!$D$14*(D6-D79)+Inputs!$E$14*(Inputs!$D$28*NGS_Bacteria_Input!$C$6-D79)))</f>
        <v>0</v>
      </c>
      <c r="F79" s="21">
        <f>IF(E79="","",E79+Inputs!$B$5/Inputs!$B$14*(Inputs!$C$14*(Inputs!$C$28*NGS_Bacteria_Input!$B$6-E79)+Inputs!$D$14*(E6-E79)+Inputs!$E$14*(Inputs!$D$28*NGS_Bacteria_Input!$C$6-E79)))</f>
        <v>0</v>
      </c>
      <c r="G79" s="21">
        <f>IF(F79="","",F79+Inputs!$B$5/Inputs!$B$14*(Inputs!$C$14*(Inputs!$C$28*NGS_Bacteria_Input!$B$6-F79)+Inputs!$D$14*(F6-F79)+Inputs!$E$14*(Inputs!$D$28*NGS_Bacteria_Input!$C$6-F79)))</f>
        <v>0</v>
      </c>
      <c r="H79" s="21">
        <f>IF(G79="","",G79+Inputs!$B$5/Inputs!$B$14*(Inputs!$C$14*(Inputs!$C$28*NGS_Bacteria_Input!$B$6-G79)+Inputs!$D$14*(G6-G79)+Inputs!$E$14*(Inputs!$D$28*NGS_Bacteria_Input!$C$6-G79)))</f>
        <v>0</v>
      </c>
      <c r="I79" s="21">
        <f>IF(H79="","",H79+Inputs!$B$5/Inputs!$B$14*(Inputs!$C$14*(Inputs!$C$28*NGS_Bacteria_Input!$B$6-H79)+Inputs!$D$14*(H6-H79)+Inputs!$E$14*(Inputs!$D$28*NGS_Bacteria_Input!$C$6-H79)))</f>
        <v>0</v>
      </c>
      <c r="J79" s="21">
        <f>IF(I79="","",I79+Inputs!$B$5/Inputs!$B$14*(Inputs!$C$14*(Inputs!$C$28*NGS_Bacteria_Input!$B$6-I79)+Inputs!$D$14*(I6-I79)+Inputs!$E$14*(Inputs!$D$28*NGS_Bacteria_Input!$C$6-I79)))</f>
        <v>0</v>
      </c>
      <c r="K79" s="21">
        <f>IF(J79="","",J79+Inputs!$B$5/Inputs!$B$14*(Inputs!$C$14*(Inputs!$C$28*NGS_Bacteria_Input!$B$6-J79)+Inputs!$D$14*(J6-J79)+Inputs!$E$14*(Inputs!$D$28*NGS_Bacteria_Input!$C$6-J79)))</f>
        <v>0</v>
      </c>
      <c r="L79" s="21">
        <f>IF(K79="","",K79+Inputs!$B$5/Inputs!$B$14*(Inputs!$C$14*(Inputs!$C$28*NGS_Bacteria_Input!$B$6-K79)+Inputs!$D$14*(K6-K79)+Inputs!$E$14*(Inputs!$D$28*NGS_Bacteria_Input!$C$6-K79)))</f>
        <v>0</v>
      </c>
      <c r="M79" s="21">
        <f>IF(L79="","",L79+Inputs!$B$5/Inputs!$B$14*(Inputs!$C$14*(Inputs!$C$28*NGS_Bacteria_Input!$B$6-L79)+Inputs!$D$14*(L6-L79)+Inputs!$E$14*(Inputs!$D$28*NGS_Bacteria_Input!$C$6-L79)))</f>
        <v>0</v>
      </c>
      <c r="N79" s="21">
        <f>IF(M79="","",M79+Inputs!$B$5/Inputs!$B$14*(Inputs!$C$14*(Inputs!$C$28*NGS_Bacteria_Input!$B$6-M79)+Inputs!$D$14*(M6-M79)+Inputs!$E$14*(Inputs!$D$28*NGS_Bacteria_Input!$C$6-M79)))</f>
        <v>0</v>
      </c>
      <c r="O79" s="21">
        <f>IF(N79="","",N79+Inputs!$B$5/Inputs!$B$14*(Inputs!$C$14*(Inputs!$C$28*NGS_Bacteria_Input!$B$6-N79)+Inputs!$D$14*(N6-N79)+Inputs!$E$14*(Inputs!$D$28*NGS_Bacteria_Input!$C$6-N79)))</f>
        <v>0</v>
      </c>
      <c r="P79" s="21">
        <f>IF(O79="","",O79+Inputs!$B$5/Inputs!$B$14*(Inputs!$C$14*(Inputs!$C$28*NGS_Bacteria_Input!$B$6-O79)+Inputs!$D$14*(O6-O79)+Inputs!$E$14*(Inputs!$D$28*NGS_Bacteria_Input!$C$6-O79)))</f>
        <v>0</v>
      </c>
      <c r="Q79" s="21">
        <f>IF(P79="","",P79+Inputs!$B$5/Inputs!$B$14*(Inputs!$C$14*(Inputs!$C$28*NGS_Bacteria_Input!$B$6-P79)+Inputs!$D$14*(P6-P79)+Inputs!$E$14*(Inputs!$D$28*NGS_Bacteria_Input!$C$6-P79)))</f>
        <v>0</v>
      </c>
      <c r="R79" s="21">
        <f>IF(Q79="","",Q79+Inputs!$B$5/Inputs!$B$14*(Inputs!$C$14*(Inputs!$C$28*NGS_Bacteria_Input!$B$6-Q79)+Inputs!$D$14*(Q6-Q79)+Inputs!$E$14*(Inputs!$D$28*NGS_Bacteria_Input!$C$6-Q79)))</f>
        <v>0</v>
      </c>
      <c r="S79" s="21">
        <f>IF(R79="","",R79+Inputs!$B$5/Inputs!$B$14*(Inputs!$C$14*(Inputs!$C$28*NGS_Bacteria_Input!$B$6-R79)+Inputs!$D$14*(R6-R79)+Inputs!$E$14*(Inputs!$D$28*NGS_Bacteria_Input!$C$6-R79)))</f>
        <v>0</v>
      </c>
      <c r="T79" s="21">
        <f>IF(S79="","",S79+Inputs!$B$5/Inputs!$B$14*(Inputs!$C$14*(Inputs!$C$28*NGS_Bacteria_Input!$B$6-S79)+Inputs!$D$14*(S6-S79)+Inputs!$E$14*(Inputs!$D$28*NGS_Bacteria_Input!$C$6-S79)))</f>
        <v>0</v>
      </c>
      <c r="U79" s="21">
        <f>IF(T79="","",T79+Inputs!$B$5/Inputs!$B$14*(Inputs!$C$14*(Inputs!$C$28*NGS_Bacteria_Input!$B$6-T79)+Inputs!$D$14*(T6-T79)+Inputs!$E$14*(Inputs!$D$28*NGS_Bacteria_Input!$C$6-T79)))</f>
        <v>0</v>
      </c>
      <c r="V79" s="21">
        <f>IF(U79="","",U79+Inputs!$B$5/Inputs!$B$14*(Inputs!$C$14*(Inputs!$C$28*NGS_Bacteria_Input!$B$6-U79)+Inputs!$D$14*(U6-U79)+Inputs!$E$14*(Inputs!$D$28*NGS_Bacteria_Input!$C$6-U79)))</f>
        <v>0</v>
      </c>
      <c r="W79" s="21">
        <f>IF(V79="","",V79+Inputs!$B$5/Inputs!$B$14*(Inputs!$C$14*(Inputs!$C$28*NGS_Bacteria_Input!$B$6-V79)+Inputs!$D$14*(V6-V79)+Inputs!$E$14*(Inputs!$D$28*NGS_Bacteria_Input!$C$6-V79)))</f>
        <v>0</v>
      </c>
    </row>
    <row r="80" spans="1:23" ht="18" customHeight="1" x14ac:dyDescent="0.25">
      <c r="A80" s="11" t="str">
        <f>NGS_Bacteria_Input!A7</f>
        <v>Bac_taxon_3</v>
      </c>
      <c r="B80" s="21">
        <f>IF(Inputs!$G$37="","",Inputs!$G$37*NGS_Bacteria_Input!$F$7)</f>
        <v>0</v>
      </c>
      <c r="C80" s="21">
        <f>IF(B80="","",B80+Inputs!$B$5/Inputs!$B$14*(Inputs!$C$14*(Inputs!$C$28*NGS_Bacteria_Input!$B$7-B80)+Inputs!$D$14*(B7-B80)+Inputs!$E$14*(Inputs!$D$28*NGS_Bacteria_Input!$C$7-B80)))</f>
        <v>0</v>
      </c>
      <c r="D80" s="21">
        <f>IF(C80="","",C80+Inputs!$B$5/Inputs!$B$14*(Inputs!$C$14*(Inputs!$C$28*NGS_Bacteria_Input!$B$7-C80)+Inputs!$D$14*(C7-C80)+Inputs!$E$14*(Inputs!$D$28*NGS_Bacteria_Input!$C$7-C80)))</f>
        <v>0</v>
      </c>
      <c r="E80" s="21">
        <f>IF(D80="","",D80+Inputs!$B$5/Inputs!$B$14*(Inputs!$C$14*(Inputs!$C$28*NGS_Bacteria_Input!$B$7-D80)+Inputs!$D$14*(D7-D80)+Inputs!$E$14*(Inputs!$D$28*NGS_Bacteria_Input!$C$7-D80)))</f>
        <v>0</v>
      </c>
      <c r="F80" s="21">
        <f>IF(E80="","",E80+Inputs!$B$5/Inputs!$B$14*(Inputs!$C$14*(Inputs!$C$28*NGS_Bacteria_Input!$B$7-E80)+Inputs!$D$14*(E7-E80)+Inputs!$E$14*(Inputs!$D$28*NGS_Bacteria_Input!$C$7-E80)))</f>
        <v>0</v>
      </c>
      <c r="G80" s="21">
        <f>IF(F80="","",F80+Inputs!$B$5/Inputs!$B$14*(Inputs!$C$14*(Inputs!$C$28*NGS_Bacteria_Input!$B$7-F80)+Inputs!$D$14*(F7-F80)+Inputs!$E$14*(Inputs!$D$28*NGS_Bacteria_Input!$C$7-F80)))</f>
        <v>0</v>
      </c>
      <c r="H80" s="21">
        <f>IF(G80="","",G80+Inputs!$B$5/Inputs!$B$14*(Inputs!$C$14*(Inputs!$C$28*NGS_Bacteria_Input!$B$7-G80)+Inputs!$D$14*(G7-G80)+Inputs!$E$14*(Inputs!$D$28*NGS_Bacteria_Input!$C$7-G80)))</f>
        <v>0</v>
      </c>
      <c r="I80" s="21">
        <f>IF(H80="","",H80+Inputs!$B$5/Inputs!$B$14*(Inputs!$C$14*(Inputs!$C$28*NGS_Bacteria_Input!$B$7-H80)+Inputs!$D$14*(H7-H80)+Inputs!$E$14*(Inputs!$D$28*NGS_Bacteria_Input!$C$7-H80)))</f>
        <v>0</v>
      </c>
      <c r="J80" s="21">
        <f>IF(I80="","",I80+Inputs!$B$5/Inputs!$B$14*(Inputs!$C$14*(Inputs!$C$28*NGS_Bacteria_Input!$B$7-I80)+Inputs!$D$14*(I7-I80)+Inputs!$E$14*(Inputs!$D$28*NGS_Bacteria_Input!$C$7-I80)))</f>
        <v>0</v>
      </c>
      <c r="K80" s="21">
        <f>IF(J80="","",J80+Inputs!$B$5/Inputs!$B$14*(Inputs!$C$14*(Inputs!$C$28*NGS_Bacteria_Input!$B$7-J80)+Inputs!$D$14*(J7-J80)+Inputs!$E$14*(Inputs!$D$28*NGS_Bacteria_Input!$C$7-J80)))</f>
        <v>0</v>
      </c>
      <c r="L80" s="21">
        <f>IF(K80="","",K80+Inputs!$B$5/Inputs!$B$14*(Inputs!$C$14*(Inputs!$C$28*NGS_Bacteria_Input!$B$7-K80)+Inputs!$D$14*(K7-K80)+Inputs!$E$14*(Inputs!$D$28*NGS_Bacteria_Input!$C$7-K80)))</f>
        <v>0</v>
      </c>
      <c r="M80" s="21">
        <f>IF(L80="","",L80+Inputs!$B$5/Inputs!$B$14*(Inputs!$C$14*(Inputs!$C$28*NGS_Bacteria_Input!$B$7-L80)+Inputs!$D$14*(L7-L80)+Inputs!$E$14*(Inputs!$D$28*NGS_Bacteria_Input!$C$7-L80)))</f>
        <v>0</v>
      </c>
      <c r="N80" s="21">
        <f>IF(M80="","",M80+Inputs!$B$5/Inputs!$B$14*(Inputs!$C$14*(Inputs!$C$28*NGS_Bacteria_Input!$B$7-M80)+Inputs!$D$14*(M7-M80)+Inputs!$E$14*(Inputs!$D$28*NGS_Bacteria_Input!$C$7-M80)))</f>
        <v>0</v>
      </c>
      <c r="O80" s="21">
        <f>IF(N80="","",N80+Inputs!$B$5/Inputs!$B$14*(Inputs!$C$14*(Inputs!$C$28*NGS_Bacteria_Input!$B$7-N80)+Inputs!$D$14*(N7-N80)+Inputs!$E$14*(Inputs!$D$28*NGS_Bacteria_Input!$C$7-N80)))</f>
        <v>0</v>
      </c>
      <c r="P80" s="21">
        <f>IF(O80="","",O80+Inputs!$B$5/Inputs!$B$14*(Inputs!$C$14*(Inputs!$C$28*NGS_Bacteria_Input!$B$7-O80)+Inputs!$D$14*(O7-O80)+Inputs!$E$14*(Inputs!$D$28*NGS_Bacteria_Input!$C$7-O80)))</f>
        <v>0</v>
      </c>
      <c r="Q80" s="21">
        <f>IF(P80="","",P80+Inputs!$B$5/Inputs!$B$14*(Inputs!$C$14*(Inputs!$C$28*NGS_Bacteria_Input!$B$7-P80)+Inputs!$D$14*(P7-P80)+Inputs!$E$14*(Inputs!$D$28*NGS_Bacteria_Input!$C$7-P80)))</f>
        <v>0</v>
      </c>
      <c r="R80" s="21">
        <f>IF(Q80="","",Q80+Inputs!$B$5/Inputs!$B$14*(Inputs!$C$14*(Inputs!$C$28*NGS_Bacteria_Input!$B$7-Q80)+Inputs!$D$14*(Q7-Q80)+Inputs!$E$14*(Inputs!$D$28*NGS_Bacteria_Input!$C$7-Q80)))</f>
        <v>0</v>
      </c>
      <c r="S80" s="21">
        <f>IF(R80="","",R80+Inputs!$B$5/Inputs!$B$14*(Inputs!$C$14*(Inputs!$C$28*NGS_Bacteria_Input!$B$7-R80)+Inputs!$D$14*(R7-R80)+Inputs!$E$14*(Inputs!$D$28*NGS_Bacteria_Input!$C$7-R80)))</f>
        <v>0</v>
      </c>
      <c r="T80" s="21">
        <f>IF(S80="","",S80+Inputs!$B$5/Inputs!$B$14*(Inputs!$C$14*(Inputs!$C$28*NGS_Bacteria_Input!$B$7-S80)+Inputs!$D$14*(S7-S80)+Inputs!$E$14*(Inputs!$D$28*NGS_Bacteria_Input!$C$7-S80)))</f>
        <v>0</v>
      </c>
      <c r="U80" s="21">
        <f>IF(T80="","",T80+Inputs!$B$5/Inputs!$B$14*(Inputs!$C$14*(Inputs!$C$28*NGS_Bacteria_Input!$B$7-T80)+Inputs!$D$14*(T7-T80)+Inputs!$E$14*(Inputs!$D$28*NGS_Bacteria_Input!$C$7-T80)))</f>
        <v>0</v>
      </c>
      <c r="V80" s="21">
        <f>IF(U80="","",U80+Inputs!$B$5/Inputs!$B$14*(Inputs!$C$14*(Inputs!$C$28*NGS_Bacteria_Input!$B$7-U80)+Inputs!$D$14*(U7-U80)+Inputs!$E$14*(Inputs!$D$28*NGS_Bacteria_Input!$C$7-U80)))</f>
        <v>0</v>
      </c>
      <c r="W80" s="21">
        <f>IF(V80="","",V80+Inputs!$B$5/Inputs!$B$14*(Inputs!$C$14*(Inputs!$C$28*NGS_Bacteria_Input!$B$7-V80)+Inputs!$D$14*(V7-V80)+Inputs!$E$14*(Inputs!$D$28*NGS_Bacteria_Input!$C$7-V80)))</f>
        <v>0</v>
      </c>
    </row>
    <row r="81" spans="1:23" ht="18" customHeight="1" x14ac:dyDescent="0.25">
      <c r="A81" s="11" t="str">
        <f>NGS_Bacteria_Input!A8</f>
        <v>Bac_taxon_4</v>
      </c>
      <c r="B81" s="21">
        <f>IF(Inputs!$G$37="","",Inputs!$G$37*NGS_Bacteria_Input!$F$8)</f>
        <v>0</v>
      </c>
      <c r="C81" s="21">
        <f>IF(B81="","",B81+Inputs!$B$5/Inputs!$B$14*(Inputs!$C$14*(Inputs!$C$28*NGS_Bacteria_Input!$B$8-B81)+Inputs!$D$14*(B8-B81)+Inputs!$E$14*(Inputs!$D$28*NGS_Bacteria_Input!$C$8-B81)))</f>
        <v>0</v>
      </c>
      <c r="D81" s="21">
        <f>IF(C81="","",C81+Inputs!$B$5/Inputs!$B$14*(Inputs!$C$14*(Inputs!$C$28*NGS_Bacteria_Input!$B$8-C81)+Inputs!$D$14*(C8-C81)+Inputs!$E$14*(Inputs!$D$28*NGS_Bacteria_Input!$C$8-C81)))</f>
        <v>0</v>
      </c>
      <c r="E81" s="21">
        <f>IF(D81="","",D81+Inputs!$B$5/Inputs!$B$14*(Inputs!$C$14*(Inputs!$C$28*NGS_Bacteria_Input!$B$8-D81)+Inputs!$D$14*(D8-D81)+Inputs!$E$14*(Inputs!$D$28*NGS_Bacteria_Input!$C$8-D81)))</f>
        <v>0</v>
      </c>
      <c r="F81" s="21">
        <f>IF(E81="","",E81+Inputs!$B$5/Inputs!$B$14*(Inputs!$C$14*(Inputs!$C$28*NGS_Bacteria_Input!$B$8-E81)+Inputs!$D$14*(E8-E81)+Inputs!$E$14*(Inputs!$D$28*NGS_Bacteria_Input!$C$8-E81)))</f>
        <v>0</v>
      </c>
      <c r="G81" s="21">
        <f>IF(F81="","",F81+Inputs!$B$5/Inputs!$B$14*(Inputs!$C$14*(Inputs!$C$28*NGS_Bacteria_Input!$B$8-F81)+Inputs!$D$14*(F8-F81)+Inputs!$E$14*(Inputs!$D$28*NGS_Bacteria_Input!$C$8-F81)))</f>
        <v>0</v>
      </c>
      <c r="H81" s="21">
        <f>IF(G81="","",G81+Inputs!$B$5/Inputs!$B$14*(Inputs!$C$14*(Inputs!$C$28*NGS_Bacteria_Input!$B$8-G81)+Inputs!$D$14*(G8-G81)+Inputs!$E$14*(Inputs!$D$28*NGS_Bacteria_Input!$C$8-G81)))</f>
        <v>0</v>
      </c>
      <c r="I81" s="21">
        <f>IF(H81="","",H81+Inputs!$B$5/Inputs!$B$14*(Inputs!$C$14*(Inputs!$C$28*NGS_Bacteria_Input!$B$8-H81)+Inputs!$D$14*(H8-H81)+Inputs!$E$14*(Inputs!$D$28*NGS_Bacteria_Input!$C$8-H81)))</f>
        <v>0</v>
      </c>
      <c r="J81" s="21">
        <f>IF(I81="","",I81+Inputs!$B$5/Inputs!$B$14*(Inputs!$C$14*(Inputs!$C$28*NGS_Bacteria_Input!$B$8-I81)+Inputs!$D$14*(I8-I81)+Inputs!$E$14*(Inputs!$D$28*NGS_Bacteria_Input!$C$8-I81)))</f>
        <v>0</v>
      </c>
      <c r="K81" s="21">
        <f>IF(J81="","",J81+Inputs!$B$5/Inputs!$B$14*(Inputs!$C$14*(Inputs!$C$28*NGS_Bacteria_Input!$B$8-J81)+Inputs!$D$14*(J8-J81)+Inputs!$E$14*(Inputs!$D$28*NGS_Bacteria_Input!$C$8-J81)))</f>
        <v>0</v>
      </c>
      <c r="L81" s="21">
        <f>IF(K81="","",K81+Inputs!$B$5/Inputs!$B$14*(Inputs!$C$14*(Inputs!$C$28*NGS_Bacteria_Input!$B$8-K81)+Inputs!$D$14*(K8-K81)+Inputs!$E$14*(Inputs!$D$28*NGS_Bacteria_Input!$C$8-K81)))</f>
        <v>0</v>
      </c>
      <c r="M81" s="21">
        <f>IF(L81="","",L81+Inputs!$B$5/Inputs!$B$14*(Inputs!$C$14*(Inputs!$C$28*NGS_Bacteria_Input!$B$8-L81)+Inputs!$D$14*(L8-L81)+Inputs!$E$14*(Inputs!$D$28*NGS_Bacteria_Input!$C$8-L81)))</f>
        <v>0</v>
      </c>
      <c r="N81" s="21">
        <f>IF(M81="","",M81+Inputs!$B$5/Inputs!$B$14*(Inputs!$C$14*(Inputs!$C$28*NGS_Bacteria_Input!$B$8-M81)+Inputs!$D$14*(M8-M81)+Inputs!$E$14*(Inputs!$D$28*NGS_Bacteria_Input!$C$8-M81)))</f>
        <v>0</v>
      </c>
      <c r="O81" s="21">
        <f>IF(N81="","",N81+Inputs!$B$5/Inputs!$B$14*(Inputs!$C$14*(Inputs!$C$28*NGS_Bacteria_Input!$B$8-N81)+Inputs!$D$14*(N8-N81)+Inputs!$E$14*(Inputs!$D$28*NGS_Bacteria_Input!$C$8-N81)))</f>
        <v>0</v>
      </c>
      <c r="P81" s="21">
        <f>IF(O81="","",O81+Inputs!$B$5/Inputs!$B$14*(Inputs!$C$14*(Inputs!$C$28*NGS_Bacteria_Input!$B$8-O81)+Inputs!$D$14*(O8-O81)+Inputs!$E$14*(Inputs!$D$28*NGS_Bacteria_Input!$C$8-O81)))</f>
        <v>0</v>
      </c>
      <c r="Q81" s="21">
        <f>IF(P81="","",P81+Inputs!$B$5/Inputs!$B$14*(Inputs!$C$14*(Inputs!$C$28*NGS_Bacteria_Input!$B$8-P81)+Inputs!$D$14*(P8-P81)+Inputs!$E$14*(Inputs!$D$28*NGS_Bacteria_Input!$C$8-P81)))</f>
        <v>0</v>
      </c>
      <c r="R81" s="21">
        <f>IF(Q81="","",Q81+Inputs!$B$5/Inputs!$B$14*(Inputs!$C$14*(Inputs!$C$28*NGS_Bacteria_Input!$B$8-Q81)+Inputs!$D$14*(Q8-Q81)+Inputs!$E$14*(Inputs!$D$28*NGS_Bacteria_Input!$C$8-Q81)))</f>
        <v>0</v>
      </c>
      <c r="S81" s="21">
        <f>IF(R81="","",R81+Inputs!$B$5/Inputs!$B$14*(Inputs!$C$14*(Inputs!$C$28*NGS_Bacteria_Input!$B$8-R81)+Inputs!$D$14*(R8-R81)+Inputs!$E$14*(Inputs!$D$28*NGS_Bacteria_Input!$C$8-R81)))</f>
        <v>0</v>
      </c>
      <c r="T81" s="21">
        <f>IF(S81="","",S81+Inputs!$B$5/Inputs!$B$14*(Inputs!$C$14*(Inputs!$C$28*NGS_Bacteria_Input!$B$8-S81)+Inputs!$D$14*(S8-S81)+Inputs!$E$14*(Inputs!$D$28*NGS_Bacteria_Input!$C$8-S81)))</f>
        <v>0</v>
      </c>
      <c r="U81" s="21">
        <f>IF(T81="","",T81+Inputs!$B$5/Inputs!$B$14*(Inputs!$C$14*(Inputs!$C$28*NGS_Bacteria_Input!$B$8-T81)+Inputs!$D$14*(T8-T81)+Inputs!$E$14*(Inputs!$D$28*NGS_Bacteria_Input!$C$8-T81)))</f>
        <v>0</v>
      </c>
      <c r="V81" s="21">
        <f>IF(U81="","",U81+Inputs!$B$5/Inputs!$B$14*(Inputs!$C$14*(Inputs!$C$28*NGS_Bacteria_Input!$B$8-U81)+Inputs!$D$14*(U8-U81)+Inputs!$E$14*(Inputs!$D$28*NGS_Bacteria_Input!$C$8-U81)))</f>
        <v>0</v>
      </c>
      <c r="W81" s="21">
        <f>IF(V81="","",V81+Inputs!$B$5/Inputs!$B$14*(Inputs!$C$14*(Inputs!$C$28*NGS_Bacteria_Input!$B$8-V81)+Inputs!$D$14*(V8-V81)+Inputs!$E$14*(Inputs!$D$28*NGS_Bacteria_Input!$C$8-V81)))</f>
        <v>0</v>
      </c>
    </row>
    <row r="82" spans="1:23" ht="18" customHeight="1" x14ac:dyDescent="0.25">
      <c r="A82" s="11" t="str">
        <f>NGS_Bacteria_Input!A9</f>
        <v>Bac_taxon_5</v>
      </c>
      <c r="B82" s="21">
        <f>IF(Inputs!$G$37="","",Inputs!$G$37*NGS_Bacteria_Input!$F$9)</f>
        <v>0</v>
      </c>
      <c r="C82" s="21">
        <f>IF(B82="","",B82+Inputs!$B$5/Inputs!$B$14*(Inputs!$C$14*(Inputs!$C$28*NGS_Bacteria_Input!$B$9-B82)+Inputs!$D$14*(B9-B82)+Inputs!$E$14*(Inputs!$D$28*NGS_Bacteria_Input!$C$9-B82)))</f>
        <v>0</v>
      </c>
      <c r="D82" s="21">
        <f>IF(C82="","",C82+Inputs!$B$5/Inputs!$B$14*(Inputs!$C$14*(Inputs!$C$28*NGS_Bacteria_Input!$B$9-C82)+Inputs!$D$14*(C9-C82)+Inputs!$E$14*(Inputs!$D$28*NGS_Bacteria_Input!$C$9-C82)))</f>
        <v>0</v>
      </c>
      <c r="E82" s="21">
        <f>IF(D82="","",D82+Inputs!$B$5/Inputs!$B$14*(Inputs!$C$14*(Inputs!$C$28*NGS_Bacteria_Input!$B$9-D82)+Inputs!$D$14*(D9-D82)+Inputs!$E$14*(Inputs!$D$28*NGS_Bacteria_Input!$C$9-D82)))</f>
        <v>0</v>
      </c>
      <c r="F82" s="21">
        <f>IF(E82="","",E82+Inputs!$B$5/Inputs!$B$14*(Inputs!$C$14*(Inputs!$C$28*NGS_Bacteria_Input!$B$9-E82)+Inputs!$D$14*(E9-E82)+Inputs!$E$14*(Inputs!$D$28*NGS_Bacteria_Input!$C$9-E82)))</f>
        <v>0</v>
      </c>
      <c r="G82" s="21">
        <f>IF(F82="","",F82+Inputs!$B$5/Inputs!$B$14*(Inputs!$C$14*(Inputs!$C$28*NGS_Bacteria_Input!$B$9-F82)+Inputs!$D$14*(F9-F82)+Inputs!$E$14*(Inputs!$D$28*NGS_Bacteria_Input!$C$9-F82)))</f>
        <v>0</v>
      </c>
      <c r="H82" s="21">
        <f>IF(G82="","",G82+Inputs!$B$5/Inputs!$B$14*(Inputs!$C$14*(Inputs!$C$28*NGS_Bacteria_Input!$B$9-G82)+Inputs!$D$14*(G9-G82)+Inputs!$E$14*(Inputs!$D$28*NGS_Bacteria_Input!$C$9-G82)))</f>
        <v>0</v>
      </c>
      <c r="I82" s="21">
        <f>IF(H82="","",H82+Inputs!$B$5/Inputs!$B$14*(Inputs!$C$14*(Inputs!$C$28*NGS_Bacteria_Input!$B$9-H82)+Inputs!$D$14*(H9-H82)+Inputs!$E$14*(Inputs!$D$28*NGS_Bacteria_Input!$C$9-H82)))</f>
        <v>0</v>
      </c>
      <c r="J82" s="21">
        <f>IF(I82="","",I82+Inputs!$B$5/Inputs!$B$14*(Inputs!$C$14*(Inputs!$C$28*NGS_Bacteria_Input!$B$9-I82)+Inputs!$D$14*(I9-I82)+Inputs!$E$14*(Inputs!$D$28*NGS_Bacteria_Input!$C$9-I82)))</f>
        <v>0</v>
      </c>
      <c r="K82" s="21">
        <f>IF(J82="","",J82+Inputs!$B$5/Inputs!$B$14*(Inputs!$C$14*(Inputs!$C$28*NGS_Bacteria_Input!$B$9-J82)+Inputs!$D$14*(J9-J82)+Inputs!$E$14*(Inputs!$D$28*NGS_Bacteria_Input!$C$9-J82)))</f>
        <v>0</v>
      </c>
      <c r="L82" s="21">
        <f>IF(K82="","",K82+Inputs!$B$5/Inputs!$B$14*(Inputs!$C$14*(Inputs!$C$28*NGS_Bacteria_Input!$B$9-K82)+Inputs!$D$14*(K9-K82)+Inputs!$E$14*(Inputs!$D$28*NGS_Bacteria_Input!$C$9-K82)))</f>
        <v>0</v>
      </c>
      <c r="M82" s="21">
        <f>IF(L82="","",L82+Inputs!$B$5/Inputs!$B$14*(Inputs!$C$14*(Inputs!$C$28*NGS_Bacteria_Input!$B$9-L82)+Inputs!$D$14*(L9-L82)+Inputs!$E$14*(Inputs!$D$28*NGS_Bacteria_Input!$C$9-L82)))</f>
        <v>0</v>
      </c>
      <c r="N82" s="21">
        <f>IF(M82="","",M82+Inputs!$B$5/Inputs!$B$14*(Inputs!$C$14*(Inputs!$C$28*NGS_Bacteria_Input!$B$9-M82)+Inputs!$D$14*(M9-M82)+Inputs!$E$14*(Inputs!$D$28*NGS_Bacteria_Input!$C$9-M82)))</f>
        <v>0</v>
      </c>
      <c r="O82" s="21">
        <f>IF(N82="","",N82+Inputs!$B$5/Inputs!$B$14*(Inputs!$C$14*(Inputs!$C$28*NGS_Bacteria_Input!$B$9-N82)+Inputs!$D$14*(N9-N82)+Inputs!$E$14*(Inputs!$D$28*NGS_Bacteria_Input!$C$9-N82)))</f>
        <v>0</v>
      </c>
      <c r="P82" s="21">
        <f>IF(O82="","",O82+Inputs!$B$5/Inputs!$B$14*(Inputs!$C$14*(Inputs!$C$28*NGS_Bacteria_Input!$B$9-O82)+Inputs!$D$14*(O9-O82)+Inputs!$E$14*(Inputs!$D$28*NGS_Bacteria_Input!$C$9-O82)))</f>
        <v>0</v>
      </c>
      <c r="Q82" s="21">
        <f>IF(P82="","",P82+Inputs!$B$5/Inputs!$B$14*(Inputs!$C$14*(Inputs!$C$28*NGS_Bacteria_Input!$B$9-P82)+Inputs!$D$14*(P9-P82)+Inputs!$E$14*(Inputs!$D$28*NGS_Bacteria_Input!$C$9-P82)))</f>
        <v>0</v>
      </c>
      <c r="R82" s="21">
        <f>IF(Q82="","",Q82+Inputs!$B$5/Inputs!$B$14*(Inputs!$C$14*(Inputs!$C$28*NGS_Bacteria_Input!$B$9-Q82)+Inputs!$D$14*(Q9-Q82)+Inputs!$E$14*(Inputs!$D$28*NGS_Bacteria_Input!$C$9-Q82)))</f>
        <v>0</v>
      </c>
      <c r="S82" s="21">
        <f>IF(R82="","",R82+Inputs!$B$5/Inputs!$B$14*(Inputs!$C$14*(Inputs!$C$28*NGS_Bacteria_Input!$B$9-R82)+Inputs!$D$14*(R9-R82)+Inputs!$E$14*(Inputs!$D$28*NGS_Bacteria_Input!$C$9-R82)))</f>
        <v>0</v>
      </c>
      <c r="T82" s="21">
        <f>IF(S82="","",S82+Inputs!$B$5/Inputs!$B$14*(Inputs!$C$14*(Inputs!$C$28*NGS_Bacteria_Input!$B$9-S82)+Inputs!$D$14*(S9-S82)+Inputs!$E$14*(Inputs!$D$28*NGS_Bacteria_Input!$C$9-S82)))</f>
        <v>0</v>
      </c>
      <c r="U82" s="21">
        <f>IF(T82="","",T82+Inputs!$B$5/Inputs!$B$14*(Inputs!$C$14*(Inputs!$C$28*NGS_Bacteria_Input!$B$9-T82)+Inputs!$D$14*(T9-T82)+Inputs!$E$14*(Inputs!$D$28*NGS_Bacteria_Input!$C$9-T82)))</f>
        <v>0</v>
      </c>
      <c r="V82" s="21">
        <f>IF(U82="","",U82+Inputs!$B$5/Inputs!$B$14*(Inputs!$C$14*(Inputs!$C$28*NGS_Bacteria_Input!$B$9-U82)+Inputs!$D$14*(U9-U82)+Inputs!$E$14*(Inputs!$D$28*NGS_Bacteria_Input!$C$9-U82)))</f>
        <v>0</v>
      </c>
      <c r="W82" s="21">
        <f>IF(V82="","",V82+Inputs!$B$5/Inputs!$B$14*(Inputs!$C$14*(Inputs!$C$28*NGS_Bacteria_Input!$B$9-V82)+Inputs!$D$14*(V9-V82)+Inputs!$E$14*(Inputs!$D$28*NGS_Bacteria_Input!$C$9-V82)))</f>
        <v>0</v>
      </c>
    </row>
    <row r="83" spans="1:23" ht="18" customHeight="1" x14ac:dyDescent="0.25">
      <c r="A83" s="11" t="str">
        <f>NGS_Bacteria_Input!A10</f>
        <v>Bac_taxon_6</v>
      </c>
      <c r="B83" s="21">
        <f>IF(Inputs!$G$37="","",Inputs!$G$37*NGS_Bacteria_Input!$F$10)</f>
        <v>0</v>
      </c>
      <c r="C83" s="21">
        <f>IF(B83="","",B83+Inputs!$B$5/Inputs!$B$14*(Inputs!$C$14*(Inputs!$C$28*NGS_Bacteria_Input!$B$10-B83)+Inputs!$D$14*(B10-B83)+Inputs!$E$14*(Inputs!$D$28*NGS_Bacteria_Input!$C$10-B83)))</f>
        <v>0</v>
      </c>
      <c r="D83" s="21">
        <f>IF(C83="","",C83+Inputs!$B$5/Inputs!$B$14*(Inputs!$C$14*(Inputs!$C$28*NGS_Bacteria_Input!$B$10-C83)+Inputs!$D$14*(C10-C83)+Inputs!$E$14*(Inputs!$D$28*NGS_Bacteria_Input!$C$10-C83)))</f>
        <v>0</v>
      </c>
      <c r="E83" s="21">
        <f>IF(D83="","",D83+Inputs!$B$5/Inputs!$B$14*(Inputs!$C$14*(Inputs!$C$28*NGS_Bacteria_Input!$B$10-D83)+Inputs!$D$14*(D10-D83)+Inputs!$E$14*(Inputs!$D$28*NGS_Bacteria_Input!$C$10-D83)))</f>
        <v>0</v>
      </c>
      <c r="F83" s="21">
        <f>IF(E83="","",E83+Inputs!$B$5/Inputs!$B$14*(Inputs!$C$14*(Inputs!$C$28*NGS_Bacteria_Input!$B$10-E83)+Inputs!$D$14*(E10-E83)+Inputs!$E$14*(Inputs!$D$28*NGS_Bacteria_Input!$C$10-E83)))</f>
        <v>0</v>
      </c>
      <c r="G83" s="21">
        <f>IF(F83="","",F83+Inputs!$B$5/Inputs!$B$14*(Inputs!$C$14*(Inputs!$C$28*NGS_Bacteria_Input!$B$10-F83)+Inputs!$D$14*(F10-F83)+Inputs!$E$14*(Inputs!$D$28*NGS_Bacteria_Input!$C$10-F83)))</f>
        <v>0</v>
      </c>
      <c r="H83" s="21">
        <f>IF(G83="","",G83+Inputs!$B$5/Inputs!$B$14*(Inputs!$C$14*(Inputs!$C$28*NGS_Bacteria_Input!$B$10-G83)+Inputs!$D$14*(G10-G83)+Inputs!$E$14*(Inputs!$D$28*NGS_Bacteria_Input!$C$10-G83)))</f>
        <v>0</v>
      </c>
      <c r="I83" s="21">
        <f>IF(H83="","",H83+Inputs!$B$5/Inputs!$B$14*(Inputs!$C$14*(Inputs!$C$28*NGS_Bacteria_Input!$B$10-H83)+Inputs!$D$14*(H10-H83)+Inputs!$E$14*(Inputs!$D$28*NGS_Bacteria_Input!$C$10-H83)))</f>
        <v>0</v>
      </c>
      <c r="J83" s="21">
        <f>IF(I83="","",I83+Inputs!$B$5/Inputs!$B$14*(Inputs!$C$14*(Inputs!$C$28*NGS_Bacteria_Input!$B$10-I83)+Inputs!$D$14*(I10-I83)+Inputs!$E$14*(Inputs!$D$28*NGS_Bacteria_Input!$C$10-I83)))</f>
        <v>0</v>
      </c>
      <c r="K83" s="21">
        <f>IF(J83="","",J83+Inputs!$B$5/Inputs!$B$14*(Inputs!$C$14*(Inputs!$C$28*NGS_Bacteria_Input!$B$10-J83)+Inputs!$D$14*(J10-J83)+Inputs!$E$14*(Inputs!$D$28*NGS_Bacteria_Input!$C$10-J83)))</f>
        <v>0</v>
      </c>
      <c r="L83" s="21">
        <f>IF(K83="","",K83+Inputs!$B$5/Inputs!$B$14*(Inputs!$C$14*(Inputs!$C$28*NGS_Bacteria_Input!$B$10-K83)+Inputs!$D$14*(K10-K83)+Inputs!$E$14*(Inputs!$D$28*NGS_Bacteria_Input!$C$10-K83)))</f>
        <v>0</v>
      </c>
      <c r="M83" s="21">
        <f>IF(L83="","",L83+Inputs!$B$5/Inputs!$B$14*(Inputs!$C$14*(Inputs!$C$28*NGS_Bacteria_Input!$B$10-L83)+Inputs!$D$14*(L10-L83)+Inputs!$E$14*(Inputs!$D$28*NGS_Bacteria_Input!$C$10-L83)))</f>
        <v>0</v>
      </c>
      <c r="N83" s="21">
        <f>IF(M83="","",M83+Inputs!$B$5/Inputs!$B$14*(Inputs!$C$14*(Inputs!$C$28*NGS_Bacteria_Input!$B$10-M83)+Inputs!$D$14*(M10-M83)+Inputs!$E$14*(Inputs!$D$28*NGS_Bacteria_Input!$C$10-M83)))</f>
        <v>0</v>
      </c>
      <c r="O83" s="21">
        <f>IF(N83="","",N83+Inputs!$B$5/Inputs!$B$14*(Inputs!$C$14*(Inputs!$C$28*NGS_Bacteria_Input!$B$10-N83)+Inputs!$D$14*(N10-N83)+Inputs!$E$14*(Inputs!$D$28*NGS_Bacteria_Input!$C$10-N83)))</f>
        <v>0</v>
      </c>
      <c r="P83" s="21">
        <f>IF(O83="","",O83+Inputs!$B$5/Inputs!$B$14*(Inputs!$C$14*(Inputs!$C$28*NGS_Bacteria_Input!$B$10-O83)+Inputs!$D$14*(O10-O83)+Inputs!$E$14*(Inputs!$D$28*NGS_Bacteria_Input!$C$10-O83)))</f>
        <v>0</v>
      </c>
      <c r="Q83" s="21">
        <f>IF(P83="","",P83+Inputs!$B$5/Inputs!$B$14*(Inputs!$C$14*(Inputs!$C$28*NGS_Bacteria_Input!$B$10-P83)+Inputs!$D$14*(P10-P83)+Inputs!$E$14*(Inputs!$D$28*NGS_Bacteria_Input!$C$10-P83)))</f>
        <v>0</v>
      </c>
      <c r="R83" s="21">
        <f>IF(Q83="","",Q83+Inputs!$B$5/Inputs!$B$14*(Inputs!$C$14*(Inputs!$C$28*NGS_Bacteria_Input!$B$10-Q83)+Inputs!$D$14*(Q10-Q83)+Inputs!$E$14*(Inputs!$D$28*NGS_Bacteria_Input!$C$10-Q83)))</f>
        <v>0</v>
      </c>
      <c r="S83" s="21">
        <f>IF(R83="","",R83+Inputs!$B$5/Inputs!$B$14*(Inputs!$C$14*(Inputs!$C$28*NGS_Bacteria_Input!$B$10-R83)+Inputs!$D$14*(R10-R83)+Inputs!$E$14*(Inputs!$D$28*NGS_Bacteria_Input!$C$10-R83)))</f>
        <v>0</v>
      </c>
      <c r="T83" s="21">
        <f>IF(S83="","",S83+Inputs!$B$5/Inputs!$B$14*(Inputs!$C$14*(Inputs!$C$28*NGS_Bacteria_Input!$B$10-S83)+Inputs!$D$14*(S10-S83)+Inputs!$E$14*(Inputs!$D$28*NGS_Bacteria_Input!$C$10-S83)))</f>
        <v>0</v>
      </c>
      <c r="U83" s="21">
        <f>IF(T83="","",T83+Inputs!$B$5/Inputs!$B$14*(Inputs!$C$14*(Inputs!$C$28*NGS_Bacteria_Input!$B$10-T83)+Inputs!$D$14*(T10-T83)+Inputs!$E$14*(Inputs!$D$28*NGS_Bacteria_Input!$C$10-T83)))</f>
        <v>0</v>
      </c>
      <c r="V83" s="21">
        <f>IF(U83="","",U83+Inputs!$B$5/Inputs!$B$14*(Inputs!$C$14*(Inputs!$C$28*NGS_Bacteria_Input!$B$10-U83)+Inputs!$D$14*(U10-U83)+Inputs!$E$14*(Inputs!$D$28*NGS_Bacteria_Input!$C$10-U83)))</f>
        <v>0</v>
      </c>
      <c r="W83" s="21">
        <f>IF(V83="","",V83+Inputs!$B$5/Inputs!$B$14*(Inputs!$C$14*(Inputs!$C$28*NGS_Bacteria_Input!$B$10-V83)+Inputs!$D$14*(V10-V83)+Inputs!$E$14*(Inputs!$D$28*NGS_Bacteria_Input!$C$10-V83)))</f>
        <v>0</v>
      </c>
    </row>
    <row r="84" spans="1:23" ht="18" customHeight="1" x14ac:dyDescent="0.25">
      <c r="A84" s="11" t="str">
        <f>NGS_Bacteria_Input!A11</f>
        <v>Bac_taxon_7</v>
      </c>
      <c r="B84" s="21">
        <f>IF(Inputs!$G$37="","",Inputs!$G$37*NGS_Bacteria_Input!$F$11)</f>
        <v>0</v>
      </c>
      <c r="C84" s="21">
        <f>IF(B84="","",B84+Inputs!$B$5/Inputs!$B$14*(Inputs!$C$14*(Inputs!$C$28*NGS_Bacteria_Input!$B$11-B84)+Inputs!$D$14*(B11-B84)+Inputs!$E$14*(Inputs!$D$28*NGS_Bacteria_Input!$C$11-B84)))</f>
        <v>0</v>
      </c>
      <c r="D84" s="21">
        <f>IF(C84="","",C84+Inputs!$B$5/Inputs!$B$14*(Inputs!$C$14*(Inputs!$C$28*NGS_Bacteria_Input!$B$11-C84)+Inputs!$D$14*(C11-C84)+Inputs!$E$14*(Inputs!$D$28*NGS_Bacteria_Input!$C$11-C84)))</f>
        <v>0</v>
      </c>
      <c r="E84" s="21">
        <f>IF(D84="","",D84+Inputs!$B$5/Inputs!$B$14*(Inputs!$C$14*(Inputs!$C$28*NGS_Bacteria_Input!$B$11-D84)+Inputs!$D$14*(D11-D84)+Inputs!$E$14*(Inputs!$D$28*NGS_Bacteria_Input!$C$11-D84)))</f>
        <v>0</v>
      </c>
      <c r="F84" s="21">
        <f>IF(E84="","",E84+Inputs!$B$5/Inputs!$B$14*(Inputs!$C$14*(Inputs!$C$28*NGS_Bacteria_Input!$B$11-E84)+Inputs!$D$14*(E11-E84)+Inputs!$E$14*(Inputs!$D$28*NGS_Bacteria_Input!$C$11-E84)))</f>
        <v>0</v>
      </c>
      <c r="G84" s="21">
        <f>IF(F84="","",F84+Inputs!$B$5/Inputs!$B$14*(Inputs!$C$14*(Inputs!$C$28*NGS_Bacteria_Input!$B$11-F84)+Inputs!$D$14*(F11-F84)+Inputs!$E$14*(Inputs!$D$28*NGS_Bacteria_Input!$C$11-F84)))</f>
        <v>0</v>
      </c>
      <c r="H84" s="21">
        <f>IF(G84="","",G84+Inputs!$B$5/Inputs!$B$14*(Inputs!$C$14*(Inputs!$C$28*NGS_Bacteria_Input!$B$11-G84)+Inputs!$D$14*(G11-G84)+Inputs!$E$14*(Inputs!$D$28*NGS_Bacteria_Input!$C$11-G84)))</f>
        <v>0</v>
      </c>
      <c r="I84" s="21">
        <f>IF(H84="","",H84+Inputs!$B$5/Inputs!$B$14*(Inputs!$C$14*(Inputs!$C$28*NGS_Bacteria_Input!$B$11-H84)+Inputs!$D$14*(H11-H84)+Inputs!$E$14*(Inputs!$D$28*NGS_Bacteria_Input!$C$11-H84)))</f>
        <v>0</v>
      </c>
      <c r="J84" s="21">
        <f>IF(I84="","",I84+Inputs!$B$5/Inputs!$B$14*(Inputs!$C$14*(Inputs!$C$28*NGS_Bacteria_Input!$B$11-I84)+Inputs!$D$14*(I11-I84)+Inputs!$E$14*(Inputs!$D$28*NGS_Bacteria_Input!$C$11-I84)))</f>
        <v>0</v>
      </c>
      <c r="K84" s="21">
        <f>IF(J84="","",J84+Inputs!$B$5/Inputs!$B$14*(Inputs!$C$14*(Inputs!$C$28*NGS_Bacteria_Input!$B$11-J84)+Inputs!$D$14*(J11-J84)+Inputs!$E$14*(Inputs!$D$28*NGS_Bacteria_Input!$C$11-J84)))</f>
        <v>0</v>
      </c>
      <c r="L84" s="21">
        <f>IF(K84="","",K84+Inputs!$B$5/Inputs!$B$14*(Inputs!$C$14*(Inputs!$C$28*NGS_Bacteria_Input!$B$11-K84)+Inputs!$D$14*(K11-K84)+Inputs!$E$14*(Inputs!$D$28*NGS_Bacteria_Input!$C$11-K84)))</f>
        <v>0</v>
      </c>
      <c r="M84" s="21">
        <f>IF(L84="","",L84+Inputs!$B$5/Inputs!$B$14*(Inputs!$C$14*(Inputs!$C$28*NGS_Bacteria_Input!$B$11-L84)+Inputs!$D$14*(L11-L84)+Inputs!$E$14*(Inputs!$D$28*NGS_Bacteria_Input!$C$11-L84)))</f>
        <v>0</v>
      </c>
      <c r="N84" s="21">
        <f>IF(M84="","",M84+Inputs!$B$5/Inputs!$B$14*(Inputs!$C$14*(Inputs!$C$28*NGS_Bacteria_Input!$B$11-M84)+Inputs!$D$14*(M11-M84)+Inputs!$E$14*(Inputs!$D$28*NGS_Bacteria_Input!$C$11-M84)))</f>
        <v>0</v>
      </c>
      <c r="O84" s="21">
        <f>IF(N84="","",N84+Inputs!$B$5/Inputs!$B$14*(Inputs!$C$14*(Inputs!$C$28*NGS_Bacteria_Input!$B$11-N84)+Inputs!$D$14*(N11-N84)+Inputs!$E$14*(Inputs!$D$28*NGS_Bacteria_Input!$C$11-N84)))</f>
        <v>0</v>
      </c>
      <c r="P84" s="21">
        <f>IF(O84="","",O84+Inputs!$B$5/Inputs!$B$14*(Inputs!$C$14*(Inputs!$C$28*NGS_Bacteria_Input!$B$11-O84)+Inputs!$D$14*(O11-O84)+Inputs!$E$14*(Inputs!$D$28*NGS_Bacteria_Input!$C$11-O84)))</f>
        <v>0</v>
      </c>
      <c r="Q84" s="21">
        <f>IF(P84="","",P84+Inputs!$B$5/Inputs!$B$14*(Inputs!$C$14*(Inputs!$C$28*NGS_Bacteria_Input!$B$11-P84)+Inputs!$D$14*(P11-P84)+Inputs!$E$14*(Inputs!$D$28*NGS_Bacteria_Input!$C$11-P84)))</f>
        <v>0</v>
      </c>
      <c r="R84" s="21">
        <f>IF(Q84="","",Q84+Inputs!$B$5/Inputs!$B$14*(Inputs!$C$14*(Inputs!$C$28*NGS_Bacteria_Input!$B$11-Q84)+Inputs!$D$14*(Q11-Q84)+Inputs!$E$14*(Inputs!$D$28*NGS_Bacteria_Input!$C$11-Q84)))</f>
        <v>0</v>
      </c>
      <c r="S84" s="21">
        <f>IF(R84="","",R84+Inputs!$B$5/Inputs!$B$14*(Inputs!$C$14*(Inputs!$C$28*NGS_Bacteria_Input!$B$11-R84)+Inputs!$D$14*(R11-R84)+Inputs!$E$14*(Inputs!$D$28*NGS_Bacteria_Input!$C$11-R84)))</f>
        <v>0</v>
      </c>
      <c r="T84" s="21">
        <f>IF(S84="","",S84+Inputs!$B$5/Inputs!$B$14*(Inputs!$C$14*(Inputs!$C$28*NGS_Bacteria_Input!$B$11-S84)+Inputs!$D$14*(S11-S84)+Inputs!$E$14*(Inputs!$D$28*NGS_Bacteria_Input!$C$11-S84)))</f>
        <v>0</v>
      </c>
      <c r="U84" s="21">
        <f>IF(T84="","",T84+Inputs!$B$5/Inputs!$B$14*(Inputs!$C$14*(Inputs!$C$28*NGS_Bacteria_Input!$B$11-T84)+Inputs!$D$14*(T11-T84)+Inputs!$E$14*(Inputs!$D$28*NGS_Bacteria_Input!$C$11-T84)))</f>
        <v>0</v>
      </c>
      <c r="V84" s="21">
        <f>IF(U84="","",U84+Inputs!$B$5/Inputs!$B$14*(Inputs!$C$14*(Inputs!$C$28*NGS_Bacteria_Input!$B$11-U84)+Inputs!$D$14*(U11-U84)+Inputs!$E$14*(Inputs!$D$28*NGS_Bacteria_Input!$C$11-U84)))</f>
        <v>0</v>
      </c>
      <c r="W84" s="21">
        <f>IF(V84="","",V84+Inputs!$B$5/Inputs!$B$14*(Inputs!$C$14*(Inputs!$C$28*NGS_Bacteria_Input!$B$11-V84)+Inputs!$D$14*(V11-V84)+Inputs!$E$14*(Inputs!$D$28*NGS_Bacteria_Input!$C$11-V84)))</f>
        <v>0</v>
      </c>
    </row>
    <row r="85" spans="1:23" ht="18" customHeight="1" x14ac:dyDescent="0.25">
      <c r="A85" s="11" t="str">
        <f>NGS_Bacteria_Input!A12</f>
        <v>Bac_taxon_8</v>
      </c>
      <c r="B85" s="21">
        <f>IF(Inputs!$G$37="","",Inputs!$G$37*NGS_Bacteria_Input!$F$12)</f>
        <v>0</v>
      </c>
      <c r="C85" s="21">
        <f>IF(B85="","",B85+Inputs!$B$5/Inputs!$B$14*(Inputs!$C$14*(Inputs!$C$28*NGS_Bacteria_Input!$B$12-B85)+Inputs!$D$14*(B12-B85)+Inputs!$E$14*(Inputs!$D$28*NGS_Bacteria_Input!$C$12-B85)))</f>
        <v>0</v>
      </c>
      <c r="D85" s="21">
        <f>IF(C85="","",C85+Inputs!$B$5/Inputs!$B$14*(Inputs!$C$14*(Inputs!$C$28*NGS_Bacteria_Input!$B$12-C85)+Inputs!$D$14*(C12-C85)+Inputs!$E$14*(Inputs!$D$28*NGS_Bacteria_Input!$C$12-C85)))</f>
        <v>0</v>
      </c>
      <c r="E85" s="21">
        <f>IF(D85="","",D85+Inputs!$B$5/Inputs!$B$14*(Inputs!$C$14*(Inputs!$C$28*NGS_Bacteria_Input!$B$12-D85)+Inputs!$D$14*(D12-D85)+Inputs!$E$14*(Inputs!$D$28*NGS_Bacteria_Input!$C$12-D85)))</f>
        <v>0</v>
      </c>
      <c r="F85" s="21">
        <f>IF(E85="","",E85+Inputs!$B$5/Inputs!$B$14*(Inputs!$C$14*(Inputs!$C$28*NGS_Bacteria_Input!$B$12-E85)+Inputs!$D$14*(E12-E85)+Inputs!$E$14*(Inputs!$D$28*NGS_Bacteria_Input!$C$12-E85)))</f>
        <v>0</v>
      </c>
      <c r="G85" s="21">
        <f>IF(F85="","",F85+Inputs!$B$5/Inputs!$B$14*(Inputs!$C$14*(Inputs!$C$28*NGS_Bacteria_Input!$B$12-F85)+Inputs!$D$14*(F12-F85)+Inputs!$E$14*(Inputs!$D$28*NGS_Bacteria_Input!$C$12-F85)))</f>
        <v>0</v>
      </c>
      <c r="H85" s="21">
        <f>IF(G85="","",G85+Inputs!$B$5/Inputs!$B$14*(Inputs!$C$14*(Inputs!$C$28*NGS_Bacteria_Input!$B$12-G85)+Inputs!$D$14*(G12-G85)+Inputs!$E$14*(Inputs!$D$28*NGS_Bacteria_Input!$C$12-G85)))</f>
        <v>0</v>
      </c>
      <c r="I85" s="21">
        <f>IF(H85="","",H85+Inputs!$B$5/Inputs!$B$14*(Inputs!$C$14*(Inputs!$C$28*NGS_Bacteria_Input!$B$12-H85)+Inputs!$D$14*(H12-H85)+Inputs!$E$14*(Inputs!$D$28*NGS_Bacteria_Input!$C$12-H85)))</f>
        <v>0</v>
      </c>
      <c r="J85" s="21">
        <f>IF(I85="","",I85+Inputs!$B$5/Inputs!$B$14*(Inputs!$C$14*(Inputs!$C$28*NGS_Bacteria_Input!$B$12-I85)+Inputs!$D$14*(I12-I85)+Inputs!$E$14*(Inputs!$D$28*NGS_Bacteria_Input!$C$12-I85)))</f>
        <v>0</v>
      </c>
      <c r="K85" s="21">
        <f>IF(J85="","",J85+Inputs!$B$5/Inputs!$B$14*(Inputs!$C$14*(Inputs!$C$28*NGS_Bacteria_Input!$B$12-J85)+Inputs!$D$14*(J12-J85)+Inputs!$E$14*(Inputs!$D$28*NGS_Bacteria_Input!$C$12-J85)))</f>
        <v>0</v>
      </c>
      <c r="L85" s="21">
        <f>IF(K85="","",K85+Inputs!$B$5/Inputs!$B$14*(Inputs!$C$14*(Inputs!$C$28*NGS_Bacteria_Input!$B$12-K85)+Inputs!$D$14*(K12-K85)+Inputs!$E$14*(Inputs!$D$28*NGS_Bacteria_Input!$C$12-K85)))</f>
        <v>0</v>
      </c>
      <c r="M85" s="21">
        <f>IF(L85="","",L85+Inputs!$B$5/Inputs!$B$14*(Inputs!$C$14*(Inputs!$C$28*NGS_Bacteria_Input!$B$12-L85)+Inputs!$D$14*(L12-L85)+Inputs!$E$14*(Inputs!$D$28*NGS_Bacteria_Input!$C$12-L85)))</f>
        <v>0</v>
      </c>
      <c r="N85" s="21">
        <f>IF(M85="","",M85+Inputs!$B$5/Inputs!$B$14*(Inputs!$C$14*(Inputs!$C$28*NGS_Bacteria_Input!$B$12-M85)+Inputs!$D$14*(M12-M85)+Inputs!$E$14*(Inputs!$D$28*NGS_Bacteria_Input!$C$12-M85)))</f>
        <v>0</v>
      </c>
      <c r="O85" s="21">
        <f>IF(N85="","",N85+Inputs!$B$5/Inputs!$B$14*(Inputs!$C$14*(Inputs!$C$28*NGS_Bacteria_Input!$B$12-N85)+Inputs!$D$14*(N12-N85)+Inputs!$E$14*(Inputs!$D$28*NGS_Bacteria_Input!$C$12-N85)))</f>
        <v>0</v>
      </c>
      <c r="P85" s="21">
        <f>IF(O85="","",O85+Inputs!$B$5/Inputs!$B$14*(Inputs!$C$14*(Inputs!$C$28*NGS_Bacteria_Input!$B$12-O85)+Inputs!$D$14*(O12-O85)+Inputs!$E$14*(Inputs!$D$28*NGS_Bacteria_Input!$C$12-O85)))</f>
        <v>0</v>
      </c>
      <c r="Q85" s="21">
        <f>IF(P85="","",P85+Inputs!$B$5/Inputs!$B$14*(Inputs!$C$14*(Inputs!$C$28*NGS_Bacteria_Input!$B$12-P85)+Inputs!$D$14*(P12-P85)+Inputs!$E$14*(Inputs!$D$28*NGS_Bacteria_Input!$C$12-P85)))</f>
        <v>0</v>
      </c>
      <c r="R85" s="21">
        <f>IF(Q85="","",Q85+Inputs!$B$5/Inputs!$B$14*(Inputs!$C$14*(Inputs!$C$28*NGS_Bacteria_Input!$B$12-Q85)+Inputs!$D$14*(Q12-Q85)+Inputs!$E$14*(Inputs!$D$28*NGS_Bacteria_Input!$C$12-Q85)))</f>
        <v>0</v>
      </c>
      <c r="S85" s="21">
        <f>IF(R85="","",R85+Inputs!$B$5/Inputs!$B$14*(Inputs!$C$14*(Inputs!$C$28*NGS_Bacteria_Input!$B$12-R85)+Inputs!$D$14*(R12-R85)+Inputs!$E$14*(Inputs!$D$28*NGS_Bacteria_Input!$C$12-R85)))</f>
        <v>0</v>
      </c>
      <c r="T85" s="21">
        <f>IF(S85="","",S85+Inputs!$B$5/Inputs!$B$14*(Inputs!$C$14*(Inputs!$C$28*NGS_Bacteria_Input!$B$12-S85)+Inputs!$D$14*(S12-S85)+Inputs!$E$14*(Inputs!$D$28*NGS_Bacteria_Input!$C$12-S85)))</f>
        <v>0</v>
      </c>
      <c r="U85" s="21">
        <f>IF(T85="","",T85+Inputs!$B$5/Inputs!$B$14*(Inputs!$C$14*(Inputs!$C$28*NGS_Bacteria_Input!$B$12-T85)+Inputs!$D$14*(T12-T85)+Inputs!$E$14*(Inputs!$D$28*NGS_Bacteria_Input!$C$12-T85)))</f>
        <v>0</v>
      </c>
      <c r="V85" s="21">
        <f>IF(U85="","",U85+Inputs!$B$5/Inputs!$B$14*(Inputs!$C$14*(Inputs!$C$28*NGS_Bacteria_Input!$B$12-U85)+Inputs!$D$14*(U12-U85)+Inputs!$E$14*(Inputs!$D$28*NGS_Bacteria_Input!$C$12-U85)))</f>
        <v>0</v>
      </c>
      <c r="W85" s="21">
        <f>IF(V85="","",V85+Inputs!$B$5/Inputs!$B$14*(Inputs!$C$14*(Inputs!$C$28*NGS_Bacteria_Input!$B$12-V85)+Inputs!$D$14*(V12-V85)+Inputs!$E$14*(Inputs!$D$28*NGS_Bacteria_Input!$C$12-V85)))</f>
        <v>0</v>
      </c>
    </row>
    <row r="86" spans="1:23" ht="18" customHeight="1" x14ac:dyDescent="0.25">
      <c r="A86" s="11" t="str">
        <f>NGS_Bacteria_Input!A13</f>
        <v>Bac_taxon_9</v>
      </c>
      <c r="B86" s="21">
        <f>IF(Inputs!$G$37="","",Inputs!$G$37*NGS_Bacteria_Input!$F$13)</f>
        <v>0</v>
      </c>
      <c r="C86" s="21">
        <f>IF(B86="","",B86+Inputs!$B$5/Inputs!$B$14*(Inputs!$C$14*(Inputs!$C$28*NGS_Bacteria_Input!$B$13-B86)+Inputs!$D$14*(B13-B86)+Inputs!$E$14*(Inputs!$D$28*NGS_Bacteria_Input!$C$13-B86)))</f>
        <v>0</v>
      </c>
      <c r="D86" s="21">
        <f>IF(C86="","",C86+Inputs!$B$5/Inputs!$B$14*(Inputs!$C$14*(Inputs!$C$28*NGS_Bacteria_Input!$B$13-C86)+Inputs!$D$14*(C13-C86)+Inputs!$E$14*(Inputs!$D$28*NGS_Bacteria_Input!$C$13-C86)))</f>
        <v>0</v>
      </c>
      <c r="E86" s="21">
        <f>IF(D86="","",D86+Inputs!$B$5/Inputs!$B$14*(Inputs!$C$14*(Inputs!$C$28*NGS_Bacteria_Input!$B$13-D86)+Inputs!$D$14*(D13-D86)+Inputs!$E$14*(Inputs!$D$28*NGS_Bacteria_Input!$C$13-D86)))</f>
        <v>0</v>
      </c>
      <c r="F86" s="21">
        <f>IF(E86="","",E86+Inputs!$B$5/Inputs!$B$14*(Inputs!$C$14*(Inputs!$C$28*NGS_Bacteria_Input!$B$13-E86)+Inputs!$D$14*(E13-E86)+Inputs!$E$14*(Inputs!$D$28*NGS_Bacteria_Input!$C$13-E86)))</f>
        <v>0</v>
      </c>
      <c r="G86" s="21">
        <f>IF(F86="","",F86+Inputs!$B$5/Inputs!$B$14*(Inputs!$C$14*(Inputs!$C$28*NGS_Bacteria_Input!$B$13-F86)+Inputs!$D$14*(F13-F86)+Inputs!$E$14*(Inputs!$D$28*NGS_Bacteria_Input!$C$13-F86)))</f>
        <v>0</v>
      </c>
      <c r="H86" s="21">
        <f>IF(G86="","",G86+Inputs!$B$5/Inputs!$B$14*(Inputs!$C$14*(Inputs!$C$28*NGS_Bacteria_Input!$B$13-G86)+Inputs!$D$14*(G13-G86)+Inputs!$E$14*(Inputs!$D$28*NGS_Bacteria_Input!$C$13-G86)))</f>
        <v>0</v>
      </c>
      <c r="I86" s="21">
        <f>IF(H86="","",H86+Inputs!$B$5/Inputs!$B$14*(Inputs!$C$14*(Inputs!$C$28*NGS_Bacteria_Input!$B$13-H86)+Inputs!$D$14*(H13-H86)+Inputs!$E$14*(Inputs!$D$28*NGS_Bacteria_Input!$C$13-H86)))</f>
        <v>0</v>
      </c>
      <c r="J86" s="21">
        <f>IF(I86="","",I86+Inputs!$B$5/Inputs!$B$14*(Inputs!$C$14*(Inputs!$C$28*NGS_Bacteria_Input!$B$13-I86)+Inputs!$D$14*(I13-I86)+Inputs!$E$14*(Inputs!$D$28*NGS_Bacteria_Input!$C$13-I86)))</f>
        <v>0</v>
      </c>
      <c r="K86" s="21">
        <f>IF(J86="","",J86+Inputs!$B$5/Inputs!$B$14*(Inputs!$C$14*(Inputs!$C$28*NGS_Bacteria_Input!$B$13-J86)+Inputs!$D$14*(J13-J86)+Inputs!$E$14*(Inputs!$D$28*NGS_Bacteria_Input!$C$13-J86)))</f>
        <v>0</v>
      </c>
      <c r="L86" s="21">
        <f>IF(K86="","",K86+Inputs!$B$5/Inputs!$B$14*(Inputs!$C$14*(Inputs!$C$28*NGS_Bacteria_Input!$B$13-K86)+Inputs!$D$14*(K13-K86)+Inputs!$E$14*(Inputs!$D$28*NGS_Bacteria_Input!$C$13-K86)))</f>
        <v>0</v>
      </c>
      <c r="M86" s="21">
        <f>IF(L86="","",L86+Inputs!$B$5/Inputs!$B$14*(Inputs!$C$14*(Inputs!$C$28*NGS_Bacteria_Input!$B$13-L86)+Inputs!$D$14*(L13-L86)+Inputs!$E$14*(Inputs!$D$28*NGS_Bacteria_Input!$C$13-L86)))</f>
        <v>0</v>
      </c>
      <c r="N86" s="21">
        <f>IF(M86="","",M86+Inputs!$B$5/Inputs!$B$14*(Inputs!$C$14*(Inputs!$C$28*NGS_Bacteria_Input!$B$13-M86)+Inputs!$D$14*(M13-M86)+Inputs!$E$14*(Inputs!$D$28*NGS_Bacteria_Input!$C$13-M86)))</f>
        <v>0</v>
      </c>
      <c r="O86" s="21">
        <f>IF(N86="","",N86+Inputs!$B$5/Inputs!$B$14*(Inputs!$C$14*(Inputs!$C$28*NGS_Bacteria_Input!$B$13-N86)+Inputs!$D$14*(N13-N86)+Inputs!$E$14*(Inputs!$D$28*NGS_Bacteria_Input!$C$13-N86)))</f>
        <v>0</v>
      </c>
      <c r="P86" s="21">
        <f>IF(O86="","",O86+Inputs!$B$5/Inputs!$B$14*(Inputs!$C$14*(Inputs!$C$28*NGS_Bacteria_Input!$B$13-O86)+Inputs!$D$14*(O13-O86)+Inputs!$E$14*(Inputs!$D$28*NGS_Bacteria_Input!$C$13-O86)))</f>
        <v>0</v>
      </c>
      <c r="Q86" s="21">
        <f>IF(P86="","",P86+Inputs!$B$5/Inputs!$B$14*(Inputs!$C$14*(Inputs!$C$28*NGS_Bacteria_Input!$B$13-P86)+Inputs!$D$14*(P13-P86)+Inputs!$E$14*(Inputs!$D$28*NGS_Bacteria_Input!$C$13-P86)))</f>
        <v>0</v>
      </c>
      <c r="R86" s="21">
        <f>IF(Q86="","",Q86+Inputs!$B$5/Inputs!$B$14*(Inputs!$C$14*(Inputs!$C$28*NGS_Bacteria_Input!$B$13-Q86)+Inputs!$D$14*(Q13-Q86)+Inputs!$E$14*(Inputs!$D$28*NGS_Bacteria_Input!$C$13-Q86)))</f>
        <v>0</v>
      </c>
      <c r="S86" s="21">
        <f>IF(R86="","",R86+Inputs!$B$5/Inputs!$B$14*(Inputs!$C$14*(Inputs!$C$28*NGS_Bacteria_Input!$B$13-R86)+Inputs!$D$14*(R13-R86)+Inputs!$E$14*(Inputs!$D$28*NGS_Bacteria_Input!$C$13-R86)))</f>
        <v>0</v>
      </c>
      <c r="T86" s="21">
        <f>IF(S86="","",S86+Inputs!$B$5/Inputs!$B$14*(Inputs!$C$14*(Inputs!$C$28*NGS_Bacteria_Input!$B$13-S86)+Inputs!$D$14*(S13-S86)+Inputs!$E$14*(Inputs!$D$28*NGS_Bacteria_Input!$C$13-S86)))</f>
        <v>0</v>
      </c>
      <c r="U86" s="21">
        <f>IF(T86="","",T86+Inputs!$B$5/Inputs!$B$14*(Inputs!$C$14*(Inputs!$C$28*NGS_Bacteria_Input!$B$13-T86)+Inputs!$D$14*(T13-T86)+Inputs!$E$14*(Inputs!$D$28*NGS_Bacteria_Input!$C$13-T86)))</f>
        <v>0</v>
      </c>
      <c r="V86" s="21">
        <f>IF(U86="","",U86+Inputs!$B$5/Inputs!$B$14*(Inputs!$C$14*(Inputs!$C$28*NGS_Bacteria_Input!$B$13-U86)+Inputs!$D$14*(U13-U86)+Inputs!$E$14*(Inputs!$D$28*NGS_Bacteria_Input!$C$13-U86)))</f>
        <v>0</v>
      </c>
      <c r="W86" s="21">
        <f>IF(V86="","",V86+Inputs!$B$5/Inputs!$B$14*(Inputs!$C$14*(Inputs!$C$28*NGS_Bacteria_Input!$B$13-V86)+Inputs!$D$14*(V13-V86)+Inputs!$E$14*(Inputs!$D$28*NGS_Bacteria_Input!$C$13-V86)))</f>
        <v>0</v>
      </c>
    </row>
    <row r="87" spans="1:23" ht="18" customHeight="1" x14ac:dyDescent="0.25">
      <c r="A87" s="11" t="str">
        <f>NGS_Bacteria_Input!A14</f>
        <v>Bac_taxon_10</v>
      </c>
      <c r="B87" s="21">
        <f>IF(Inputs!$G$37="","",Inputs!$G$37*NGS_Bacteria_Input!$F$14)</f>
        <v>0</v>
      </c>
      <c r="C87" s="21">
        <f>IF(B87="","",B87+Inputs!$B$5/Inputs!$B$14*(Inputs!$C$14*(Inputs!$C$28*NGS_Bacteria_Input!$B$14-B87)+Inputs!$D$14*(B14-B87)+Inputs!$E$14*(Inputs!$D$28*NGS_Bacteria_Input!$C$14-B87)))</f>
        <v>0</v>
      </c>
      <c r="D87" s="21">
        <f>IF(C87="","",C87+Inputs!$B$5/Inputs!$B$14*(Inputs!$C$14*(Inputs!$C$28*NGS_Bacteria_Input!$B$14-C87)+Inputs!$D$14*(C14-C87)+Inputs!$E$14*(Inputs!$D$28*NGS_Bacteria_Input!$C$14-C87)))</f>
        <v>0</v>
      </c>
      <c r="E87" s="21">
        <f>IF(D87="","",D87+Inputs!$B$5/Inputs!$B$14*(Inputs!$C$14*(Inputs!$C$28*NGS_Bacteria_Input!$B$14-D87)+Inputs!$D$14*(D14-D87)+Inputs!$E$14*(Inputs!$D$28*NGS_Bacteria_Input!$C$14-D87)))</f>
        <v>0</v>
      </c>
      <c r="F87" s="21">
        <f>IF(E87="","",E87+Inputs!$B$5/Inputs!$B$14*(Inputs!$C$14*(Inputs!$C$28*NGS_Bacteria_Input!$B$14-E87)+Inputs!$D$14*(E14-E87)+Inputs!$E$14*(Inputs!$D$28*NGS_Bacteria_Input!$C$14-E87)))</f>
        <v>0</v>
      </c>
      <c r="G87" s="21">
        <f>IF(F87="","",F87+Inputs!$B$5/Inputs!$B$14*(Inputs!$C$14*(Inputs!$C$28*NGS_Bacteria_Input!$B$14-F87)+Inputs!$D$14*(F14-F87)+Inputs!$E$14*(Inputs!$D$28*NGS_Bacteria_Input!$C$14-F87)))</f>
        <v>0</v>
      </c>
      <c r="H87" s="21">
        <f>IF(G87="","",G87+Inputs!$B$5/Inputs!$B$14*(Inputs!$C$14*(Inputs!$C$28*NGS_Bacteria_Input!$B$14-G87)+Inputs!$D$14*(G14-G87)+Inputs!$E$14*(Inputs!$D$28*NGS_Bacteria_Input!$C$14-G87)))</f>
        <v>0</v>
      </c>
      <c r="I87" s="21">
        <f>IF(H87="","",H87+Inputs!$B$5/Inputs!$B$14*(Inputs!$C$14*(Inputs!$C$28*NGS_Bacteria_Input!$B$14-H87)+Inputs!$D$14*(H14-H87)+Inputs!$E$14*(Inputs!$D$28*NGS_Bacteria_Input!$C$14-H87)))</f>
        <v>0</v>
      </c>
      <c r="J87" s="21">
        <f>IF(I87="","",I87+Inputs!$B$5/Inputs!$B$14*(Inputs!$C$14*(Inputs!$C$28*NGS_Bacteria_Input!$B$14-I87)+Inputs!$D$14*(I14-I87)+Inputs!$E$14*(Inputs!$D$28*NGS_Bacteria_Input!$C$14-I87)))</f>
        <v>0</v>
      </c>
      <c r="K87" s="21">
        <f>IF(J87="","",J87+Inputs!$B$5/Inputs!$B$14*(Inputs!$C$14*(Inputs!$C$28*NGS_Bacteria_Input!$B$14-J87)+Inputs!$D$14*(J14-J87)+Inputs!$E$14*(Inputs!$D$28*NGS_Bacteria_Input!$C$14-J87)))</f>
        <v>0</v>
      </c>
      <c r="L87" s="21">
        <f>IF(K87="","",K87+Inputs!$B$5/Inputs!$B$14*(Inputs!$C$14*(Inputs!$C$28*NGS_Bacteria_Input!$B$14-K87)+Inputs!$D$14*(K14-K87)+Inputs!$E$14*(Inputs!$D$28*NGS_Bacteria_Input!$C$14-K87)))</f>
        <v>0</v>
      </c>
      <c r="M87" s="21">
        <f>IF(L87="","",L87+Inputs!$B$5/Inputs!$B$14*(Inputs!$C$14*(Inputs!$C$28*NGS_Bacteria_Input!$B$14-L87)+Inputs!$D$14*(L14-L87)+Inputs!$E$14*(Inputs!$D$28*NGS_Bacteria_Input!$C$14-L87)))</f>
        <v>0</v>
      </c>
      <c r="N87" s="21">
        <f>IF(M87="","",M87+Inputs!$B$5/Inputs!$B$14*(Inputs!$C$14*(Inputs!$C$28*NGS_Bacteria_Input!$B$14-M87)+Inputs!$D$14*(M14-M87)+Inputs!$E$14*(Inputs!$D$28*NGS_Bacteria_Input!$C$14-M87)))</f>
        <v>0</v>
      </c>
      <c r="O87" s="21">
        <f>IF(N87="","",N87+Inputs!$B$5/Inputs!$B$14*(Inputs!$C$14*(Inputs!$C$28*NGS_Bacteria_Input!$B$14-N87)+Inputs!$D$14*(N14-N87)+Inputs!$E$14*(Inputs!$D$28*NGS_Bacteria_Input!$C$14-N87)))</f>
        <v>0</v>
      </c>
      <c r="P87" s="21">
        <f>IF(O87="","",O87+Inputs!$B$5/Inputs!$B$14*(Inputs!$C$14*(Inputs!$C$28*NGS_Bacteria_Input!$B$14-O87)+Inputs!$D$14*(O14-O87)+Inputs!$E$14*(Inputs!$D$28*NGS_Bacteria_Input!$C$14-O87)))</f>
        <v>0</v>
      </c>
      <c r="Q87" s="21">
        <f>IF(P87="","",P87+Inputs!$B$5/Inputs!$B$14*(Inputs!$C$14*(Inputs!$C$28*NGS_Bacteria_Input!$B$14-P87)+Inputs!$D$14*(P14-P87)+Inputs!$E$14*(Inputs!$D$28*NGS_Bacteria_Input!$C$14-P87)))</f>
        <v>0</v>
      </c>
      <c r="R87" s="21">
        <f>IF(Q87="","",Q87+Inputs!$B$5/Inputs!$B$14*(Inputs!$C$14*(Inputs!$C$28*NGS_Bacteria_Input!$B$14-Q87)+Inputs!$D$14*(Q14-Q87)+Inputs!$E$14*(Inputs!$D$28*NGS_Bacteria_Input!$C$14-Q87)))</f>
        <v>0</v>
      </c>
      <c r="S87" s="21">
        <f>IF(R87="","",R87+Inputs!$B$5/Inputs!$B$14*(Inputs!$C$14*(Inputs!$C$28*NGS_Bacteria_Input!$B$14-R87)+Inputs!$D$14*(R14-R87)+Inputs!$E$14*(Inputs!$D$28*NGS_Bacteria_Input!$C$14-R87)))</f>
        <v>0</v>
      </c>
      <c r="T87" s="21">
        <f>IF(S87="","",S87+Inputs!$B$5/Inputs!$B$14*(Inputs!$C$14*(Inputs!$C$28*NGS_Bacteria_Input!$B$14-S87)+Inputs!$D$14*(S14-S87)+Inputs!$E$14*(Inputs!$D$28*NGS_Bacteria_Input!$C$14-S87)))</f>
        <v>0</v>
      </c>
      <c r="U87" s="21">
        <f>IF(T87="","",T87+Inputs!$B$5/Inputs!$B$14*(Inputs!$C$14*(Inputs!$C$28*NGS_Bacteria_Input!$B$14-T87)+Inputs!$D$14*(T14-T87)+Inputs!$E$14*(Inputs!$D$28*NGS_Bacteria_Input!$C$14-T87)))</f>
        <v>0</v>
      </c>
      <c r="V87" s="21">
        <f>IF(U87="","",U87+Inputs!$B$5/Inputs!$B$14*(Inputs!$C$14*(Inputs!$C$28*NGS_Bacteria_Input!$B$14-U87)+Inputs!$D$14*(U14-U87)+Inputs!$E$14*(Inputs!$D$28*NGS_Bacteria_Input!$C$14-U87)))</f>
        <v>0</v>
      </c>
      <c r="W87" s="21">
        <f>IF(V87="","",V87+Inputs!$B$5/Inputs!$B$14*(Inputs!$C$14*(Inputs!$C$28*NGS_Bacteria_Input!$B$14-V87)+Inputs!$D$14*(V14-V87)+Inputs!$E$14*(Inputs!$D$28*NGS_Bacteria_Input!$C$14-V87)))</f>
        <v>0</v>
      </c>
    </row>
    <row r="88" spans="1:23" ht="18" customHeight="1" x14ac:dyDescent="0.25">
      <c r="A88" s="11" t="str">
        <f>NGS_Bacteria_Input!A15</f>
        <v>Others</v>
      </c>
      <c r="B88" s="21">
        <f>IF(Inputs!$G$37="","",Inputs!$G$37*NGS_Bacteria_Input!$F$15)</f>
        <v>1404076.3592878305</v>
      </c>
      <c r="C88" s="21">
        <f>IF(B88="","",B88+Inputs!$B$5/Inputs!$B$14*(Inputs!$C$14*(Inputs!$C$28*NGS_Bacteria_Input!$B$15-B88)+Inputs!$D$14*(B15-B88)+Inputs!$E$14*(Inputs!$D$28*NGS_Bacteria_Input!$C$15-B88)))</f>
        <v>1369449.2575240072</v>
      </c>
      <c r="D88" s="21">
        <f>IF(C88="","",C88+Inputs!$B$5/Inputs!$B$14*(Inputs!$C$14*(Inputs!$C$28*NGS_Bacteria_Input!$B$15-C88)+Inputs!$D$14*(C15-C88)+Inputs!$E$14*(Inputs!$D$28*NGS_Bacteria_Input!$C$15-C88)))</f>
        <v>1335772.9488184466</v>
      </c>
      <c r="E88" s="21">
        <f>IF(D88="","",D88+Inputs!$B$5/Inputs!$B$14*(Inputs!$C$14*(Inputs!$C$28*NGS_Bacteria_Input!$B$15-D88)+Inputs!$D$14*(D15-D88)+Inputs!$E$14*(Inputs!$D$28*NGS_Bacteria_Input!$C$15-D88)))</f>
        <v>1303018.7406967101</v>
      </c>
      <c r="F88" s="21">
        <f>IF(E88="","",E88+Inputs!$B$5/Inputs!$B$14*(Inputs!$C$14*(Inputs!$C$28*NGS_Bacteria_Input!$B$15-E88)+Inputs!$D$14*(E15-E88)+Inputs!$E$14*(Inputs!$D$28*NGS_Bacteria_Input!$C$15-E88)))</f>
        <v>1271158.8737599743</v>
      </c>
      <c r="G88" s="21">
        <f>IF(F88="","",F88+Inputs!$B$5/Inputs!$B$14*(Inputs!$C$14*(Inputs!$C$28*NGS_Bacteria_Input!$B$15-F88)+Inputs!$D$14*(F15-F88)+Inputs!$E$14*(Inputs!$D$28*NGS_Bacteria_Input!$C$15-F88)))</f>
        <v>1240166.4900960575</v>
      </c>
      <c r="H88" s="21">
        <f>IF(G88="","",G88+Inputs!$B$5/Inputs!$B$14*(Inputs!$C$14*(Inputs!$C$28*NGS_Bacteria_Input!$B$15-G88)+Inputs!$D$14*(G15-G88)+Inputs!$E$14*(Inputs!$D$28*NGS_Bacteria_Input!$C$15-G88)))</f>
        <v>1210015.6027600351</v>
      </c>
      <c r="I88" s="21">
        <f>IF(H88="","",H88+Inputs!$B$5/Inputs!$B$14*(Inputs!$C$14*(Inputs!$C$28*NGS_Bacteria_Input!$B$15-H88)+Inputs!$D$14*(H15-H88)+Inputs!$E$14*(Inputs!$D$28*NGS_Bacteria_Input!$C$15-H88)))</f>
        <v>1180681.066289901</v>
      </c>
      <c r="J88" s="21">
        <f>IF(I88="","",I88+Inputs!$B$5/Inputs!$B$14*(Inputs!$C$14*(Inputs!$C$28*NGS_Bacteria_Input!$B$15-I88)+Inputs!$D$14*(I15-I88)+Inputs!$E$14*(Inputs!$D$28*NGS_Bacteria_Input!$C$15-I88)))</f>
        <v>1152138.5482237204</v>
      </c>
      <c r="K88" s="21">
        <f>IF(J88="","",J88+Inputs!$B$5/Inputs!$B$14*(Inputs!$C$14*(Inputs!$C$28*NGS_Bacteria_Input!$B$15-J88)+Inputs!$D$14*(J15-J88)+Inputs!$E$14*(Inputs!$D$28*NGS_Bacteria_Input!$C$15-J88)))</f>
        <v>1124364.5015856728</v>
      </c>
      <c r="L88" s="21">
        <f>IF(K88="","",K88+Inputs!$B$5/Inputs!$B$14*(Inputs!$C$14*(Inputs!$C$28*NGS_Bacteria_Input!$B$15-K88)+Inputs!$D$14*(K15-K88)+Inputs!$E$14*(Inputs!$D$28*NGS_Bacteria_Input!$C$15-K88)))</f>
        <v>1097336.1383093328</v>
      </c>
      <c r="M88" s="21">
        <f>IF(L88="","",L88+Inputs!$B$5/Inputs!$B$14*(Inputs!$C$14*(Inputs!$C$28*NGS_Bacteria_Input!$B$15-L88)+Inputs!$D$14*(L15-L88)+Inputs!$E$14*(Inputs!$D$28*NGS_Bacteria_Input!$C$15-L88)))</f>
        <v>1071031.4035674557</v>
      </c>
      <c r="N88" s="21">
        <f>IF(M88="","",M88+Inputs!$B$5/Inputs!$B$14*(Inputs!$C$14*(Inputs!$C$28*NGS_Bacteria_Input!$B$15-M88)+Inputs!$D$14*(M15-M88)+Inputs!$E$14*(Inputs!$D$28*NGS_Bacteria_Input!$C$15-M88)))</f>
        <v>1045428.9509784428</v>
      </c>
      <c r="O88" s="21">
        <f>IF(N88="","",N88+Inputs!$B$5/Inputs!$B$14*(Inputs!$C$14*(Inputs!$C$28*NGS_Bacteria_Input!$B$15-N88)+Inputs!$D$14*(N15-N88)+Inputs!$E$14*(Inputs!$D$28*NGS_Bacteria_Input!$C$15-N88)))</f>
        <v>1020508.1186605403</v>
      </c>
      <c r="P88" s="21">
        <f>IF(O88="","",O88+Inputs!$B$5/Inputs!$B$14*(Inputs!$C$14*(Inputs!$C$28*NGS_Bacteria_Input!$B$15-O88)+Inputs!$D$14*(O15-O88)+Inputs!$E$14*(Inputs!$D$28*NGS_Bacteria_Input!$C$15-O88)))</f>
        <v>996248.90610569785</v>
      </c>
      <c r="Q88" s="21">
        <f>IF(P88="","",P88+Inputs!$B$5/Inputs!$B$14*(Inputs!$C$14*(Inputs!$C$28*NGS_Bacteria_Input!$B$15-P88)+Inputs!$D$14*(P15-P88)+Inputs!$E$14*(Inputs!$D$28*NGS_Bacteria_Input!$C$15-P88)))</f>
        <v>972631.95184585219</v>
      </c>
      <c r="R88" s="21">
        <f>IF(Q88="","",Q88+Inputs!$B$5/Inputs!$B$14*(Inputs!$C$14*(Inputs!$C$28*NGS_Bacteria_Input!$B$15-Q88)+Inputs!$D$14*(Q15-Q88)+Inputs!$E$14*(Inputs!$D$28*NGS_Bacteria_Input!$C$15-Q88)))</f>
        <v>949638.51188522961</v>
      </c>
      <c r="S88" s="21">
        <f>IF(R88="","",R88+Inputs!$B$5/Inputs!$B$14*(Inputs!$C$14*(Inputs!$C$28*NGS_Bacteria_Input!$B$15-R88)+Inputs!$D$14*(R15-R88)+Inputs!$E$14*(Inputs!$D$28*NGS_Bacteria_Input!$C$15-R88)))</f>
        <v>927250.4388730675</v>
      </c>
      <c r="T88" s="21">
        <f>IF(S88="","",S88+Inputs!$B$5/Inputs!$B$14*(Inputs!$C$14*(Inputs!$C$28*NGS_Bacteria_Input!$B$15-S88)+Inputs!$D$14*(S15-S88)+Inputs!$E$14*(Inputs!$D$28*NGS_Bacteria_Input!$C$15-S88)))</f>
        <v>905450.16199194046</v>
      </c>
      <c r="U88" s="21">
        <f>IF(T88="","",T88+Inputs!$B$5/Inputs!$B$14*(Inputs!$C$14*(Inputs!$C$28*NGS_Bacteria_Input!$B$15-T88)+Inputs!$D$14*(T15-T88)+Inputs!$E$14*(Inputs!$D$28*NGS_Bacteria_Input!$C$15-T88)))</f>
        <v>884220.66753764555</v>
      </c>
      <c r="V88" s="21">
        <f>IF(U88="","",U88+Inputs!$B$5/Inputs!$B$14*(Inputs!$C$14*(Inputs!$C$28*NGS_Bacteria_Input!$B$15-U88)+Inputs!$D$14*(U15-U88)+Inputs!$E$14*(Inputs!$D$28*NGS_Bacteria_Input!$C$15-U88)))</f>
        <v>863545.48016734666</v>
      </c>
      <c r="W88" s="21">
        <f>IF(V88="","",V88+Inputs!$B$5/Inputs!$B$14*(Inputs!$C$14*(Inputs!$C$28*NGS_Bacteria_Input!$B$15-V88)+Inputs!$D$14*(V15-V88)+Inputs!$E$14*(Inputs!$D$28*NGS_Bacteria_Input!$C$15-V88)))</f>
        <v>843408.64479341044</v>
      </c>
    </row>
    <row r="89" spans="1:23" ht="18" customHeight="1" x14ac:dyDescent="0.25"/>
    <row r="90" spans="1:23" ht="18" customHeight="1" x14ac:dyDescent="0.25">
      <c r="A90" s="25" t="s">
        <v>162</v>
      </c>
    </row>
    <row r="91" spans="1:23" ht="18" customHeight="1" x14ac:dyDescent="0.25">
      <c r="A91" s="11" t="str">
        <f>NGS_Bacteria_Input!A5</f>
        <v>Bac_taxon_1</v>
      </c>
      <c r="B91" s="14">
        <f>IF(BAC_ARC_Daily!P5&lt;&gt;0,B78/BAC_ARC_Daily!P5,"")</f>
        <v>0</v>
      </c>
      <c r="C91" s="14">
        <f>IF(BAC_ARC_Daily!P6&lt;&gt;0,C78/BAC_ARC_Daily!P6,"")</f>
        <v>0</v>
      </c>
      <c r="D91" s="14">
        <f>IF(BAC_ARC_Daily!P7&lt;&gt;0,D78/BAC_ARC_Daily!P7,"")</f>
        <v>0</v>
      </c>
      <c r="E91" s="14">
        <f>IF(BAC_ARC_Daily!P8&lt;&gt;0,E78/BAC_ARC_Daily!P8,"")</f>
        <v>0</v>
      </c>
      <c r="F91" s="14">
        <f>IF(BAC_ARC_Daily!P9&lt;&gt;0,F78/BAC_ARC_Daily!P9,"")</f>
        <v>0</v>
      </c>
      <c r="G91" s="14">
        <f>IF(BAC_ARC_Daily!P10&lt;&gt;0,G78/BAC_ARC_Daily!P10,"")</f>
        <v>0</v>
      </c>
      <c r="H91" s="14">
        <f>IF(BAC_ARC_Daily!P11&lt;&gt;0,H78/BAC_ARC_Daily!P11,"")</f>
        <v>0</v>
      </c>
      <c r="I91" s="14">
        <f>IF(BAC_ARC_Daily!P12&lt;&gt;0,I78/BAC_ARC_Daily!P12,"")</f>
        <v>0</v>
      </c>
      <c r="J91" s="14">
        <f>IF(BAC_ARC_Daily!P13&lt;&gt;0,J78/BAC_ARC_Daily!P13,"")</f>
        <v>0</v>
      </c>
      <c r="K91" s="14">
        <f>IF(BAC_ARC_Daily!P14&lt;&gt;0,K78/BAC_ARC_Daily!P14,"")</f>
        <v>0</v>
      </c>
      <c r="L91" s="14">
        <f>IF(BAC_ARC_Daily!P15&lt;&gt;0,L78/BAC_ARC_Daily!P15,"")</f>
        <v>0</v>
      </c>
      <c r="M91" s="14">
        <f>IF(BAC_ARC_Daily!P16&lt;&gt;0,M78/BAC_ARC_Daily!P16,"")</f>
        <v>0</v>
      </c>
      <c r="N91" s="14">
        <f>IF(BAC_ARC_Daily!P17&lt;&gt;0,N78/BAC_ARC_Daily!P17,"")</f>
        <v>0</v>
      </c>
      <c r="O91" s="14">
        <f>IF(BAC_ARC_Daily!P18&lt;&gt;0,O78/BAC_ARC_Daily!P18,"")</f>
        <v>0</v>
      </c>
      <c r="P91" s="14">
        <f>IF(BAC_ARC_Daily!P19&lt;&gt;0,P78/BAC_ARC_Daily!P19,"")</f>
        <v>0</v>
      </c>
      <c r="Q91" s="14">
        <f>IF(BAC_ARC_Daily!P20&lt;&gt;0,Q78/BAC_ARC_Daily!P20,"")</f>
        <v>0</v>
      </c>
      <c r="R91" s="14">
        <f>IF(BAC_ARC_Daily!P21&lt;&gt;0,R78/BAC_ARC_Daily!P21,"")</f>
        <v>0</v>
      </c>
      <c r="S91" s="14">
        <f>IF(BAC_ARC_Daily!P22&lt;&gt;0,S78/BAC_ARC_Daily!P22,"")</f>
        <v>0</v>
      </c>
      <c r="T91" s="14">
        <f>IF(BAC_ARC_Daily!P23&lt;&gt;0,T78/BAC_ARC_Daily!P23,"")</f>
        <v>0</v>
      </c>
      <c r="U91" s="14">
        <f>IF(BAC_ARC_Daily!P24&lt;&gt;0,U78/BAC_ARC_Daily!P24,"")</f>
        <v>0</v>
      </c>
      <c r="V91" s="14">
        <f>IF(BAC_ARC_Daily!P25&lt;&gt;0,V78/BAC_ARC_Daily!P25,"")</f>
        <v>0</v>
      </c>
      <c r="W91" s="14">
        <f>IF(BAC_ARC_Daily!P26&lt;&gt;0,W78/BAC_ARC_Daily!P26,"")</f>
        <v>0</v>
      </c>
    </row>
    <row r="92" spans="1:23" ht="18" customHeight="1" x14ac:dyDescent="0.25">
      <c r="A92" s="11" t="str">
        <f>NGS_Bacteria_Input!A6</f>
        <v>Bac_taxon_2</v>
      </c>
      <c r="B92" s="14">
        <f>IF(BAC_ARC_Daily!P5&lt;&gt;0,B79/BAC_ARC_Daily!P5,"")</f>
        <v>0</v>
      </c>
      <c r="C92" s="14">
        <f>IF(BAC_ARC_Daily!P6&lt;&gt;0,C79/BAC_ARC_Daily!P6,"")</f>
        <v>0</v>
      </c>
      <c r="D92" s="14">
        <f>IF(BAC_ARC_Daily!P7&lt;&gt;0,D79/BAC_ARC_Daily!P7,"")</f>
        <v>0</v>
      </c>
      <c r="E92" s="14">
        <f>IF(BAC_ARC_Daily!P8&lt;&gt;0,E79/BAC_ARC_Daily!P8,"")</f>
        <v>0</v>
      </c>
      <c r="F92" s="14">
        <f>IF(BAC_ARC_Daily!P9&lt;&gt;0,F79/BAC_ARC_Daily!P9,"")</f>
        <v>0</v>
      </c>
      <c r="G92" s="14">
        <f>IF(BAC_ARC_Daily!P10&lt;&gt;0,G79/BAC_ARC_Daily!P10,"")</f>
        <v>0</v>
      </c>
      <c r="H92" s="14">
        <f>IF(BAC_ARC_Daily!P11&lt;&gt;0,H79/BAC_ARC_Daily!P11,"")</f>
        <v>0</v>
      </c>
      <c r="I92" s="14">
        <f>IF(BAC_ARC_Daily!P12&lt;&gt;0,I79/BAC_ARC_Daily!P12,"")</f>
        <v>0</v>
      </c>
      <c r="J92" s="14">
        <f>IF(BAC_ARC_Daily!P13&lt;&gt;0,J79/BAC_ARC_Daily!P13,"")</f>
        <v>0</v>
      </c>
      <c r="K92" s="14">
        <f>IF(BAC_ARC_Daily!P14&lt;&gt;0,K79/BAC_ARC_Daily!P14,"")</f>
        <v>0</v>
      </c>
      <c r="L92" s="14">
        <f>IF(BAC_ARC_Daily!P15&lt;&gt;0,L79/BAC_ARC_Daily!P15,"")</f>
        <v>0</v>
      </c>
      <c r="M92" s="14">
        <f>IF(BAC_ARC_Daily!P16&lt;&gt;0,M79/BAC_ARC_Daily!P16,"")</f>
        <v>0</v>
      </c>
      <c r="N92" s="14">
        <f>IF(BAC_ARC_Daily!P17&lt;&gt;0,N79/BAC_ARC_Daily!P17,"")</f>
        <v>0</v>
      </c>
      <c r="O92" s="14">
        <f>IF(BAC_ARC_Daily!P18&lt;&gt;0,O79/BAC_ARC_Daily!P18,"")</f>
        <v>0</v>
      </c>
      <c r="P92" s="14">
        <f>IF(BAC_ARC_Daily!P19&lt;&gt;0,P79/BAC_ARC_Daily!P19,"")</f>
        <v>0</v>
      </c>
      <c r="Q92" s="14">
        <f>IF(BAC_ARC_Daily!P20&lt;&gt;0,Q79/BAC_ARC_Daily!P20,"")</f>
        <v>0</v>
      </c>
      <c r="R92" s="14">
        <f>IF(BAC_ARC_Daily!P21&lt;&gt;0,R79/BAC_ARC_Daily!P21,"")</f>
        <v>0</v>
      </c>
      <c r="S92" s="14">
        <f>IF(BAC_ARC_Daily!P22&lt;&gt;0,S79/BAC_ARC_Daily!P22,"")</f>
        <v>0</v>
      </c>
      <c r="T92" s="14">
        <f>IF(BAC_ARC_Daily!P23&lt;&gt;0,T79/BAC_ARC_Daily!P23,"")</f>
        <v>0</v>
      </c>
      <c r="U92" s="14">
        <f>IF(BAC_ARC_Daily!P24&lt;&gt;0,U79/BAC_ARC_Daily!P24,"")</f>
        <v>0</v>
      </c>
      <c r="V92" s="14">
        <f>IF(BAC_ARC_Daily!P25&lt;&gt;0,V79/BAC_ARC_Daily!P25,"")</f>
        <v>0</v>
      </c>
      <c r="W92" s="14">
        <f>IF(BAC_ARC_Daily!P26&lt;&gt;0,W79/BAC_ARC_Daily!P26,"")</f>
        <v>0</v>
      </c>
    </row>
    <row r="93" spans="1:23" ht="18" customHeight="1" x14ac:dyDescent="0.25">
      <c r="A93" s="11" t="str">
        <f>NGS_Bacteria_Input!A7</f>
        <v>Bac_taxon_3</v>
      </c>
      <c r="B93" s="14">
        <f>IF(BAC_ARC_Daily!P5&lt;&gt;0,B80/BAC_ARC_Daily!P5,"")</f>
        <v>0</v>
      </c>
      <c r="C93" s="14">
        <f>IF(BAC_ARC_Daily!P6&lt;&gt;0,C80/BAC_ARC_Daily!P6,"")</f>
        <v>0</v>
      </c>
      <c r="D93" s="14">
        <f>IF(BAC_ARC_Daily!P7&lt;&gt;0,D80/BAC_ARC_Daily!P7,"")</f>
        <v>0</v>
      </c>
      <c r="E93" s="14">
        <f>IF(BAC_ARC_Daily!P8&lt;&gt;0,E80/BAC_ARC_Daily!P8,"")</f>
        <v>0</v>
      </c>
      <c r="F93" s="14">
        <f>IF(BAC_ARC_Daily!P9&lt;&gt;0,F80/BAC_ARC_Daily!P9,"")</f>
        <v>0</v>
      </c>
      <c r="G93" s="14">
        <f>IF(BAC_ARC_Daily!P10&lt;&gt;0,G80/BAC_ARC_Daily!P10,"")</f>
        <v>0</v>
      </c>
      <c r="H93" s="14">
        <f>IF(BAC_ARC_Daily!P11&lt;&gt;0,H80/BAC_ARC_Daily!P11,"")</f>
        <v>0</v>
      </c>
      <c r="I93" s="14">
        <f>IF(BAC_ARC_Daily!P12&lt;&gt;0,I80/BAC_ARC_Daily!P12,"")</f>
        <v>0</v>
      </c>
      <c r="J93" s="14">
        <f>IF(BAC_ARC_Daily!P13&lt;&gt;0,J80/BAC_ARC_Daily!P13,"")</f>
        <v>0</v>
      </c>
      <c r="K93" s="14">
        <f>IF(BAC_ARC_Daily!P14&lt;&gt;0,K80/BAC_ARC_Daily!P14,"")</f>
        <v>0</v>
      </c>
      <c r="L93" s="14">
        <f>IF(BAC_ARC_Daily!P15&lt;&gt;0,L80/BAC_ARC_Daily!P15,"")</f>
        <v>0</v>
      </c>
      <c r="M93" s="14">
        <f>IF(BAC_ARC_Daily!P16&lt;&gt;0,M80/BAC_ARC_Daily!P16,"")</f>
        <v>0</v>
      </c>
      <c r="N93" s="14">
        <f>IF(BAC_ARC_Daily!P17&lt;&gt;0,N80/BAC_ARC_Daily!P17,"")</f>
        <v>0</v>
      </c>
      <c r="O93" s="14">
        <f>IF(BAC_ARC_Daily!P18&lt;&gt;0,O80/BAC_ARC_Daily!P18,"")</f>
        <v>0</v>
      </c>
      <c r="P93" s="14">
        <f>IF(BAC_ARC_Daily!P19&lt;&gt;0,P80/BAC_ARC_Daily!P19,"")</f>
        <v>0</v>
      </c>
      <c r="Q93" s="14">
        <f>IF(BAC_ARC_Daily!P20&lt;&gt;0,Q80/BAC_ARC_Daily!P20,"")</f>
        <v>0</v>
      </c>
      <c r="R93" s="14">
        <f>IF(BAC_ARC_Daily!P21&lt;&gt;0,R80/BAC_ARC_Daily!P21,"")</f>
        <v>0</v>
      </c>
      <c r="S93" s="14">
        <f>IF(BAC_ARC_Daily!P22&lt;&gt;0,S80/BAC_ARC_Daily!P22,"")</f>
        <v>0</v>
      </c>
      <c r="T93" s="14">
        <f>IF(BAC_ARC_Daily!P23&lt;&gt;0,T80/BAC_ARC_Daily!P23,"")</f>
        <v>0</v>
      </c>
      <c r="U93" s="14">
        <f>IF(BAC_ARC_Daily!P24&lt;&gt;0,U80/BAC_ARC_Daily!P24,"")</f>
        <v>0</v>
      </c>
      <c r="V93" s="14">
        <f>IF(BAC_ARC_Daily!P25&lt;&gt;0,V80/BAC_ARC_Daily!P25,"")</f>
        <v>0</v>
      </c>
      <c r="W93" s="14">
        <f>IF(BAC_ARC_Daily!P26&lt;&gt;0,W80/BAC_ARC_Daily!P26,"")</f>
        <v>0</v>
      </c>
    </row>
    <row r="94" spans="1:23" ht="18" customHeight="1" x14ac:dyDescent="0.25">
      <c r="A94" s="11" t="str">
        <f>NGS_Bacteria_Input!A8</f>
        <v>Bac_taxon_4</v>
      </c>
      <c r="B94" s="14">
        <f>IF(BAC_ARC_Daily!P5&lt;&gt;0,B81/BAC_ARC_Daily!P5,"")</f>
        <v>0</v>
      </c>
      <c r="C94" s="14">
        <f>IF(BAC_ARC_Daily!P6&lt;&gt;0,C81/BAC_ARC_Daily!P6,"")</f>
        <v>0</v>
      </c>
      <c r="D94" s="14">
        <f>IF(BAC_ARC_Daily!P7&lt;&gt;0,D81/BAC_ARC_Daily!P7,"")</f>
        <v>0</v>
      </c>
      <c r="E94" s="14">
        <f>IF(BAC_ARC_Daily!P8&lt;&gt;0,E81/BAC_ARC_Daily!P8,"")</f>
        <v>0</v>
      </c>
      <c r="F94" s="14">
        <f>IF(BAC_ARC_Daily!P9&lt;&gt;0,F81/BAC_ARC_Daily!P9,"")</f>
        <v>0</v>
      </c>
      <c r="G94" s="14">
        <f>IF(BAC_ARC_Daily!P10&lt;&gt;0,G81/BAC_ARC_Daily!P10,"")</f>
        <v>0</v>
      </c>
      <c r="H94" s="14">
        <f>IF(BAC_ARC_Daily!P11&lt;&gt;0,H81/BAC_ARC_Daily!P11,"")</f>
        <v>0</v>
      </c>
      <c r="I94" s="14">
        <f>IF(BAC_ARC_Daily!P12&lt;&gt;0,I81/BAC_ARC_Daily!P12,"")</f>
        <v>0</v>
      </c>
      <c r="J94" s="14">
        <f>IF(BAC_ARC_Daily!P13&lt;&gt;0,J81/BAC_ARC_Daily!P13,"")</f>
        <v>0</v>
      </c>
      <c r="K94" s="14">
        <f>IF(BAC_ARC_Daily!P14&lt;&gt;0,K81/BAC_ARC_Daily!P14,"")</f>
        <v>0</v>
      </c>
      <c r="L94" s="14">
        <f>IF(BAC_ARC_Daily!P15&lt;&gt;0,L81/BAC_ARC_Daily!P15,"")</f>
        <v>0</v>
      </c>
      <c r="M94" s="14">
        <f>IF(BAC_ARC_Daily!P16&lt;&gt;0,M81/BAC_ARC_Daily!P16,"")</f>
        <v>0</v>
      </c>
      <c r="N94" s="14">
        <f>IF(BAC_ARC_Daily!P17&lt;&gt;0,N81/BAC_ARC_Daily!P17,"")</f>
        <v>0</v>
      </c>
      <c r="O94" s="14">
        <f>IF(BAC_ARC_Daily!P18&lt;&gt;0,O81/BAC_ARC_Daily!P18,"")</f>
        <v>0</v>
      </c>
      <c r="P94" s="14">
        <f>IF(BAC_ARC_Daily!P19&lt;&gt;0,P81/BAC_ARC_Daily!P19,"")</f>
        <v>0</v>
      </c>
      <c r="Q94" s="14">
        <f>IF(BAC_ARC_Daily!P20&lt;&gt;0,Q81/BAC_ARC_Daily!P20,"")</f>
        <v>0</v>
      </c>
      <c r="R94" s="14">
        <f>IF(BAC_ARC_Daily!P21&lt;&gt;0,R81/BAC_ARC_Daily!P21,"")</f>
        <v>0</v>
      </c>
      <c r="S94" s="14">
        <f>IF(BAC_ARC_Daily!P22&lt;&gt;0,S81/BAC_ARC_Daily!P22,"")</f>
        <v>0</v>
      </c>
      <c r="T94" s="14">
        <f>IF(BAC_ARC_Daily!P23&lt;&gt;0,T81/BAC_ARC_Daily!P23,"")</f>
        <v>0</v>
      </c>
      <c r="U94" s="14">
        <f>IF(BAC_ARC_Daily!P24&lt;&gt;0,U81/BAC_ARC_Daily!P24,"")</f>
        <v>0</v>
      </c>
      <c r="V94" s="14">
        <f>IF(BAC_ARC_Daily!P25&lt;&gt;0,V81/BAC_ARC_Daily!P25,"")</f>
        <v>0</v>
      </c>
      <c r="W94" s="14">
        <f>IF(BAC_ARC_Daily!P26&lt;&gt;0,W81/BAC_ARC_Daily!P26,"")</f>
        <v>0</v>
      </c>
    </row>
    <row r="95" spans="1:23" ht="18" customHeight="1" x14ac:dyDescent="0.25">
      <c r="A95" s="11" t="str">
        <f>NGS_Bacteria_Input!A9</f>
        <v>Bac_taxon_5</v>
      </c>
      <c r="B95" s="14">
        <f>IF(BAC_ARC_Daily!P5&lt;&gt;0,B82/BAC_ARC_Daily!P5,"")</f>
        <v>0</v>
      </c>
      <c r="C95" s="14">
        <f>IF(BAC_ARC_Daily!P6&lt;&gt;0,C82/BAC_ARC_Daily!P6,"")</f>
        <v>0</v>
      </c>
      <c r="D95" s="14">
        <f>IF(BAC_ARC_Daily!P7&lt;&gt;0,D82/BAC_ARC_Daily!P7,"")</f>
        <v>0</v>
      </c>
      <c r="E95" s="14">
        <f>IF(BAC_ARC_Daily!P8&lt;&gt;0,E82/BAC_ARC_Daily!P8,"")</f>
        <v>0</v>
      </c>
      <c r="F95" s="14">
        <f>IF(BAC_ARC_Daily!P9&lt;&gt;0,F82/BAC_ARC_Daily!P9,"")</f>
        <v>0</v>
      </c>
      <c r="G95" s="14">
        <f>IF(BAC_ARC_Daily!P10&lt;&gt;0,G82/BAC_ARC_Daily!P10,"")</f>
        <v>0</v>
      </c>
      <c r="H95" s="14">
        <f>IF(BAC_ARC_Daily!P11&lt;&gt;0,H82/BAC_ARC_Daily!P11,"")</f>
        <v>0</v>
      </c>
      <c r="I95" s="14">
        <f>IF(BAC_ARC_Daily!P12&lt;&gt;0,I82/BAC_ARC_Daily!P12,"")</f>
        <v>0</v>
      </c>
      <c r="J95" s="14">
        <f>IF(BAC_ARC_Daily!P13&lt;&gt;0,J82/BAC_ARC_Daily!P13,"")</f>
        <v>0</v>
      </c>
      <c r="K95" s="14">
        <f>IF(BAC_ARC_Daily!P14&lt;&gt;0,K82/BAC_ARC_Daily!P14,"")</f>
        <v>0</v>
      </c>
      <c r="L95" s="14">
        <f>IF(BAC_ARC_Daily!P15&lt;&gt;0,L82/BAC_ARC_Daily!P15,"")</f>
        <v>0</v>
      </c>
      <c r="M95" s="14">
        <f>IF(BAC_ARC_Daily!P16&lt;&gt;0,M82/BAC_ARC_Daily!P16,"")</f>
        <v>0</v>
      </c>
      <c r="N95" s="14">
        <f>IF(BAC_ARC_Daily!P17&lt;&gt;0,N82/BAC_ARC_Daily!P17,"")</f>
        <v>0</v>
      </c>
      <c r="O95" s="14">
        <f>IF(BAC_ARC_Daily!P18&lt;&gt;0,O82/BAC_ARC_Daily!P18,"")</f>
        <v>0</v>
      </c>
      <c r="P95" s="14">
        <f>IF(BAC_ARC_Daily!P19&lt;&gt;0,P82/BAC_ARC_Daily!P19,"")</f>
        <v>0</v>
      </c>
      <c r="Q95" s="14">
        <f>IF(BAC_ARC_Daily!P20&lt;&gt;0,Q82/BAC_ARC_Daily!P20,"")</f>
        <v>0</v>
      </c>
      <c r="R95" s="14">
        <f>IF(BAC_ARC_Daily!P21&lt;&gt;0,R82/BAC_ARC_Daily!P21,"")</f>
        <v>0</v>
      </c>
      <c r="S95" s="14">
        <f>IF(BAC_ARC_Daily!P22&lt;&gt;0,S82/BAC_ARC_Daily!P22,"")</f>
        <v>0</v>
      </c>
      <c r="T95" s="14">
        <f>IF(BAC_ARC_Daily!P23&lt;&gt;0,T82/BAC_ARC_Daily!P23,"")</f>
        <v>0</v>
      </c>
      <c r="U95" s="14">
        <f>IF(BAC_ARC_Daily!P24&lt;&gt;0,U82/BAC_ARC_Daily!P24,"")</f>
        <v>0</v>
      </c>
      <c r="V95" s="14">
        <f>IF(BAC_ARC_Daily!P25&lt;&gt;0,V82/BAC_ARC_Daily!P25,"")</f>
        <v>0</v>
      </c>
      <c r="W95" s="14">
        <f>IF(BAC_ARC_Daily!P26&lt;&gt;0,W82/BAC_ARC_Daily!P26,"")</f>
        <v>0</v>
      </c>
    </row>
    <row r="96" spans="1:23" ht="18" customHeight="1" x14ac:dyDescent="0.25">
      <c r="A96" s="11" t="str">
        <f>NGS_Bacteria_Input!A10</f>
        <v>Bac_taxon_6</v>
      </c>
      <c r="B96" s="14">
        <f>IF(BAC_ARC_Daily!P5&lt;&gt;0,B83/BAC_ARC_Daily!P5,"")</f>
        <v>0</v>
      </c>
      <c r="C96" s="14">
        <f>IF(BAC_ARC_Daily!P6&lt;&gt;0,C83/BAC_ARC_Daily!P6,"")</f>
        <v>0</v>
      </c>
      <c r="D96" s="14">
        <f>IF(BAC_ARC_Daily!P7&lt;&gt;0,D83/BAC_ARC_Daily!P7,"")</f>
        <v>0</v>
      </c>
      <c r="E96" s="14">
        <f>IF(BAC_ARC_Daily!P8&lt;&gt;0,E83/BAC_ARC_Daily!P8,"")</f>
        <v>0</v>
      </c>
      <c r="F96" s="14">
        <f>IF(BAC_ARC_Daily!P9&lt;&gt;0,F83/BAC_ARC_Daily!P9,"")</f>
        <v>0</v>
      </c>
      <c r="G96" s="14">
        <f>IF(BAC_ARC_Daily!P10&lt;&gt;0,G83/BAC_ARC_Daily!P10,"")</f>
        <v>0</v>
      </c>
      <c r="H96" s="14">
        <f>IF(BAC_ARC_Daily!P11&lt;&gt;0,H83/BAC_ARC_Daily!P11,"")</f>
        <v>0</v>
      </c>
      <c r="I96" s="14">
        <f>IF(BAC_ARC_Daily!P12&lt;&gt;0,I83/BAC_ARC_Daily!P12,"")</f>
        <v>0</v>
      </c>
      <c r="J96" s="14">
        <f>IF(BAC_ARC_Daily!P13&lt;&gt;0,J83/BAC_ARC_Daily!P13,"")</f>
        <v>0</v>
      </c>
      <c r="K96" s="14">
        <f>IF(BAC_ARC_Daily!P14&lt;&gt;0,K83/BAC_ARC_Daily!P14,"")</f>
        <v>0</v>
      </c>
      <c r="L96" s="14">
        <f>IF(BAC_ARC_Daily!P15&lt;&gt;0,L83/BAC_ARC_Daily!P15,"")</f>
        <v>0</v>
      </c>
      <c r="M96" s="14">
        <f>IF(BAC_ARC_Daily!P16&lt;&gt;0,M83/BAC_ARC_Daily!P16,"")</f>
        <v>0</v>
      </c>
      <c r="N96" s="14">
        <f>IF(BAC_ARC_Daily!P17&lt;&gt;0,N83/BAC_ARC_Daily!P17,"")</f>
        <v>0</v>
      </c>
      <c r="O96" s="14">
        <f>IF(BAC_ARC_Daily!P18&lt;&gt;0,O83/BAC_ARC_Daily!P18,"")</f>
        <v>0</v>
      </c>
      <c r="P96" s="14">
        <f>IF(BAC_ARC_Daily!P19&lt;&gt;0,P83/BAC_ARC_Daily!P19,"")</f>
        <v>0</v>
      </c>
      <c r="Q96" s="14">
        <f>IF(BAC_ARC_Daily!P20&lt;&gt;0,Q83/BAC_ARC_Daily!P20,"")</f>
        <v>0</v>
      </c>
      <c r="R96" s="14">
        <f>IF(BAC_ARC_Daily!P21&lt;&gt;0,R83/BAC_ARC_Daily!P21,"")</f>
        <v>0</v>
      </c>
      <c r="S96" s="14">
        <f>IF(BAC_ARC_Daily!P22&lt;&gt;0,S83/BAC_ARC_Daily!P22,"")</f>
        <v>0</v>
      </c>
      <c r="T96" s="14">
        <f>IF(BAC_ARC_Daily!P23&lt;&gt;0,T83/BAC_ARC_Daily!P23,"")</f>
        <v>0</v>
      </c>
      <c r="U96" s="14">
        <f>IF(BAC_ARC_Daily!P24&lt;&gt;0,U83/BAC_ARC_Daily!P24,"")</f>
        <v>0</v>
      </c>
      <c r="V96" s="14">
        <f>IF(BAC_ARC_Daily!P25&lt;&gt;0,V83/BAC_ARC_Daily!P25,"")</f>
        <v>0</v>
      </c>
      <c r="W96" s="14">
        <f>IF(BAC_ARC_Daily!P26&lt;&gt;0,W83/BAC_ARC_Daily!P26,"")</f>
        <v>0</v>
      </c>
    </row>
    <row r="97" spans="1:23" ht="18" customHeight="1" x14ac:dyDescent="0.25">
      <c r="A97" s="11" t="str">
        <f>NGS_Bacteria_Input!A11</f>
        <v>Bac_taxon_7</v>
      </c>
      <c r="B97" s="14">
        <f>IF(BAC_ARC_Daily!P5&lt;&gt;0,B84/BAC_ARC_Daily!P5,"")</f>
        <v>0</v>
      </c>
      <c r="C97" s="14">
        <f>IF(BAC_ARC_Daily!P6&lt;&gt;0,C84/BAC_ARC_Daily!P6,"")</f>
        <v>0</v>
      </c>
      <c r="D97" s="14">
        <f>IF(BAC_ARC_Daily!P7&lt;&gt;0,D84/BAC_ARC_Daily!P7,"")</f>
        <v>0</v>
      </c>
      <c r="E97" s="14">
        <f>IF(BAC_ARC_Daily!P8&lt;&gt;0,E84/BAC_ARC_Daily!P8,"")</f>
        <v>0</v>
      </c>
      <c r="F97" s="14">
        <f>IF(BAC_ARC_Daily!P9&lt;&gt;0,F84/BAC_ARC_Daily!P9,"")</f>
        <v>0</v>
      </c>
      <c r="G97" s="14">
        <f>IF(BAC_ARC_Daily!P10&lt;&gt;0,G84/BAC_ARC_Daily!P10,"")</f>
        <v>0</v>
      </c>
      <c r="H97" s="14">
        <f>IF(BAC_ARC_Daily!P11&lt;&gt;0,H84/BAC_ARC_Daily!P11,"")</f>
        <v>0</v>
      </c>
      <c r="I97" s="14">
        <f>IF(BAC_ARC_Daily!P12&lt;&gt;0,I84/BAC_ARC_Daily!P12,"")</f>
        <v>0</v>
      </c>
      <c r="J97" s="14">
        <f>IF(BAC_ARC_Daily!P13&lt;&gt;0,J84/BAC_ARC_Daily!P13,"")</f>
        <v>0</v>
      </c>
      <c r="K97" s="14">
        <f>IF(BAC_ARC_Daily!P14&lt;&gt;0,K84/BAC_ARC_Daily!P14,"")</f>
        <v>0</v>
      </c>
      <c r="L97" s="14">
        <f>IF(BAC_ARC_Daily!P15&lt;&gt;0,L84/BAC_ARC_Daily!P15,"")</f>
        <v>0</v>
      </c>
      <c r="M97" s="14">
        <f>IF(BAC_ARC_Daily!P16&lt;&gt;0,M84/BAC_ARC_Daily!P16,"")</f>
        <v>0</v>
      </c>
      <c r="N97" s="14">
        <f>IF(BAC_ARC_Daily!P17&lt;&gt;0,N84/BAC_ARC_Daily!P17,"")</f>
        <v>0</v>
      </c>
      <c r="O97" s="14">
        <f>IF(BAC_ARC_Daily!P18&lt;&gt;0,O84/BAC_ARC_Daily!P18,"")</f>
        <v>0</v>
      </c>
      <c r="P97" s="14">
        <f>IF(BAC_ARC_Daily!P19&lt;&gt;0,P84/BAC_ARC_Daily!P19,"")</f>
        <v>0</v>
      </c>
      <c r="Q97" s="14">
        <f>IF(BAC_ARC_Daily!P20&lt;&gt;0,Q84/BAC_ARC_Daily!P20,"")</f>
        <v>0</v>
      </c>
      <c r="R97" s="14">
        <f>IF(BAC_ARC_Daily!P21&lt;&gt;0,R84/BAC_ARC_Daily!P21,"")</f>
        <v>0</v>
      </c>
      <c r="S97" s="14">
        <f>IF(BAC_ARC_Daily!P22&lt;&gt;0,S84/BAC_ARC_Daily!P22,"")</f>
        <v>0</v>
      </c>
      <c r="T97" s="14">
        <f>IF(BAC_ARC_Daily!P23&lt;&gt;0,T84/BAC_ARC_Daily!P23,"")</f>
        <v>0</v>
      </c>
      <c r="U97" s="14">
        <f>IF(BAC_ARC_Daily!P24&lt;&gt;0,U84/BAC_ARC_Daily!P24,"")</f>
        <v>0</v>
      </c>
      <c r="V97" s="14">
        <f>IF(BAC_ARC_Daily!P25&lt;&gt;0,V84/BAC_ARC_Daily!P25,"")</f>
        <v>0</v>
      </c>
      <c r="W97" s="14">
        <f>IF(BAC_ARC_Daily!P26&lt;&gt;0,W84/BAC_ARC_Daily!P26,"")</f>
        <v>0</v>
      </c>
    </row>
    <row r="98" spans="1:23" ht="18" customHeight="1" x14ac:dyDescent="0.25">
      <c r="A98" s="11" t="str">
        <f>NGS_Bacteria_Input!A12</f>
        <v>Bac_taxon_8</v>
      </c>
      <c r="B98" s="14">
        <f>IF(BAC_ARC_Daily!P5&lt;&gt;0,B85/BAC_ARC_Daily!P5,"")</f>
        <v>0</v>
      </c>
      <c r="C98" s="14">
        <f>IF(BAC_ARC_Daily!P6&lt;&gt;0,C85/BAC_ARC_Daily!P6,"")</f>
        <v>0</v>
      </c>
      <c r="D98" s="14">
        <f>IF(BAC_ARC_Daily!P7&lt;&gt;0,D85/BAC_ARC_Daily!P7,"")</f>
        <v>0</v>
      </c>
      <c r="E98" s="14">
        <f>IF(BAC_ARC_Daily!P8&lt;&gt;0,E85/BAC_ARC_Daily!P8,"")</f>
        <v>0</v>
      </c>
      <c r="F98" s="14">
        <f>IF(BAC_ARC_Daily!P9&lt;&gt;0,F85/BAC_ARC_Daily!P9,"")</f>
        <v>0</v>
      </c>
      <c r="G98" s="14">
        <f>IF(BAC_ARC_Daily!P10&lt;&gt;0,G85/BAC_ARC_Daily!P10,"")</f>
        <v>0</v>
      </c>
      <c r="H98" s="14">
        <f>IF(BAC_ARC_Daily!P11&lt;&gt;0,H85/BAC_ARC_Daily!P11,"")</f>
        <v>0</v>
      </c>
      <c r="I98" s="14">
        <f>IF(BAC_ARC_Daily!P12&lt;&gt;0,I85/BAC_ARC_Daily!P12,"")</f>
        <v>0</v>
      </c>
      <c r="J98" s="14">
        <f>IF(BAC_ARC_Daily!P13&lt;&gt;0,J85/BAC_ARC_Daily!P13,"")</f>
        <v>0</v>
      </c>
      <c r="K98" s="14">
        <f>IF(BAC_ARC_Daily!P14&lt;&gt;0,K85/BAC_ARC_Daily!P14,"")</f>
        <v>0</v>
      </c>
      <c r="L98" s="14">
        <f>IF(BAC_ARC_Daily!P15&lt;&gt;0,L85/BAC_ARC_Daily!P15,"")</f>
        <v>0</v>
      </c>
      <c r="M98" s="14">
        <f>IF(BAC_ARC_Daily!P16&lt;&gt;0,M85/BAC_ARC_Daily!P16,"")</f>
        <v>0</v>
      </c>
      <c r="N98" s="14">
        <f>IF(BAC_ARC_Daily!P17&lt;&gt;0,N85/BAC_ARC_Daily!P17,"")</f>
        <v>0</v>
      </c>
      <c r="O98" s="14">
        <f>IF(BAC_ARC_Daily!P18&lt;&gt;0,O85/BAC_ARC_Daily!P18,"")</f>
        <v>0</v>
      </c>
      <c r="P98" s="14">
        <f>IF(BAC_ARC_Daily!P19&lt;&gt;0,P85/BAC_ARC_Daily!P19,"")</f>
        <v>0</v>
      </c>
      <c r="Q98" s="14">
        <f>IF(BAC_ARC_Daily!P20&lt;&gt;0,Q85/BAC_ARC_Daily!P20,"")</f>
        <v>0</v>
      </c>
      <c r="R98" s="14">
        <f>IF(BAC_ARC_Daily!P21&lt;&gt;0,R85/BAC_ARC_Daily!P21,"")</f>
        <v>0</v>
      </c>
      <c r="S98" s="14">
        <f>IF(BAC_ARC_Daily!P22&lt;&gt;0,S85/BAC_ARC_Daily!P22,"")</f>
        <v>0</v>
      </c>
      <c r="T98" s="14">
        <f>IF(BAC_ARC_Daily!P23&lt;&gt;0,T85/BAC_ARC_Daily!P23,"")</f>
        <v>0</v>
      </c>
      <c r="U98" s="14">
        <f>IF(BAC_ARC_Daily!P24&lt;&gt;0,U85/BAC_ARC_Daily!P24,"")</f>
        <v>0</v>
      </c>
      <c r="V98" s="14">
        <f>IF(BAC_ARC_Daily!P25&lt;&gt;0,V85/BAC_ARC_Daily!P25,"")</f>
        <v>0</v>
      </c>
      <c r="W98" s="14">
        <f>IF(BAC_ARC_Daily!P26&lt;&gt;0,W85/BAC_ARC_Daily!P26,"")</f>
        <v>0</v>
      </c>
    </row>
    <row r="99" spans="1:23" ht="18" customHeight="1" x14ac:dyDescent="0.25">
      <c r="A99" s="11" t="str">
        <f>NGS_Bacteria_Input!A13</f>
        <v>Bac_taxon_9</v>
      </c>
      <c r="B99" s="14">
        <f>IF(BAC_ARC_Daily!P5&lt;&gt;0,B86/BAC_ARC_Daily!P5,"")</f>
        <v>0</v>
      </c>
      <c r="C99" s="14">
        <f>IF(BAC_ARC_Daily!P6&lt;&gt;0,C86/BAC_ARC_Daily!P6,"")</f>
        <v>0</v>
      </c>
      <c r="D99" s="14">
        <f>IF(BAC_ARC_Daily!P7&lt;&gt;0,D86/BAC_ARC_Daily!P7,"")</f>
        <v>0</v>
      </c>
      <c r="E99" s="14">
        <f>IF(BAC_ARC_Daily!P8&lt;&gt;0,E86/BAC_ARC_Daily!P8,"")</f>
        <v>0</v>
      </c>
      <c r="F99" s="14">
        <f>IF(BAC_ARC_Daily!P9&lt;&gt;0,F86/BAC_ARC_Daily!P9,"")</f>
        <v>0</v>
      </c>
      <c r="G99" s="14">
        <f>IF(BAC_ARC_Daily!P10&lt;&gt;0,G86/BAC_ARC_Daily!P10,"")</f>
        <v>0</v>
      </c>
      <c r="H99" s="14">
        <f>IF(BAC_ARC_Daily!P11&lt;&gt;0,H86/BAC_ARC_Daily!P11,"")</f>
        <v>0</v>
      </c>
      <c r="I99" s="14">
        <f>IF(BAC_ARC_Daily!P12&lt;&gt;0,I86/BAC_ARC_Daily!P12,"")</f>
        <v>0</v>
      </c>
      <c r="J99" s="14">
        <f>IF(BAC_ARC_Daily!P13&lt;&gt;0,J86/BAC_ARC_Daily!P13,"")</f>
        <v>0</v>
      </c>
      <c r="K99" s="14">
        <f>IF(BAC_ARC_Daily!P14&lt;&gt;0,K86/BAC_ARC_Daily!P14,"")</f>
        <v>0</v>
      </c>
      <c r="L99" s="14">
        <f>IF(BAC_ARC_Daily!P15&lt;&gt;0,L86/BAC_ARC_Daily!P15,"")</f>
        <v>0</v>
      </c>
      <c r="M99" s="14">
        <f>IF(BAC_ARC_Daily!P16&lt;&gt;0,M86/BAC_ARC_Daily!P16,"")</f>
        <v>0</v>
      </c>
      <c r="N99" s="14">
        <f>IF(BAC_ARC_Daily!P17&lt;&gt;0,N86/BAC_ARC_Daily!P17,"")</f>
        <v>0</v>
      </c>
      <c r="O99" s="14">
        <f>IF(BAC_ARC_Daily!P18&lt;&gt;0,O86/BAC_ARC_Daily!P18,"")</f>
        <v>0</v>
      </c>
      <c r="P99" s="14">
        <f>IF(BAC_ARC_Daily!P19&lt;&gt;0,P86/BAC_ARC_Daily!P19,"")</f>
        <v>0</v>
      </c>
      <c r="Q99" s="14">
        <f>IF(BAC_ARC_Daily!P20&lt;&gt;0,Q86/BAC_ARC_Daily!P20,"")</f>
        <v>0</v>
      </c>
      <c r="R99" s="14">
        <f>IF(BAC_ARC_Daily!P21&lt;&gt;0,R86/BAC_ARC_Daily!P21,"")</f>
        <v>0</v>
      </c>
      <c r="S99" s="14">
        <f>IF(BAC_ARC_Daily!P22&lt;&gt;0,S86/BAC_ARC_Daily!P22,"")</f>
        <v>0</v>
      </c>
      <c r="T99" s="14">
        <f>IF(BAC_ARC_Daily!P23&lt;&gt;0,T86/BAC_ARC_Daily!P23,"")</f>
        <v>0</v>
      </c>
      <c r="U99" s="14">
        <f>IF(BAC_ARC_Daily!P24&lt;&gt;0,U86/BAC_ARC_Daily!P24,"")</f>
        <v>0</v>
      </c>
      <c r="V99" s="14">
        <f>IF(BAC_ARC_Daily!P25&lt;&gt;0,V86/BAC_ARC_Daily!P25,"")</f>
        <v>0</v>
      </c>
      <c r="W99" s="14">
        <f>IF(BAC_ARC_Daily!P26&lt;&gt;0,W86/BAC_ARC_Daily!P26,"")</f>
        <v>0</v>
      </c>
    </row>
    <row r="100" spans="1:23" ht="18" customHeight="1" x14ac:dyDescent="0.25">
      <c r="A100" s="11" t="str">
        <f>NGS_Bacteria_Input!A14</f>
        <v>Bac_taxon_10</v>
      </c>
      <c r="B100" s="14">
        <f>IF(BAC_ARC_Daily!P5&lt;&gt;0,B87/BAC_ARC_Daily!P5,"")</f>
        <v>0</v>
      </c>
      <c r="C100" s="14">
        <f>IF(BAC_ARC_Daily!P6&lt;&gt;0,C87/BAC_ARC_Daily!P6,"")</f>
        <v>0</v>
      </c>
      <c r="D100" s="14">
        <f>IF(BAC_ARC_Daily!P7&lt;&gt;0,D87/BAC_ARC_Daily!P7,"")</f>
        <v>0</v>
      </c>
      <c r="E100" s="14">
        <f>IF(BAC_ARC_Daily!P8&lt;&gt;0,E87/BAC_ARC_Daily!P8,"")</f>
        <v>0</v>
      </c>
      <c r="F100" s="14">
        <f>IF(BAC_ARC_Daily!P9&lt;&gt;0,F87/BAC_ARC_Daily!P9,"")</f>
        <v>0</v>
      </c>
      <c r="G100" s="14">
        <f>IF(BAC_ARC_Daily!P10&lt;&gt;0,G87/BAC_ARC_Daily!P10,"")</f>
        <v>0</v>
      </c>
      <c r="H100" s="14">
        <f>IF(BAC_ARC_Daily!P11&lt;&gt;0,H87/BAC_ARC_Daily!P11,"")</f>
        <v>0</v>
      </c>
      <c r="I100" s="14">
        <f>IF(BAC_ARC_Daily!P12&lt;&gt;0,I87/BAC_ARC_Daily!P12,"")</f>
        <v>0</v>
      </c>
      <c r="J100" s="14">
        <f>IF(BAC_ARC_Daily!P13&lt;&gt;0,J87/BAC_ARC_Daily!P13,"")</f>
        <v>0</v>
      </c>
      <c r="K100" s="14">
        <f>IF(BAC_ARC_Daily!P14&lt;&gt;0,K87/BAC_ARC_Daily!P14,"")</f>
        <v>0</v>
      </c>
      <c r="L100" s="14">
        <f>IF(BAC_ARC_Daily!P15&lt;&gt;0,L87/BAC_ARC_Daily!P15,"")</f>
        <v>0</v>
      </c>
      <c r="M100" s="14">
        <f>IF(BAC_ARC_Daily!P16&lt;&gt;0,M87/BAC_ARC_Daily!P16,"")</f>
        <v>0</v>
      </c>
      <c r="N100" s="14">
        <f>IF(BAC_ARC_Daily!P17&lt;&gt;0,N87/BAC_ARC_Daily!P17,"")</f>
        <v>0</v>
      </c>
      <c r="O100" s="14">
        <f>IF(BAC_ARC_Daily!P18&lt;&gt;0,O87/BAC_ARC_Daily!P18,"")</f>
        <v>0</v>
      </c>
      <c r="P100" s="14">
        <f>IF(BAC_ARC_Daily!P19&lt;&gt;0,P87/BAC_ARC_Daily!P19,"")</f>
        <v>0</v>
      </c>
      <c r="Q100" s="14">
        <f>IF(BAC_ARC_Daily!P20&lt;&gt;0,Q87/BAC_ARC_Daily!P20,"")</f>
        <v>0</v>
      </c>
      <c r="R100" s="14">
        <f>IF(BAC_ARC_Daily!P21&lt;&gt;0,R87/BAC_ARC_Daily!P21,"")</f>
        <v>0</v>
      </c>
      <c r="S100" s="14">
        <f>IF(BAC_ARC_Daily!P22&lt;&gt;0,S87/BAC_ARC_Daily!P22,"")</f>
        <v>0</v>
      </c>
      <c r="T100" s="14">
        <f>IF(BAC_ARC_Daily!P23&lt;&gt;0,T87/BAC_ARC_Daily!P23,"")</f>
        <v>0</v>
      </c>
      <c r="U100" s="14">
        <f>IF(BAC_ARC_Daily!P24&lt;&gt;0,U87/BAC_ARC_Daily!P24,"")</f>
        <v>0</v>
      </c>
      <c r="V100" s="14">
        <f>IF(BAC_ARC_Daily!P25&lt;&gt;0,V87/BAC_ARC_Daily!P25,"")</f>
        <v>0</v>
      </c>
      <c r="W100" s="14">
        <f>IF(BAC_ARC_Daily!P26&lt;&gt;0,W87/BAC_ARC_Daily!P26,"")</f>
        <v>0</v>
      </c>
    </row>
    <row r="101" spans="1:23" ht="18" customHeight="1" x14ac:dyDescent="0.25">
      <c r="A101" s="11" t="str">
        <f>NGS_Bacteria_Input!A15</f>
        <v>Others</v>
      </c>
      <c r="B101" s="14">
        <f>IF(BAC_ARC_Daily!P5&lt;&gt;0,B88/BAC_ARC_Daily!P5,"")</f>
        <v>1</v>
      </c>
      <c r="C101" s="14">
        <f>IF(BAC_ARC_Daily!P6&lt;&gt;0,C88/BAC_ARC_Daily!P6,"")</f>
        <v>1</v>
      </c>
      <c r="D101" s="14">
        <f>IF(BAC_ARC_Daily!P7&lt;&gt;0,D88/BAC_ARC_Daily!P7,"")</f>
        <v>1</v>
      </c>
      <c r="E101" s="14">
        <f>IF(BAC_ARC_Daily!P8&lt;&gt;0,E88/BAC_ARC_Daily!P8,"")</f>
        <v>1</v>
      </c>
      <c r="F101" s="14">
        <f>IF(BAC_ARC_Daily!P9&lt;&gt;0,F88/BAC_ARC_Daily!P9,"")</f>
        <v>1</v>
      </c>
      <c r="G101" s="14">
        <f>IF(BAC_ARC_Daily!P10&lt;&gt;0,G88/BAC_ARC_Daily!P10,"")</f>
        <v>1</v>
      </c>
      <c r="H101" s="14">
        <f>IF(BAC_ARC_Daily!P11&lt;&gt;0,H88/BAC_ARC_Daily!P11,"")</f>
        <v>1</v>
      </c>
      <c r="I101" s="14">
        <f>IF(BAC_ARC_Daily!P12&lt;&gt;0,I88/BAC_ARC_Daily!P12,"")</f>
        <v>1</v>
      </c>
      <c r="J101" s="14">
        <f>IF(BAC_ARC_Daily!P13&lt;&gt;0,J88/BAC_ARC_Daily!P13,"")</f>
        <v>1</v>
      </c>
      <c r="K101" s="14">
        <f>IF(BAC_ARC_Daily!P14&lt;&gt;0,K88/BAC_ARC_Daily!P14,"")</f>
        <v>1</v>
      </c>
      <c r="L101" s="14">
        <f>IF(BAC_ARC_Daily!P15&lt;&gt;0,L88/BAC_ARC_Daily!P15,"")</f>
        <v>1</v>
      </c>
      <c r="M101" s="14">
        <f>IF(BAC_ARC_Daily!P16&lt;&gt;0,M88/BAC_ARC_Daily!P16,"")</f>
        <v>1</v>
      </c>
      <c r="N101" s="14">
        <f>IF(BAC_ARC_Daily!P17&lt;&gt;0,N88/BAC_ARC_Daily!P17,"")</f>
        <v>1</v>
      </c>
      <c r="O101" s="14">
        <f>IF(BAC_ARC_Daily!P18&lt;&gt;0,O88/BAC_ARC_Daily!P18,"")</f>
        <v>1</v>
      </c>
      <c r="P101" s="14">
        <f>IF(BAC_ARC_Daily!P19&lt;&gt;0,P88/BAC_ARC_Daily!P19,"")</f>
        <v>1</v>
      </c>
      <c r="Q101" s="14">
        <f>IF(BAC_ARC_Daily!P20&lt;&gt;0,Q88/BAC_ARC_Daily!P20,"")</f>
        <v>1</v>
      </c>
      <c r="R101" s="14">
        <f>IF(BAC_ARC_Daily!P21&lt;&gt;0,R88/BAC_ARC_Daily!P21,"")</f>
        <v>1</v>
      </c>
      <c r="S101" s="14">
        <f>IF(BAC_ARC_Daily!P22&lt;&gt;0,S88/BAC_ARC_Daily!P22,"")</f>
        <v>1</v>
      </c>
      <c r="T101" s="14">
        <f>IF(BAC_ARC_Daily!P23&lt;&gt;0,T88/BAC_ARC_Daily!P23,"")</f>
        <v>1</v>
      </c>
      <c r="U101" s="14">
        <f>IF(BAC_ARC_Daily!P24&lt;&gt;0,U88/BAC_ARC_Daily!P24,"")</f>
        <v>1</v>
      </c>
      <c r="V101" s="14">
        <f>IF(BAC_ARC_Daily!P25&lt;&gt;0,V88/BAC_ARC_Daily!P25,"")</f>
        <v>1</v>
      </c>
      <c r="W101" s="14">
        <f>IF(BAC_ARC_Daily!P26&lt;&gt;0,W88/BAC_ARC_Daily!P26,"")</f>
        <v>1</v>
      </c>
    </row>
    <row r="102" spans="1:23" ht="18" customHeight="1" x14ac:dyDescent="0.25"/>
    <row r="103" spans="1:23" ht="18" customHeight="1" x14ac:dyDescent="0.25"/>
    <row r="104" spans="1:23" ht="18" customHeight="1" x14ac:dyDescent="0.25">
      <c r="A104" s="29" t="s">
        <v>54</v>
      </c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</row>
    <row r="105" spans="1:23" ht="18" customHeight="1" x14ac:dyDescent="0.25">
      <c r="A105" s="25" t="s">
        <v>161</v>
      </c>
    </row>
    <row r="106" spans="1:23" ht="18" customHeight="1" x14ac:dyDescent="0.25">
      <c r="A106" s="11" t="str">
        <f>NGS_Bacteria_Input!A5</f>
        <v>Bac_taxon_1</v>
      </c>
      <c r="B106" s="21">
        <f>IF(Inputs!$G$38="","",Inputs!$G$38*NGS_Bacteria_Input!$G$5)</f>
        <v>0</v>
      </c>
      <c r="C106" s="21">
        <f>IF(B106="","",B106+Inputs!$B$5/Inputs!$B$15*(Inputs!$C$15*(Inputs!$C$28*NGS_Bacteria_Input!$B$5-B106)+Inputs!$D$15*(B5-B106)+Inputs!$E$15*(Inputs!$D$28*NGS_Bacteria_Input!$C$5-B106)))</f>
        <v>0</v>
      </c>
      <c r="D106" s="21">
        <f>IF(C106="","",C106+Inputs!$B$5/Inputs!$B$15*(Inputs!$C$15*(Inputs!$C$28*NGS_Bacteria_Input!$B$5-C106)+Inputs!$D$15*(C5-C106)+Inputs!$E$15*(Inputs!$D$28*NGS_Bacteria_Input!$C$5-C106)))</f>
        <v>0</v>
      </c>
      <c r="E106" s="21">
        <f>IF(D106="","",D106+Inputs!$B$5/Inputs!$B$15*(Inputs!$C$15*(Inputs!$C$28*NGS_Bacteria_Input!$B$5-D106)+Inputs!$D$15*(D5-D106)+Inputs!$E$15*(Inputs!$D$28*NGS_Bacteria_Input!$C$5-D106)))</f>
        <v>0</v>
      </c>
      <c r="F106" s="21">
        <f>IF(E106="","",E106+Inputs!$B$5/Inputs!$B$15*(Inputs!$C$15*(Inputs!$C$28*NGS_Bacteria_Input!$B$5-E106)+Inputs!$D$15*(E5-E106)+Inputs!$E$15*(Inputs!$D$28*NGS_Bacteria_Input!$C$5-E106)))</f>
        <v>0</v>
      </c>
      <c r="G106" s="21">
        <f>IF(F106="","",F106+Inputs!$B$5/Inputs!$B$15*(Inputs!$C$15*(Inputs!$C$28*NGS_Bacteria_Input!$B$5-F106)+Inputs!$D$15*(F5-F106)+Inputs!$E$15*(Inputs!$D$28*NGS_Bacteria_Input!$C$5-F106)))</f>
        <v>0</v>
      </c>
      <c r="H106" s="21">
        <f>IF(G106="","",G106+Inputs!$B$5/Inputs!$B$15*(Inputs!$C$15*(Inputs!$C$28*NGS_Bacteria_Input!$B$5-G106)+Inputs!$D$15*(G5-G106)+Inputs!$E$15*(Inputs!$D$28*NGS_Bacteria_Input!$C$5-G106)))</f>
        <v>0</v>
      </c>
      <c r="I106" s="21">
        <f>IF(H106="","",H106+Inputs!$B$5/Inputs!$B$15*(Inputs!$C$15*(Inputs!$C$28*NGS_Bacteria_Input!$B$5-H106)+Inputs!$D$15*(H5-H106)+Inputs!$E$15*(Inputs!$D$28*NGS_Bacteria_Input!$C$5-H106)))</f>
        <v>0</v>
      </c>
      <c r="J106" s="21">
        <f>IF(I106="","",I106+Inputs!$B$5/Inputs!$B$15*(Inputs!$C$15*(Inputs!$C$28*NGS_Bacteria_Input!$B$5-I106)+Inputs!$D$15*(I5-I106)+Inputs!$E$15*(Inputs!$D$28*NGS_Bacteria_Input!$C$5-I106)))</f>
        <v>0</v>
      </c>
      <c r="K106" s="21">
        <f>IF(J106="","",J106+Inputs!$B$5/Inputs!$B$15*(Inputs!$C$15*(Inputs!$C$28*NGS_Bacteria_Input!$B$5-J106)+Inputs!$D$15*(J5-J106)+Inputs!$E$15*(Inputs!$D$28*NGS_Bacteria_Input!$C$5-J106)))</f>
        <v>0</v>
      </c>
      <c r="L106" s="21">
        <f>IF(K106="","",K106+Inputs!$B$5/Inputs!$B$15*(Inputs!$C$15*(Inputs!$C$28*NGS_Bacteria_Input!$B$5-K106)+Inputs!$D$15*(K5-K106)+Inputs!$E$15*(Inputs!$D$28*NGS_Bacteria_Input!$C$5-K106)))</f>
        <v>0</v>
      </c>
      <c r="M106" s="21">
        <f>IF(L106="","",L106+Inputs!$B$5/Inputs!$B$15*(Inputs!$C$15*(Inputs!$C$28*NGS_Bacteria_Input!$B$5-L106)+Inputs!$D$15*(L5-L106)+Inputs!$E$15*(Inputs!$D$28*NGS_Bacteria_Input!$C$5-L106)))</f>
        <v>0</v>
      </c>
      <c r="N106" s="21">
        <f>IF(M106="","",M106+Inputs!$B$5/Inputs!$B$15*(Inputs!$C$15*(Inputs!$C$28*NGS_Bacteria_Input!$B$5-M106)+Inputs!$D$15*(M5-M106)+Inputs!$E$15*(Inputs!$D$28*NGS_Bacteria_Input!$C$5-M106)))</f>
        <v>0</v>
      </c>
      <c r="O106" s="21">
        <f>IF(N106="","",N106+Inputs!$B$5/Inputs!$B$15*(Inputs!$C$15*(Inputs!$C$28*NGS_Bacteria_Input!$B$5-N106)+Inputs!$D$15*(N5-N106)+Inputs!$E$15*(Inputs!$D$28*NGS_Bacteria_Input!$C$5-N106)))</f>
        <v>0</v>
      </c>
      <c r="P106" s="21">
        <f>IF(O106="","",O106+Inputs!$B$5/Inputs!$B$15*(Inputs!$C$15*(Inputs!$C$28*NGS_Bacteria_Input!$B$5-O106)+Inputs!$D$15*(O5-O106)+Inputs!$E$15*(Inputs!$D$28*NGS_Bacteria_Input!$C$5-O106)))</f>
        <v>0</v>
      </c>
      <c r="Q106" s="21">
        <f>IF(P106="","",P106+Inputs!$B$5/Inputs!$B$15*(Inputs!$C$15*(Inputs!$C$28*NGS_Bacteria_Input!$B$5-P106)+Inputs!$D$15*(P5-P106)+Inputs!$E$15*(Inputs!$D$28*NGS_Bacteria_Input!$C$5-P106)))</f>
        <v>0</v>
      </c>
      <c r="R106" s="21">
        <f>IF(Q106="","",Q106+Inputs!$B$5/Inputs!$B$15*(Inputs!$C$15*(Inputs!$C$28*NGS_Bacteria_Input!$B$5-Q106)+Inputs!$D$15*(Q5-Q106)+Inputs!$E$15*(Inputs!$D$28*NGS_Bacteria_Input!$C$5-Q106)))</f>
        <v>0</v>
      </c>
      <c r="S106" s="21">
        <f>IF(R106="","",R106+Inputs!$B$5/Inputs!$B$15*(Inputs!$C$15*(Inputs!$C$28*NGS_Bacteria_Input!$B$5-R106)+Inputs!$D$15*(R5-R106)+Inputs!$E$15*(Inputs!$D$28*NGS_Bacteria_Input!$C$5-R106)))</f>
        <v>0</v>
      </c>
      <c r="T106" s="21">
        <f>IF(S106="","",S106+Inputs!$B$5/Inputs!$B$15*(Inputs!$C$15*(Inputs!$C$28*NGS_Bacteria_Input!$B$5-S106)+Inputs!$D$15*(S5-S106)+Inputs!$E$15*(Inputs!$D$28*NGS_Bacteria_Input!$C$5-S106)))</f>
        <v>0</v>
      </c>
      <c r="U106" s="21">
        <f>IF(T106="","",T106+Inputs!$B$5/Inputs!$B$15*(Inputs!$C$15*(Inputs!$C$28*NGS_Bacteria_Input!$B$5-T106)+Inputs!$D$15*(T5-T106)+Inputs!$E$15*(Inputs!$D$28*NGS_Bacteria_Input!$C$5-T106)))</f>
        <v>0</v>
      </c>
      <c r="V106" s="21">
        <f>IF(U106="","",U106+Inputs!$B$5/Inputs!$B$15*(Inputs!$C$15*(Inputs!$C$28*NGS_Bacteria_Input!$B$5-U106)+Inputs!$D$15*(U5-U106)+Inputs!$E$15*(Inputs!$D$28*NGS_Bacteria_Input!$C$5-U106)))</f>
        <v>0</v>
      </c>
      <c r="W106" s="21">
        <f>IF(V106="","",V106+Inputs!$B$5/Inputs!$B$15*(Inputs!$C$15*(Inputs!$C$28*NGS_Bacteria_Input!$B$5-V106)+Inputs!$D$15*(V5-V106)+Inputs!$E$15*(Inputs!$D$28*NGS_Bacteria_Input!$C$5-V106)))</f>
        <v>0</v>
      </c>
    </row>
    <row r="107" spans="1:23" ht="18" customHeight="1" x14ac:dyDescent="0.25">
      <c r="A107" s="11" t="str">
        <f>NGS_Bacteria_Input!A6</f>
        <v>Bac_taxon_2</v>
      </c>
      <c r="B107" s="21">
        <f>IF(Inputs!$G$38="","",Inputs!$G$38*NGS_Bacteria_Input!$G$6)</f>
        <v>0</v>
      </c>
      <c r="C107" s="21">
        <f>IF(B107="","",B107+Inputs!$B$5/Inputs!$B$15*(Inputs!$C$15*(Inputs!$C$28*NGS_Bacteria_Input!$B$6-B107)+Inputs!$D$15*(B6-B107)+Inputs!$E$15*(Inputs!$D$28*NGS_Bacteria_Input!$C$6-B107)))</f>
        <v>0</v>
      </c>
      <c r="D107" s="21">
        <f>IF(C107="","",C107+Inputs!$B$5/Inputs!$B$15*(Inputs!$C$15*(Inputs!$C$28*NGS_Bacteria_Input!$B$6-C107)+Inputs!$D$15*(C6-C107)+Inputs!$E$15*(Inputs!$D$28*NGS_Bacteria_Input!$C$6-C107)))</f>
        <v>0</v>
      </c>
      <c r="E107" s="21">
        <f>IF(D107="","",D107+Inputs!$B$5/Inputs!$B$15*(Inputs!$C$15*(Inputs!$C$28*NGS_Bacteria_Input!$B$6-D107)+Inputs!$D$15*(D6-D107)+Inputs!$E$15*(Inputs!$D$28*NGS_Bacteria_Input!$C$6-D107)))</f>
        <v>0</v>
      </c>
      <c r="F107" s="21">
        <f>IF(E107="","",E107+Inputs!$B$5/Inputs!$B$15*(Inputs!$C$15*(Inputs!$C$28*NGS_Bacteria_Input!$B$6-E107)+Inputs!$D$15*(E6-E107)+Inputs!$E$15*(Inputs!$D$28*NGS_Bacteria_Input!$C$6-E107)))</f>
        <v>0</v>
      </c>
      <c r="G107" s="21">
        <f>IF(F107="","",F107+Inputs!$B$5/Inputs!$B$15*(Inputs!$C$15*(Inputs!$C$28*NGS_Bacteria_Input!$B$6-F107)+Inputs!$D$15*(F6-F107)+Inputs!$E$15*(Inputs!$D$28*NGS_Bacteria_Input!$C$6-F107)))</f>
        <v>0</v>
      </c>
      <c r="H107" s="21">
        <f>IF(G107="","",G107+Inputs!$B$5/Inputs!$B$15*(Inputs!$C$15*(Inputs!$C$28*NGS_Bacteria_Input!$B$6-G107)+Inputs!$D$15*(G6-G107)+Inputs!$E$15*(Inputs!$D$28*NGS_Bacteria_Input!$C$6-G107)))</f>
        <v>0</v>
      </c>
      <c r="I107" s="21">
        <f>IF(H107="","",H107+Inputs!$B$5/Inputs!$B$15*(Inputs!$C$15*(Inputs!$C$28*NGS_Bacteria_Input!$B$6-H107)+Inputs!$D$15*(H6-H107)+Inputs!$E$15*(Inputs!$D$28*NGS_Bacteria_Input!$C$6-H107)))</f>
        <v>0</v>
      </c>
      <c r="J107" s="21">
        <f>IF(I107="","",I107+Inputs!$B$5/Inputs!$B$15*(Inputs!$C$15*(Inputs!$C$28*NGS_Bacteria_Input!$B$6-I107)+Inputs!$D$15*(I6-I107)+Inputs!$E$15*(Inputs!$D$28*NGS_Bacteria_Input!$C$6-I107)))</f>
        <v>0</v>
      </c>
      <c r="K107" s="21">
        <f>IF(J107="","",J107+Inputs!$B$5/Inputs!$B$15*(Inputs!$C$15*(Inputs!$C$28*NGS_Bacteria_Input!$B$6-J107)+Inputs!$D$15*(J6-J107)+Inputs!$E$15*(Inputs!$D$28*NGS_Bacteria_Input!$C$6-J107)))</f>
        <v>0</v>
      </c>
      <c r="L107" s="21">
        <f>IF(K107="","",K107+Inputs!$B$5/Inputs!$B$15*(Inputs!$C$15*(Inputs!$C$28*NGS_Bacteria_Input!$B$6-K107)+Inputs!$D$15*(K6-K107)+Inputs!$E$15*(Inputs!$D$28*NGS_Bacteria_Input!$C$6-K107)))</f>
        <v>0</v>
      </c>
      <c r="M107" s="21">
        <f>IF(L107="","",L107+Inputs!$B$5/Inputs!$B$15*(Inputs!$C$15*(Inputs!$C$28*NGS_Bacteria_Input!$B$6-L107)+Inputs!$D$15*(L6-L107)+Inputs!$E$15*(Inputs!$D$28*NGS_Bacteria_Input!$C$6-L107)))</f>
        <v>0</v>
      </c>
      <c r="N107" s="21">
        <f>IF(M107="","",M107+Inputs!$B$5/Inputs!$B$15*(Inputs!$C$15*(Inputs!$C$28*NGS_Bacteria_Input!$B$6-M107)+Inputs!$D$15*(M6-M107)+Inputs!$E$15*(Inputs!$D$28*NGS_Bacteria_Input!$C$6-M107)))</f>
        <v>0</v>
      </c>
      <c r="O107" s="21">
        <f>IF(N107="","",N107+Inputs!$B$5/Inputs!$B$15*(Inputs!$C$15*(Inputs!$C$28*NGS_Bacteria_Input!$B$6-N107)+Inputs!$D$15*(N6-N107)+Inputs!$E$15*(Inputs!$D$28*NGS_Bacteria_Input!$C$6-N107)))</f>
        <v>0</v>
      </c>
      <c r="P107" s="21">
        <f>IF(O107="","",O107+Inputs!$B$5/Inputs!$B$15*(Inputs!$C$15*(Inputs!$C$28*NGS_Bacteria_Input!$B$6-O107)+Inputs!$D$15*(O6-O107)+Inputs!$E$15*(Inputs!$D$28*NGS_Bacteria_Input!$C$6-O107)))</f>
        <v>0</v>
      </c>
      <c r="Q107" s="21">
        <f>IF(P107="","",P107+Inputs!$B$5/Inputs!$B$15*(Inputs!$C$15*(Inputs!$C$28*NGS_Bacteria_Input!$B$6-P107)+Inputs!$D$15*(P6-P107)+Inputs!$E$15*(Inputs!$D$28*NGS_Bacteria_Input!$C$6-P107)))</f>
        <v>0</v>
      </c>
      <c r="R107" s="21">
        <f>IF(Q107="","",Q107+Inputs!$B$5/Inputs!$B$15*(Inputs!$C$15*(Inputs!$C$28*NGS_Bacteria_Input!$B$6-Q107)+Inputs!$D$15*(Q6-Q107)+Inputs!$E$15*(Inputs!$D$28*NGS_Bacteria_Input!$C$6-Q107)))</f>
        <v>0</v>
      </c>
      <c r="S107" s="21">
        <f>IF(R107="","",R107+Inputs!$B$5/Inputs!$B$15*(Inputs!$C$15*(Inputs!$C$28*NGS_Bacteria_Input!$B$6-R107)+Inputs!$D$15*(R6-R107)+Inputs!$E$15*(Inputs!$D$28*NGS_Bacteria_Input!$C$6-R107)))</f>
        <v>0</v>
      </c>
      <c r="T107" s="21">
        <f>IF(S107="","",S107+Inputs!$B$5/Inputs!$B$15*(Inputs!$C$15*(Inputs!$C$28*NGS_Bacteria_Input!$B$6-S107)+Inputs!$D$15*(S6-S107)+Inputs!$E$15*(Inputs!$D$28*NGS_Bacteria_Input!$C$6-S107)))</f>
        <v>0</v>
      </c>
      <c r="U107" s="21">
        <f>IF(T107="","",T107+Inputs!$B$5/Inputs!$B$15*(Inputs!$C$15*(Inputs!$C$28*NGS_Bacteria_Input!$B$6-T107)+Inputs!$D$15*(T6-T107)+Inputs!$E$15*(Inputs!$D$28*NGS_Bacteria_Input!$C$6-T107)))</f>
        <v>0</v>
      </c>
      <c r="V107" s="21">
        <f>IF(U107="","",U107+Inputs!$B$5/Inputs!$B$15*(Inputs!$C$15*(Inputs!$C$28*NGS_Bacteria_Input!$B$6-U107)+Inputs!$D$15*(U6-U107)+Inputs!$E$15*(Inputs!$D$28*NGS_Bacteria_Input!$C$6-U107)))</f>
        <v>0</v>
      </c>
      <c r="W107" s="21">
        <f>IF(V107="","",V107+Inputs!$B$5/Inputs!$B$15*(Inputs!$C$15*(Inputs!$C$28*NGS_Bacteria_Input!$B$6-V107)+Inputs!$D$15*(V6-V107)+Inputs!$E$15*(Inputs!$D$28*NGS_Bacteria_Input!$C$6-V107)))</f>
        <v>0</v>
      </c>
    </row>
    <row r="108" spans="1:23" ht="18" customHeight="1" x14ac:dyDescent="0.25">
      <c r="A108" s="11" t="str">
        <f>NGS_Bacteria_Input!A7</f>
        <v>Bac_taxon_3</v>
      </c>
      <c r="B108" s="21">
        <f>IF(Inputs!$G$38="","",Inputs!$G$38*NGS_Bacteria_Input!$G$7)</f>
        <v>0</v>
      </c>
      <c r="C108" s="21">
        <f>IF(B108="","",B108+Inputs!$B$5/Inputs!$B$15*(Inputs!$C$15*(Inputs!$C$28*NGS_Bacteria_Input!$B$7-B108)+Inputs!$D$15*(B7-B108)+Inputs!$E$15*(Inputs!$D$28*NGS_Bacteria_Input!$C$7-B108)))</f>
        <v>0</v>
      </c>
      <c r="D108" s="21">
        <f>IF(C108="","",C108+Inputs!$B$5/Inputs!$B$15*(Inputs!$C$15*(Inputs!$C$28*NGS_Bacteria_Input!$B$7-C108)+Inputs!$D$15*(C7-C108)+Inputs!$E$15*(Inputs!$D$28*NGS_Bacteria_Input!$C$7-C108)))</f>
        <v>0</v>
      </c>
      <c r="E108" s="21">
        <f>IF(D108="","",D108+Inputs!$B$5/Inputs!$B$15*(Inputs!$C$15*(Inputs!$C$28*NGS_Bacteria_Input!$B$7-D108)+Inputs!$D$15*(D7-D108)+Inputs!$E$15*(Inputs!$D$28*NGS_Bacteria_Input!$C$7-D108)))</f>
        <v>0</v>
      </c>
      <c r="F108" s="21">
        <f>IF(E108="","",E108+Inputs!$B$5/Inputs!$B$15*(Inputs!$C$15*(Inputs!$C$28*NGS_Bacteria_Input!$B$7-E108)+Inputs!$D$15*(E7-E108)+Inputs!$E$15*(Inputs!$D$28*NGS_Bacteria_Input!$C$7-E108)))</f>
        <v>0</v>
      </c>
      <c r="G108" s="21">
        <f>IF(F108="","",F108+Inputs!$B$5/Inputs!$B$15*(Inputs!$C$15*(Inputs!$C$28*NGS_Bacteria_Input!$B$7-F108)+Inputs!$D$15*(F7-F108)+Inputs!$E$15*(Inputs!$D$28*NGS_Bacteria_Input!$C$7-F108)))</f>
        <v>0</v>
      </c>
      <c r="H108" s="21">
        <f>IF(G108="","",G108+Inputs!$B$5/Inputs!$B$15*(Inputs!$C$15*(Inputs!$C$28*NGS_Bacteria_Input!$B$7-G108)+Inputs!$D$15*(G7-G108)+Inputs!$E$15*(Inputs!$D$28*NGS_Bacteria_Input!$C$7-G108)))</f>
        <v>0</v>
      </c>
      <c r="I108" s="21">
        <f>IF(H108="","",H108+Inputs!$B$5/Inputs!$B$15*(Inputs!$C$15*(Inputs!$C$28*NGS_Bacteria_Input!$B$7-H108)+Inputs!$D$15*(H7-H108)+Inputs!$E$15*(Inputs!$D$28*NGS_Bacteria_Input!$C$7-H108)))</f>
        <v>0</v>
      </c>
      <c r="J108" s="21">
        <f>IF(I108="","",I108+Inputs!$B$5/Inputs!$B$15*(Inputs!$C$15*(Inputs!$C$28*NGS_Bacteria_Input!$B$7-I108)+Inputs!$D$15*(I7-I108)+Inputs!$E$15*(Inputs!$D$28*NGS_Bacteria_Input!$C$7-I108)))</f>
        <v>0</v>
      </c>
      <c r="K108" s="21">
        <f>IF(J108="","",J108+Inputs!$B$5/Inputs!$B$15*(Inputs!$C$15*(Inputs!$C$28*NGS_Bacteria_Input!$B$7-J108)+Inputs!$D$15*(J7-J108)+Inputs!$E$15*(Inputs!$D$28*NGS_Bacteria_Input!$C$7-J108)))</f>
        <v>0</v>
      </c>
      <c r="L108" s="21">
        <f>IF(K108="","",K108+Inputs!$B$5/Inputs!$B$15*(Inputs!$C$15*(Inputs!$C$28*NGS_Bacteria_Input!$B$7-K108)+Inputs!$D$15*(K7-K108)+Inputs!$E$15*(Inputs!$D$28*NGS_Bacteria_Input!$C$7-K108)))</f>
        <v>0</v>
      </c>
      <c r="M108" s="21">
        <f>IF(L108="","",L108+Inputs!$B$5/Inputs!$B$15*(Inputs!$C$15*(Inputs!$C$28*NGS_Bacteria_Input!$B$7-L108)+Inputs!$D$15*(L7-L108)+Inputs!$E$15*(Inputs!$D$28*NGS_Bacteria_Input!$C$7-L108)))</f>
        <v>0</v>
      </c>
      <c r="N108" s="21">
        <f>IF(M108="","",M108+Inputs!$B$5/Inputs!$B$15*(Inputs!$C$15*(Inputs!$C$28*NGS_Bacteria_Input!$B$7-M108)+Inputs!$D$15*(M7-M108)+Inputs!$E$15*(Inputs!$D$28*NGS_Bacteria_Input!$C$7-M108)))</f>
        <v>0</v>
      </c>
      <c r="O108" s="21">
        <f>IF(N108="","",N108+Inputs!$B$5/Inputs!$B$15*(Inputs!$C$15*(Inputs!$C$28*NGS_Bacteria_Input!$B$7-N108)+Inputs!$D$15*(N7-N108)+Inputs!$E$15*(Inputs!$D$28*NGS_Bacteria_Input!$C$7-N108)))</f>
        <v>0</v>
      </c>
      <c r="P108" s="21">
        <f>IF(O108="","",O108+Inputs!$B$5/Inputs!$B$15*(Inputs!$C$15*(Inputs!$C$28*NGS_Bacteria_Input!$B$7-O108)+Inputs!$D$15*(O7-O108)+Inputs!$E$15*(Inputs!$D$28*NGS_Bacteria_Input!$C$7-O108)))</f>
        <v>0</v>
      </c>
      <c r="Q108" s="21">
        <f>IF(P108="","",P108+Inputs!$B$5/Inputs!$B$15*(Inputs!$C$15*(Inputs!$C$28*NGS_Bacteria_Input!$B$7-P108)+Inputs!$D$15*(P7-P108)+Inputs!$E$15*(Inputs!$D$28*NGS_Bacteria_Input!$C$7-P108)))</f>
        <v>0</v>
      </c>
      <c r="R108" s="21">
        <f>IF(Q108="","",Q108+Inputs!$B$5/Inputs!$B$15*(Inputs!$C$15*(Inputs!$C$28*NGS_Bacteria_Input!$B$7-Q108)+Inputs!$D$15*(Q7-Q108)+Inputs!$E$15*(Inputs!$D$28*NGS_Bacteria_Input!$C$7-Q108)))</f>
        <v>0</v>
      </c>
      <c r="S108" s="21">
        <f>IF(R108="","",R108+Inputs!$B$5/Inputs!$B$15*(Inputs!$C$15*(Inputs!$C$28*NGS_Bacteria_Input!$B$7-R108)+Inputs!$D$15*(R7-R108)+Inputs!$E$15*(Inputs!$D$28*NGS_Bacteria_Input!$C$7-R108)))</f>
        <v>0</v>
      </c>
      <c r="T108" s="21">
        <f>IF(S108="","",S108+Inputs!$B$5/Inputs!$B$15*(Inputs!$C$15*(Inputs!$C$28*NGS_Bacteria_Input!$B$7-S108)+Inputs!$D$15*(S7-S108)+Inputs!$E$15*(Inputs!$D$28*NGS_Bacteria_Input!$C$7-S108)))</f>
        <v>0</v>
      </c>
      <c r="U108" s="21">
        <f>IF(T108="","",T108+Inputs!$B$5/Inputs!$B$15*(Inputs!$C$15*(Inputs!$C$28*NGS_Bacteria_Input!$B$7-T108)+Inputs!$D$15*(T7-T108)+Inputs!$E$15*(Inputs!$D$28*NGS_Bacteria_Input!$C$7-T108)))</f>
        <v>0</v>
      </c>
      <c r="V108" s="21">
        <f>IF(U108="","",U108+Inputs!$B$5/Inputs!$B$15*(Inputs!$C$15*(Inputs!$C$28*NGS_Bacteria_Input!$B$7-U108)+Inputs!$D$15*(U7-U108)+Inputs!$E$15*(Inputs!$D$28*NGS_Bacteria_Input!$C$7-U108)))</f>
        <v>0</v>
      </c>
      <c r="W108" s="21">
        <f>IF(V108="","",V108+Inputs!$B$5/Inputs!$B$15*(Inputs!$C$15*(Inputs!$C$28*NGS_Bacteria_Input!$B$7-V108)+Inputs!$D$15*(V7-V108)+Inputs!$E$15*(Inputs!$D$28*NGS_Bacteria_Input!$C$7-V108)))</f>
        <v>0</v>
      </c>
    </row>
    <row r="109" spans="1:23" ht="18" customHeight="1" x14ac:dyDescent="0.25">
      <c r="A109" s="11" t="str">
        <f>NGS_Bacteria_Input!A8</f>
        <v>Bac_taxon_4</v>
      </c>
      <c r="B109" s="21">
        <f>IF(Inputs!$G$38="","",Inputs!$G$38*NGS_Bacteria_Input!$G$8)</f>
        <v>0</v>
      </c>
      <c r="C109" s="21">
        <f>IF(B109="","",B109+Inputs!$B$5/Inputs!$B$15*(Inputs!$C$15*(Inputs!$C$28*NGS_Bacteria_Input!$B$8-B109)+Inputs!$D$15*(B8-B109)+Inputs!$E$15*(Inputs!$D$28*NGS_Bacteria_Input!$C$8-B109)))</f>
        <v>0</v>
      </c>
      <c r="D109" s="21">
        <f>IF(C109="","",C109+Inputs!$B$5/Inputs!$B$15*(Inputs!$C$15*(Inputs!$C$28*NGS_Bacteria_Input!$B$8-C109)+Inputs!$D$15*(C8-C109)+Inputs!$E$15*(Inputs!$D$28*NGS_Bacteria_Input!$C$8-C109)))</f>
        <v>0</v>
      </c>
      <c r="E109" s="21">
        <f>IF(D109="","",D109+Inputs!$B$5/Inputs!$B$15*(Inputs!$C$15*(Inputs!$C$28*NGS_Bacteria_Input!$B$8-D109)+Inputs!$D$15*(D8-D109)+Inputs!$E$15*(Inputs!$D$28*NGS_Bacteria_Input!$C$8-D109)))</f>
        <v>0</v>
      </c>
      <c r="F109" s="21">
        <f>IF(E109="","",E109+Inputs!$B$5/Inputs!$B$15*(Inputs!$C$15*(Inputs!$C$28*NGS_Bacteria_Input!$B$8-E109)+Inputs!$D$15*(E8-E109)+Inputs!$E$15*(Inputs!$D$28*NGS_Bacteria_Input!$C$8-E109)))</f>
        <v>0</v>
      </c>
      <c r="G109" s="21">
        <f>IF(F109="","",F109+Inputs!$B$5/Inputs!$B$15*(Inputs!$C$15*(Inputs!$C$28*NGS_Bacteria_Input!$B$8-F109)+Inputs!$D$15*(F8-F109)+Inputs!$E$15*(Inputs!$D$28*NGS_Bacteria_Input!$C$8-F109)))</f>
        <v>0</v>
      </c>
      <c r="H109" s="21">
        <f>IF(G109="","",G109+Inputs!$B$5/Inputs!$B$15*(Inputs!$C$15*(Inputs!$C$28*NGS_Bacteria_Input!$B$8-G109)+Inputs!$D$15*(G8-G109)+Inputs!$E$15*(Inputs!$D$28*NGS_Bacteria_Input!$C$8-G109)))</f>
        <v>0</v>
      </c>
      <c r="I109" s="21">
        <f>IF(H109="","",H109+Inputs!$B$5/Inputs!$B$15*(Inputs!$C$15*(Inputs!$C$28*NGS_Bacteria_Input!$B$8-H109)+Inputs!$D$15*(H8-H109)+Inputs!$E$15*(Inputs!$D$28*NGS_Bacteria_Input!$C$8-H109)))</f>
        <v>0</v>
      </c>
      <c r="J109" s="21">
        <f>IF(I109="","",I109+Inputs!$B$5/Inputs!$B$15*(Inputs!$C$15*(Inputs!$C$28*NGS_Bacteria_Input!$B$8-I109)+Inputs!$D$15*(I8-I109)+Inputs!$E$15*(Inputs!$D$28*NGS_Bacteria_Input!$C$8-I109)))</f>
        <v>0</v>
      </c>
      <c r="K109" s="21">
        <f>IF(J109="","",J109+Inputs!$B$5/Inputs!$B$15*(Inputs!$C$15*(Inputs!$C$28*NGS_Bacteria_Input!$B$8-J109)+Inputs!$D$15*(J8-J109)+Inputs!$E$15*(Inputs!$D$28*NGS_Bacteria_Input!$C$8-J109)))</f>
        <v>0</v>
      </c>
      <c r="L109" s="21">
        <f>IF(K109="","",K109+Inputs!$B$5/Inputs!$B$15*(Inputs!$C$15*(Inputs!$C$28*NGS_Bacteria_Input!$B$8-K109)+Inputs!$D$15*(K8-K109)+Inputs!$E$15*(Inputs!$D$28*NGS_Bacteria_Input!$C$8-K109)))</f>
        <v>0</v>
      </c>
      <c r="M109" s="21">
        <f>IF(L109="","",L109+Inputs!$B$5/Inputs!$B$15*(Inputs!$C$15*(Inputs!$C$28*NGS_Bacteria_Input!$B$8-L109)+Inputs!$D$15*(L8-L109)+Inputs!$E$15*(Inputs!$D$28*NGS_Bacteria_Input!$C$8-L109)))</f>
        <v>0</v>
      </c>
      <c r="N109" s="21">
        <f>IF(M109="","",M109+Inputs!$B$5/Inputs!$B$15*(Inputs!$C$15*(Inputs!$C$28*NGS_Bacteria_Input!$B$8-M109)+Inputs!$D$15*(M8-M109)+Inputs!$E$15*(Inputs!$D$28*NGS_Bacteria_Input!$C$8-M109)))</f>
        <v>0</v>
      </c>
      <c r="O109" s="21">
        <f>IF(N109="","",N109+Inputs!$B$5/Inputs!$B$15*(Inputs!$C$15*(Inputs!$C$28*NGS_Bacteria_Input!$B$8-N109)+Inputs!$D$15*(N8-N109)+Inputs!$E$15*(Inputs!$D$28*NGS_Bacteria_Input!$C$8-N109)))</f>
        <v>0</v>
      </c>
      <c r="P109" s="21">
        <f>IF(O109="","",O109+Inputs!$B$5/Inputs!$B$15*(Inputs!$C$15*(Inputs!$C$28*NGS_Bacteria_Input!$B$8-O109)+Inputs!$D$15*(O8-O109)+Inputs!$E$15*(Inputs!$D$28*NGS_Bacteria_Input!$C$8-O109)))</f>
        <v>0</v>
      </c>
      <c r="Q109" s="21">
        <f>IF(P109="","",P109+Inputs!$B$5/Inputs!$B$15*(Inputs!$C$15*(Inputs!$C$28*NGS_Bacteria_Input!$B$8-P109)+Inputs!$D$15*(P8-P109)+Inputs!$E$15*(Inputs!$D$28*NGS_Bacteria_Input!$C$8-P109)))</f>
        <v>0</v>
      </c>
      <c r="R109" s="21">
        <f>IF(Q109="","",Q109+Inputs!$B$5/Inputs!$B$15*(Inputs!$C$15*(Inputs!$C$28*NGS_Bacteria_Input!$B$8-Q109)+Inputs!$D$15*(Q8-Q109)+Inputs!$E$15*(Inputs!$D$28*NGS_Bacteria_Input!$C$8-Q109)))</f>
        <v>0</v>
      </c>
      <c r="S109" s="21">
        <f>IF(R109="","",R109+Inputs!$B$5/Inputs!$B$15*(Inputs!$C$15*(Inputs!$C$28*NGS_Bacteria_Input!$B$8-R109)+Inputs!$D$15*(R8-R109)+Inputs!$E$15*(Inputs!$D$28*NGS_Bacteria_Input!$C$8-R109)))</f>
        <v>0</v>
      </c>
      <c r="T109" s="21">
        <f>IF(S109="","",S109+Inputs!$B$5/Inputs!$B$15*(Inputs!$C$15*(Inputs!$C$28*NGS_Bacteria_Input!$B$8-S109)+Inputs!$D$15*(S8-S109)+Inputs!$E$15*(Inputs!$D$28*NGS_Bacteria_Input!$C$8-S109)))</f>
        <v>0</v>
      </c>
      <c r="U109" s="21">
        <f>IF(T109="","",T109+Inputs!$B$5/Inputs!$B$15*(Inputs!$C$15*(Inputs!$C$28*NGS_Bacteria_Input!$B$8-T109)+Inputs!$D$15*(T8-T109)+Inputs!$E$15*(Inputs!$D$28*NGS_Bacteria_Input!$C$8-T109)))</f>
        <v>0</v>
      </c>
      <c r="V109" s="21">
        <f>IF(U109="","",U109+Inputs!$B$5/Inputs!$B$15*(Inputs!$C$15*(Inputs!$C$28*NGS_Bacteria_Input!$B$8-U109)+Inputs!$D$15*(U8-U109)+Inputs!$E$15*(Inputs!$D$28*NGS_Bacteria_Input!$C$8-U109)))</f>
        <v>0</v>
      </c>
      <c r="W109" s="21">
        <f>IF(V109="","",V109+Inputs!$B$5/Inputs!$B$15*(Inputs!$C$15*(Inputs!$C$28*NGS_Bacteria_Input!$B$8-V109)+Inputs!$D$15*(V8-V109)+Inputs!$E$15*(Inputs!$D$28*NGS_Bacteria_Input!$C$8-V109)))</f>
        <v>0</v>
      </c>
    </row>
    <row r="110" spans="1:23" ht="18" customHeight="1" x14ac:dyDescent="0.25">
      <c r="A110" s="11" t="str">
        <f>NGS_Bacteria_Input!A9</f>
        <v>Bac_taxon_5</v>
      </c>
      <c r="B110" s="21">
        <f>IF(Inputs!$G$38="","",Inputs!$G$38*NGS_Bacteria_Input!$G$9)</f>
        <v>0</v>
      </c>
      <c r="C110" s="21">
        <f>IF(B110="","",B110+Inputs!$B$5/Inputs!$B$15*(Inputs!$C$15*(Inputs!$C$28*NGS_Bacteria_Input!$B$9-B110)+Inputs!$D$15*(B9-B110)+Inputs!$E$15*(Inputs!$D$28*NGS_Bacteria_Input!$C$9-B110)))</f>
        <v>0</v>
      </c>
      <c r="D110" s="21">
        <f>IF(C110="","",C110+Inputs!$B$5/Inputs!$B$15*(Inputs!$C$15*(Inputs!$C$28*NGS_Bacteria_Input!$B$9-C110)+Inputs!$D$15*(C9-C110)+Inputs!$E$15*(Inputs!$D$28*NGS_Bacteria_Input!$C$9-C110)))</f>
        <v>0</v>
      </c>
      <c r="E110" s="21">
        <f>IF(D110="","",D110+Inputs!$B$5/Inputs!$B$15*(Inputs!$C$15*(Inputs!$C$28*NGS_Bacteria_Input!$B$9-D110)+Inputs!$D$15*(D9-D110)+Inputs!$E$15*(Inputs!$D$28*NGS_Bacteria_Input!$C$9-D110)))</f>
        <v>0</v>
      </c>
      <c r="F110" s="21">
        <f>IF(E110="","",E110+Inputs!$B$5/Inputs!$B$15*(Inputs!$C$15*(Inputs!$C$28*NGS_Bacteria_Input!$B$9-E110)+Inputs!$D$15*(E9-E110)+Inputs!$E$15*(Inputs!$D$28*NGS_Bacteria_Input!$C$9-E110)))</f>
        <v>0</v>
      </c>
      <c r="G110" s="21">
        <f>IF(F110="","",F110+Inputs!$B$5/Inputs!$B$15*(Inputs!$C$15*(Inputs!$C$28*NGS_Bacteria_Input!$B$9-F110)+Inputs!$D$15*(F9-F110)+Inputs!$E$15*(Inputs!$D$28*NGS_Bacteria_Input!$C$9-F110)))</f>
        <v>0</v>
      </c>
      <c r="H110" s="21">
        <f>IF(G110="","",G110+Inputs!$B$5/Inputs!$B$15*(Inputs!$C$15*(Inputs!$C$28*NGS_Bacteria_Input!$B$9-G110)+Inputs!$D$15*(G9-G110)+Inputs!$E$15*(Inputs!$D$28*NGS_Bacteria_Input!$C$9-G110)))</f>
        <v>0</v>
      </c>
      <c r="I110" s="21">
        <f>IF(H110="","",H110+Inputs!$B$5/Inputs!$B$15*(Inputs!$C$15*(Inputs!$C$28*NGS_Bacteria_Input!$B$9-H110)+Inputs!$D$15*(H9-H110)+Inputs!$E$15*(Inputs!$D$28*NGS_Bacteria_Input!$C$9-H110)))</f>
        <v>0</v>
      </c>
      <c r="J110" s="21">
        <f>IF(I110="","",I110+Inputs!$B$5/Inputs!$B$15*(Inputs!$C$15*(Inputs!$C$28*NGS_Bacteria_Input!$B$9-I110)+Inputs!$D$15*(I9-I110)+Inputs!$E$15*(Inputs!$D$28*NGS_Bacteria_Input!$C$9-I110)))</f>
        <v>0</v>
      </c>
      <c r="K110" s="21">
        <f>IF(J110="","",J110+Inputs!$B$5/Inputs!$B$15*(Inputs!$C$15*(Inputs!$C$28*NGS_Bacteria_Input!$B$9-J110)+Inputs!$D$15*(J9-J110)+Inputs!$E$15*(Inputs!$D$28*NGS_Bacteria_Input!$C$9-J110)))</f>
        <v>0</v>
      </c>
      <c r="L110" s="21">
        <f>IF(K110="","",K110+Inputs!$B$5/Inputs!$B$15*(Inputs!$C$15*(Inputs!$C$28*NGS_Bacteria_Input!$B$9-K110)+Inputs!$D$15*(K9-K110)+Inputs!$E$15*(Inputs!$D$28*NGS_Bacteria_Input!$C$9-K110)))</f>
        <v>0</v>
      </c>
      <c r="M110" s="21">
        <f>IF(L110="","",L110+Inputs!$B$5/Inputs!$B$15*(Inputs!$C$15*(Inputs!$C$28*NGS_Bacteria_Input!$B$9-L110)+Inputs!$D$15*(L9-L110)+Inputs!$E$15*(Inputs!$D$28*NGS_Bacteria_Input!$C$9-L110)))</f>
        <v>0</v>
      </c>
      <c r="N110" s="21">
        <f>IF(M110="","",M110+Inputs!$B$5/Inputs!$B$15*(Inputs!$C$15*(Inputs!$C$28*NGS_Bacteria_Input!$B$9-M110)+Inputs!$D$15*(M9-M110)+Inputs!$E$15*(Inputs!$D$28*NGS_Bacteria_Input!$C$9-M110)))</f>
        <v>0</v>
      </c>
      <c r="O110" s="21">
        <f>IF(N110="","",N110+Inputs!$B$5/Inputs!$B$15*(Inputs!$C$15*(Inputs!$C$28*NGS_Bacteria_Input!$B$9-N110)+Inputs!$D$15*(N9-N110)+Inputs!$E$15*(Inputs!$D$28*NGS_Bacteria_Input!$C$9-N110)))</f>
        <v>0</v>
      </c>
      <c r="P110" s="21">
        <f>IF(O110="","",O110+Inputs!$B$5/Inputs!$B$15*(Inputs!$C$15*(Inputs!$C$28*NGS_Bacteria_Input!$B$9-O110)+Inputs!$D$15*(O9-O110)+Inputs!$E$15*(Inputs!$D$28*NGS_Bacteria_Input!$C$9-O110)))</f>
        <v>0</v>
      </c>
      <c r="Q110" s="21">
        <f>IF(P110="","",P110+Inputs!$B$5/Inputs!$B$15*(Inputs!$C$15*(Inputs!$C$28*NGS_Bacteria_Input!$B$9-P110)+Inputs!$D$15*(P9-P110)+Inputs!$E$15*(Inputs!$D$28*NGS_Bacteria_Input!$C$9-P110)))</f>
        <v>0</v>
      </c>
      <c r="R110" s="21">
        <f>IF(Q110="","",Q110+Inputs!$B$5/Inputs!$B$15*(Inputs!$C$15*(Inputs!$C$28*NGS_Bacteria_Input!$B$9-Q110)+Inputs!$D$15*(Q9-Q110)+Inputs!$E$15*(Inputs!$D$28*NGS_Bacteria_Input!$C$9-Q110)))</f>
        <v>0</v>
      </c>
      <c r="S110" s="21">
        <f>IF(R110="","",R110+Inputs!$B$5/Inputs!$B$15*(Inputs!$C$15*(Inputs!$C$28*NGS_Bacteria_Input!$B$9-R110)+Inputs!$D$15*(R9-R110)+Inputs!$E$15*(Inputs!$D$28*NGS_Bacteria_Input!$C$9-R110)))</f>
        <v>0</v>
      </c>
      <c r="T110" s="21">
        <f>IF(S110="","",S110+Inputs!$B$5/Inputs!$B$15*(Inputs!$C$15*(Inputs!$C$28*NGS_Bacteria_Input!$B$9-S110)+Inputs!$D$15*(S9-S110)+Inputs!$E$15*(Inputs!$D$28*NGS_Bacteria_Input!$C$9-S110)))</f>
        <v>0</v>
      </c>
      <c r="U110" s="21">
        <f>IF(T110="","",T110+Inputs!$B$5/Inputs!$B$15*(Inputs!$C$15*(Inputs!$C$28*NGS_Bacteria_Input!$B$9-T110)+Inputs!$D$15*(T9-T110)+Inputs!$E$15*(Inputs!$D$28*NGS_Bacteria_Input!$C$9-T110)))</f>
        <v>0</v>
      </c>
      <c r="V110" s="21">
        <f>IF(U110="","",U110+Inputs!$B$5/Inputs!$B$15*(Inputs!$C$15*(Inputs!$C$28*NGS_Bacteria_Input!$B$9-U110)+Inputs!$D$15*(U9-U110)+Inputs!$E$15*(Inputs!$D$28*NGS_Bacteria_Input!$C$9-U110)))</f>
        <v>0</v>
      </c>
      <c r="W110" s="21">
        <f>IF(V110="","",V110+Inputs!$B$5/Inputs!$B$15*(Inputs!$C$15*(Inputs!$C$28*NGS_Bacteria_Input!$B$9-V110)+Inputs!$D$15*(V9-V110)+Inputs!$E$15*(Inputs!$D$28*NGS_Bacteria_Input!$C$9-V110)))</f>
        <v>0</v>
      </c>
    </row>
    <row r="111" spans="1:23" ht="18" customHeight="1" x14ac:dyDescent="0.25">
      <c r="A111" s="11" t="str">
        <f>NGS_Bacteria_Input!A10</f>
        <v>Bac_taxon_6</v>
      </c>
      <c r="B111" s="21">
        <f>IF(Inputs!$G$38="","",Inputs!$G$38*NGS_Bacteria_Input!$G$10)</f>
        <v>0</v>
      </c>
      <c r="C111" s="21">
        <f>IF(B111="","",B111+Inputs!$B$5/Inputs!$B$15*(Inputs!$C$15*(Inputs!$C$28*NGS_Bacteria_Input!$B$10-B111)+Inputs!$D$15*(B10-B111)+Inputs!$E$15*(Inputs!$D$28*NGS_Bacteria_Input!$C$10-B111)))</f>
        <v>0</v>
      </c>
      <c r="D111" s="21">
        <f>IF(C111="","",C111+Inputs!$B$5/Inputs!$B$15*(Inputs!$C$15*(Inputs!$C$28*NGS_Bacteria_Input!$B$10-C111)+Inputs!$D$15*(C10-C111)+Inputs!$E$15*(Inputs!$D$28*NGS_Bacteria_Input!$C$10-C111)))</f>
        <v>0</v>
      </c>
      <c r="E111" s="21">
        <f>IF(D111="","",D111+Inputs!$B$5/Inputs!$B$15*(Inputs!$C$15*(Inputs!$C$28*NGS_Bacteria_Input!$B$10-D111)+Inputs!$D$15*(D10-D111)+Inputs!$E$15*(Inputs!$D$28*NGS_Bacteria_Input!$C$10-D111)))</f>
        <v>0</v>
      </c>
      <c r="F111" s="21">
        <f>IF(E111="","",E111+Inputs!$B$5/Inputs!$B$15*(Inputs!$C$15*(Inputs!$C$28*NGS_Bacteria_Input!$B$10-E111)+Inputs!$D$15*(E10-E111)+Inputs!$E$15*(Inputs!$D$28*NGS_Bacteria_Input!$C$10-E111)))</f>
        <v>0</v>
      </c>
      <c r="G111" s="21">
        <f>IF(F111="","",F111+Inputs!$B$5/Inputs!$B$15*(Inputs!$C$15*(Inputs!$C$28*NGS_Bacteria_Input!$B$10-F111)+Inputs!$D$15*(F10-F111)+Inputs!$E$15*(Inputs!$D$28*NGS_Bacteria_Input!$C$10-F111)))</f>
        <v>0</v>
      </c>
      <c r="H111" s="21">
        <f>IF(G111="","",G111+Inputs!$B$5/Inputs!$B$15*(Inputs!$C$15*(Inputs!$C$28*NGS_Bacteria_Input!$B$10-G111)+Inputs!$D$15*(G10-G111)+Inputs!$E$15*(Inputs!$D$28*NGS_Bacteria_Input!$C$10-G111)))</f>
        <v>0</v>
      </c>
      <c r="I111" s="21">
        <f>IF(H111="","",H111+Inputs!$B$5/Inputs!$B$15*(Inputs!$C$15*(Inputs!$C$28*NGS_Bacteria_Input!$B$10-H111)+Inputs!$D$15*(H10-H111)+Inputs!$E$15*(Inputs!$D$28*NGS_Bacteria_Input!$C$10-H111)))</f>
        <v>0</v>
      </c>
      <c r="J111" s="21">
        <f>IF(I111="","",I111+Inputs!$B$5/Inputs!$B$15*(Inputs!$C$15*(Inputs!$C$28*NGS_Bacteria_Input!$B$10-I111)+Inputs!$D$15*(I10-I111)+Inputs!$E$15*(Inputs!$D$28*NGS_Bacteria_Input!$C$10-I111)))</f>
        <v>0</v>
      </c>
      <c r="K111" s="21">
        <f>IF(J111="","",J111+Inputs!$B$5/Inputs!$B$15*(Inputs!$C$15*(Inputs!$C$28*NGS_Bacteria_Input!$B$10-J111)+Inputs!$D$15*(J10-J111)+Inputs!$E$15*(Inputs!$D$28*NGS_Bacteria_Input!$C$10-J111)))</f>
        <v>0</v>
      </c>
      <c r="L111" s="21">
        <f>IF(K111="","",K111+Inputs!$B$5/Inputs!$B$15*(Inputs!$C$15*(Inputs!$C$28*NGS_Bacteria_Input!$B$10-K111)+Inputs!$D$15*(K10-K111)+Inputs!$E$15*(Inputs!$D$28*NGS_Bacteria_Input!$C$10-K111)))</f>
        <v>0</v>
      </c>
      <c r="M111" s="21">
        <f>IF(L111="","",L111+Inputs!$B$5/Inputs!$B$15*(Inputs!$C$15*(Inputs!$C$28*NGS_Bacteria_Input!$B$10-L111)+Inputs!$D$15*(L10-L111)+Inputs!$E$15*(Inputs!$D$28*NGS_Bacteria_Input!$C$10-L111)))</f>
        <v>0</v>
      </c>
      <c r="N111" s="21">
        <f>IF(M111="","",M111+Inputs!$B$5/Inputs!$B$15*(Inputs!$C$15*(Inputs!$C$28*NGS_Bacteria_Input!$B$10-M111)+Inputs!$D$15*(M10-M111)+Inputs!$E$15*(Inputs!$D$28*NGS_Bacteria_Input!$C$10-M111)))</f>
        <v>0</v>
      </c>
      <c r="O111" s="21">
        <f>IF(N111="","",N111+Inputs!$B$5/Inputs!$B$15*(Inputs!$C$15*(Inputs!$C$28*NGS_Bacteria_Input!$B$10-N111)+Inputs!$D$15*(N10-N111)+Inputs!$E$15*(Inputs!$D$28*NGS_Bacteria_Input!$C$10-N111)))</f>
        <v>0</v>
      </c>
      <c r="P111" s="21">
        <f>IF(O111="","",O111+Inputs!$B$5/Inputs!$B$15*(Inputs!$C$15*(Inputs!$C$28*NGS_Bacteria_Input!$B$10-O111)+Inputs!$D$15*(O10-O111)+Inputs!$E$15*(Inputs!$D$28*NGS_Bacteria_Input!$C$10-O111)))</f>
        <v>0</v>
      </c>
      <c r="Q111" s="21">
        <f>IF(P111="","",P111+Inputs!$B$5/Inputs!$B$15*(Inputs!$C$15*(Inputs!$C$28*NGS_Bacteria_Input!$B$10-P111)+Inputs!$D$15*(P10-P111)+Inputs!$E$15*(Inputs!$D$28*NGS_Bacteria_Input!$C$10-P111)))</f>
        <v>0</v>
      </c>
      <c r="R111" s="21">
        <f>IF(Q111="","",Q111+Inputs!$B$5/Inputs!$B$15*(Inputs!$C$15*(Inputs!$C$28*NGS_Bacteria_Input!$B$10-Q111)+Inputs!$D$15*(Q10-Q111)+Inputs!$E$15*(Inputs!$D$28*NGS_Bacteria_Input!$C$10-Q111)))</f>
        <v>0</v>
      </c>
      <c r="S111" s="21">
        <f>IF(R111="","",R111+Inputs!$B$5/Inputs!$B$15*(Inputs!$C$15*(Inputs!$C$28*NGS_Bacteria_Input!$B$10-R111)+Inputs!$D$15*(R10-R111)+Inputs!$E$15*(Inputs!$D$28*NGS_Bacteria_Input!$C$10-R111)))</f>
        <v>0</v>
      </c>
      <c r="T111" s="21">
        <f>IF(S111="","",S111+Inputs!$B$5/Inputs!$B$15*(Inputs!$C$15*(Inputs!$C$28*NGS_Bacteria_Input!$B$10-S111)+Inputs!$D$15*(S10-S111)+Inputs!$E$15*(Inputs!$D$28*NGS_Bacteria_Input!$C$10-S111)))</f>
        <v>0</v>
      </c>
      <c r="U111" s="21">
        <f>IF(T111="","",T111+Inputs!$B$5/Inputs!$B$15*(Inputs!$C$15*(Inputs!$C$28*NGS_Bacteria_Input!$B$10-T111)+Inputs!$D$15*(T10-T111)+Inputs!$E$15*(Inputs!$D$28*NGS_Bacteria_Input!$C$10-T111)))</f>
        <v>0</v>
      </c>
      <c r="V111" s="21">
        <f>IF(U111="","",U111+Inputs!$B$5/Inputs!$B$15*(Inputs!$C$15*(Inputs!$C$28*NGS_Bacteria_Input!$B$10-U111)+Inputs!$D$15*(U10-U111)+Inputs!$E$15*(Inputs!$D$28*NGS_Bacteria_Input!$C$10-U111)))</f>
        <v>0</v>
      </c>
      <c r="W111" s="21">
        <f>IF(V111="","",V111+Inputs!$B$5/Inputs!$B$15*(Inputs!$C$15*(Inputs!$C$28*NGS_Bacteria_Input!$B$10-V111)+Inputs!$D$15*(V10-V111)+Inputs!$E$15*(Inputs!$D$28*NGS_Bacteria_Input!$C$10-V111)))</f>
        <v>0</v>
      </c>
    </row>
    <row r="112" spans="1:23" ht="18" customHeight="1" x14ac:dyDescent="0.25">
      <c r="A112" s="11" t="str">
        <f>NGS_Bacteria_Input!A11</f>
        <v>Bac_taxon_7</v>
      </c>
      <c r="B112" s="21">
        <f>IF(Inputs!$G$38="","",Inputs!$G$38*NGS_Bacteria_Input!$G$11)</f>
        <v>0</v>
      </c>
      <c r="C112" s="21">
        <f>IF(B112="","",B112+Inputs!$B$5/Inputs!$B$15*(Inputs!$C$15*(Inputs!$C$28*NGS_Bacteria_Input!$B$11-B112)+Inputs!$D$15*(B11-B112)+Inputs!$E$15*(Inputs!$D$28*NGS_Bacteria_Input!$C$11-B112)))</f>
        <v>0</v>
      </c>
      <c r="D112" s="21">
        <f>IF(C112="","",C112+Inputs!$B$5/Inputs!$B$15*(Inputs!$C$15*(Inputs!$C$28*NGS_Bacteria_Input!$B$11-C112)+Inputs!$D$15*(C11-C112)+Inputs!$E$15*(Inputs!$D$28*NGS_Bacteria_Input!$C$11-C112)))</f>
        <v>0</v>
      </c>
      <c r="E112" s="21">
        <f>IF(D112="","",D112+Inputs!$B$5/Inputs!$B$15*(Inputs!$C$15*(Inputs!$C$28*NGS_Bacteria_Input!$B$11-D112)+Inputs!$D$15*(D11-D112)+Inputs!$E$15*(Inputs!$D$28*NGS_Bacteria_Input!$C$11-D112)))</f>
        <v>0</v>
      </c>
      <c r="F112" s="21">
        <f>IF(E112="","",E112+Inputs!$B$5/Inputs!$B$15*(Inputs!$C$15*(Inputs!$C$28*NGS_Bacteria_Input!$B$11-E112)+Inputs!$D$15*(E11-E112)+Inputs!$E$15*(Inputs!$D$28*NGS_Bacteria_Input!$C$11-E112)))</f>
        <v>0</v>
      </c>
      <c r="G112" s="21">
        <f>IF(F112="","",F112+Inputs!$B$5/Inputs!$B$15*(Inputs!$C$15*(Inputs!$C$28*NGS_Bacteria_Input!$B$11-F112)+Inputs!$D$15*(F11-F112)+Inputs!$E$15*(Inputs!$D$28*NGS_Bacteria_Input!$C$11-F112)))</f>
        <v>0</v>
      </c>
      <c r="H112" s="21">
        <f>IF(G112="","",G112+Inputs!$B$5/Inputs!$B$15*(Inputs!$C$15*(Inputs!$C$28*NGS_Bacteria_Input!$B$11-G112)+Inputs!$D$15*(G11-G112)+Inputs!$E$15*(Inputs!$D$28*NGS_Bacteria_Input!$C$11-G112)))</f>
        <v>0</v>
      </c>
      <c r="I112" s="21">
        <f>IF(H112="","",H112+Inputs!$B$5/Inputs!$B$15*(Inputs!$C$15*(Inputs!$C$28*NGS_Bacteria_Input!$B$11-H112)+Inputs!$D$15*(H11-H112)+Inputs!$E$15*(Inputs!$D$28*NGS_Bacteria_Input!$C$11-H112)))</f>
        <v>0</v>
      </c>
      <c r="J112" s="21">
        <f>IF(I112="","",I112+Inputs!$B$5/Inputs!$B$15*(Inputs!$C$15*(Inputs!$C$28*NGS_Bacteria_Input!$B$11-I112)+Inputs!$D$15*(I11-I112)+Inputs!$E$15*(Inputs!$D$28*NGS_Bacteria_Input!$C$11-I112)))</f>
        <v>0</v>
      </c>
      <c r="K112" s="21">
        <f>IF(J112="","",J112+Inputs!$B$5/Inputs!$B$15*(Inputs!$C$15*(Inputs!$C$28*NGS_Bacteria_Input!$B$11-J112)+Inputs!$D$15*(J11-J112)+Inputs!$E$15*(Inputs!$D$28*NGS_Bacteria_Input!$C$11-J112)))</f>
        <v>0</v>
      </c>
      <c r="L112" s="21">
        <f>IF(K112="","",K112+Inputs!$B$5/Inputs!$B$15*(Inputs!$C$15*(Inputs!$C$28*NGS_Bacteria_Input!$B$11-K112)+Inputs!$D$15*(K11-K112)+Inputs!$E$15*(Inputs!$D$28*NGS_Bacteria_Input!$C$11-K112)))</f>
        <v>0</v>
      </c>
      <c r="M112" s="21">
        <f>IF(L112="","",L112+Inputs!$B$5/Inputs!$B$15*(Inputs!$C$15*(Inputs!$C$28*NGS_Bacteria_Input!$B$11-L112)+Inputs!$D$15*(L11-L112)+Inputs!$E$15*(Inputs!$D$28*NGS_Bacteria_Input!$C$11-L112)))</f>
        <v>0</v>
      </c>
      <c r="N112" s="21">
        <f>IF(M112="","",M112+Inputs!$B$5/Inputs!$B$15*(Inputs!$C$15*(Inputs!$C$28*NGS_Bacteria_Input!$B$11-M112)+Inputs!$D$15*(M11-M112)+Inputs!$E$15*(Inputs!$D$28*NGS_Bacteria_Input!$C$11-M112)))</f>
        <v>0</v>
      </c>
      <c r="O112" s="21">
        <f>IF(N112="","",N112+Inputs!$B$5/Inputs!$B$15*(Inputs!$C$15*(Inputs!$C$28*NGS_Bacteria_Input!$B$11-N112)+Inputs!$D$15*(N11-N112)+Inputs!$E$15*(Inputs!$D$28*NGS_Bacteria_Input!$C$11-N112)))</f>
        <v>0</v>
      </c>
      <c r="P112" s="21">
        <f>IF(O112="","",O112+Inputs!$B$5/Inputs!$B$15*(Inputs!$C$15*(Inputs!$C$28*NGS_Bacteria_Input!$B$11-O112)+Inputs!$D$15*(O11-O112)+Inputs!$E$15*(Inputs!$D$28*NGS_Bacteria_Input!$C$11-O112)))</f>
        <v>0</v>
      </c>
      <c r="Q112" s="21">
        <f>IF(P112="","",P112+Inputs!$B$5/Inputs!$B$15*(Inputs!$C$15*(Inputs!$C$28*NGS_Bacteria_Input!$B$11-P112)+Inputs!$D$15*(P11-P112)+Inputs!$E$15*(Inputs!$D$28*NGS_Bacteria_Input!$C$11-P112)))</f>
        <v>0</v>
      </c>
      <c r="R112" s="21">
        <f>IF(Q112="","",Q112+Inputs!$B$5/Inputs!$B$15*(Inputs!$C$15*(Inputs!$C$28*NGS_Bacteria_Input!$B$11-Q112)+Inputs!$D$15*(Q11-Q112)+Inputs!$E$15*(Inputs!$D$28*NGS_Bacteria_Input!$C$11-Q112)))</f>
        <v>0</v>
      </c>
      <c r="S112" s="21">
        <f>IF(R112="","",R112+Inputs!$B$5/Inputs!$B$15*(Inputs!$C$15*(Inputs!$C$28*NGS_Bacteria_Input!$B$11-R112)+Inputs!$D$15*(R11-R112)+Inputs!$E$15*(Inputs!$D$28*NGS_Bacteria_Input!$C$11-R112)))</f>
        <v>0</v>
      </c>
      <c r="T112" s="21">
        <f>IF(S112="","",S112+Inputs!$B$5/Inputs!$B$15*(Inputs!$C$15*(Inputs!$C$28*NGS_Bacteria_Input!$B$11-S112)+Inputs!$D$15*(S11-S112)+Inputs!$E$15*(Inputs!$D$28*NGS_Bacteria_Input!$C$11-S112)))</f>
        <v>0</v>
      </c>
      <c r="U112" s="21">
        <f>IF(T112="","",T112+Inputs!$B$5/Inputs!$B$15*(Inputs!$C$15*(Inputs!$C$28*NGS_Bacteria_Input!$B$11-T112)+Inputs!$D$15*(T11-T112)+Inputs!$E$15*(Inputs!$D$28*NGS_Bacteria_Input!$C$11-T112)))</f>
        <v>0</v>
      </c>
      <c r="V112" s="21">
        <f>IF(U112="","",U112+Inputs!$B$5/Inputs!$B$15*(Inputs!$C$15*(Inputs!$C$28*NGS_Bacteria_Input!$B$11-U112)+Inputs!$D$15*(U11-U112)+Inputs!$E$15*(Inputs!$D$28*NGS_Bacteria_Input!$C$11-U112)))</f>
        <v>0</v>
      </c>
      <c r="W112" s="21">
        <f>IF(V112="","",V112+Inputs!$B$5/Inputs!$B$15*(Inputs!$C$15*(Inputs!$C$28*NGS_Bacteria_Input!$B$11-V112)+Inputs!$D$15*(V11-V112)+Inputs!$E$15*(Inputs!$D$28*NGS_Bacteria_Input!$C$11-V112)))</f>
        <v>0</v>
      </c>
    </row>
    <row r="113" spans="1:23" ht="18" customHeight="1" x14ac:dyDescent="0.25">
      <c r="A113" s="11" t="str">
        <f>NGS_Bacteria_Input!A12</f>
        <v>Bac_taxon_8</v>
      </c>
      <c r="B113" s="21">
        <f>IF(Inputs!$G$38="","",Inputs!$G$38*NGS_Bacteria_Input!$G$12)</f>
        <v>0</v>
      </c>
      <c r="C113" s="21">
        <f>IF(B113="","",B113+Inputs!$B$5/Inputs!$B$15*(Inputs!$C$15*(Inputs!$C$28*NGS_Bacteria_Input!$B$12-B113)+Inputs!$D$15*(B12-B113)+Inputs!$E$15*(Inputs!$D$28*NGS_Bacteria_Input!$C$12-B113)))</f>
        <v>0</v>
      </c>
      <c r="D113" s="21">
        <f>IF(C113="","",C113+Inputs!$B$5/Inputs!$B$15*(Inputs!$C$15*(Inputs!$C$28*NGS_Bacteria_Input!$B$12-C113)+Inputs!$D$15*(C12-C113)+Inputs!$E$15*(Inputs!$D$28*NGS_Bacteria_Input!$C$12-C113)))</f>
        <v>0</v>
      </c>
      <c r="E113" s="21">
        <f>IF(D113="","",D113+Inputs!$B$5/Inputs!$B$15*(Inputs!$C$15*(Inputs!$C$28*NGS_Bacteria_Input!$B$12-D113)+Inputs!$D$15*(D12-D113)+Inputs!$E$15*(Inputs!$D$28*NGS_Bacteria_Input!$C$12-D113)))</f>
        <v>0</v>
      </c>
      <c r="F113" s="21">
        <f>IF(E113="","",E113+Inputs!$B$5/Inputs!$B$15*(Inputs!$C$15*(Inputs!$C$28*NGS_Bacteria_Input!$B$12-E113)+Inputs!$D$15*(E12-E113)+Inputs!$E$15*(Inputs!$D$28*NGS_Bacteria_Input!$C$12-E113)))</f>
        <v>0</v>
      </c>
      <c r="G113" s="21">
        <f>IF(F113="","",F113+Inputs!$B$5/Inputs!$B$15*(Inputs!$C$15*(Inputs!$C$28*NGS_Bacteria_Input!$B$12-F113)+Inputs!$D$15*(F12-F113)+Inputs!$E$15*(Inputs!$D$28*NGS_Bacteria_Input!$C$12-F113)))</f>
        <v>0</v>
      </c>
      <c r="H113" s="21">
        <f>IF(G113="","",G113+Inputs!$B$5/Inputs!$B$15*(Inputs!$C$15*(Inputs!$C$28*NGS_Bacteria_Input!$B$12-G113)+Inputs!$D$15*(G12-G113)+Inputs!$E$15*(Inputs!$D$28*NGS_Bacteria_Input!$C$12-G113)))</f>
        <v>0</v>
      </c>
      <c r="I113" s="21">
        <f>IF(H113="","",H113+Inputs!$B$5/Inputs!$B$15*(Inputs!$C$15*(Inputs!$C$28*NGS_Bacteria_Input!$B$12-H113)+Inputs!$D$15*(H12-H113)+Inputs!$E$15*(Inputs!$D$28*NGS_Bacteria_Input!$C$12-H113)))</f>
        <v>0</v>
      </c>
      <c r="J113" s="21">
        <f>IF(I113="","",I113+Inputs!$B$5/Inputs!$B$15*(Inputs!$C$15*(Inputs!$C$28*NGS_Bacteria_Input!$B$12-I113)+Inputs!$D$15*(I12-I113)+Inputs!$E$15*(Inputs!$D$28*NGS_Bacteria_Input!$C$12-I113)))</f>
        <v>0</v>
      </c>
      <c r="K113" s="21">
        <f>IF(J113="","",J113+Inputs!$B$5/Inputs!$B$15*(Inputs!$C$15*(Inputs!$C$28*NGS_Bacteria_Input!$B$12-J113)+Inputs!$D$15*(J12-J113)+Inputs!$E$15*(Inputs!$D$28*NGS_Bacteria_Input!$C$12-J113)))</f>
        <v>0</v>
      </c>
      <c r="L113" s="21">
        <f>IF(K113="","",K113+Inputs!$B$5/Inputs!$B$15*(Inputs!$C$15*(Inputs!$C$28*NGS_Bacteria_Input!$B$12-K113)+Inputs!$D$15*(K12-K113)+Inputs!$E$15*(Inputs!$D$28*NGS_Bacteria_Input!$C$12-K113)))</f>
        <v>0</v>
      </c>
      <c r="M113" s="21">
        <f>IF(L113="","",L113+Inputs!$B$5/Inputs!$B$15*(Inputs!$C$15*(Inputs!$C$28*NGS_Bacteria_Input!$B$12-L113)+Inputs!$D$15*(L12-L113)+Inputs!$E$15*(Inputs!$D$28*NGS_Bacteria_Input!$C$12-L113)))</f>
        <v>0</v>
      </c>
      <c r="N113" s="21">
        <f>IF(M113="","",M113+Inputs!$B$5/Inputs!$B$15*(Inputs!$C$15*(Inputs!$C$28*NGS_Bacteria_Input!$B$12-M113)+Inputs!$D$15*(M12-M113)+Inputs!$E$15*(Inputs!$D$28*NGS_Bacteria_Input!$C$12-M113)))</f>
        <v>0</v>
      </c>
      <c r="O113" s="21">
        <f>IF(N113="","",N113+Inputs!$B$5/Inputs!$B$15*(Inputs!$C$15*(Inputs!$C$28*NGS_Bacteria_Input!$B$12-N113)+Inputs!$D$15*(N12-N113)+Inputs!$E$15*(Inputs!$D$28*NGS_Bacteria_Input!$C$12-N113)))</f>
        <v>0</v>
      </c>
      <c r="P113" s="21">
        <f>IF(O113="","",O113+Inputs!$B$5/Inputs!$B$15*(Inputs!$C$15*(Inputs!$C$28*NGS_Bacteria_Input!$B$12-O113)+Inputs!$D$15*(O12-O113)+Inputs!$E$15*(Inputs!$D$28*NGS_Bacteria_Input!$C$12-O113)))</f>
        <v>0</v>
      </c>
      <c r="Q113" s="21">
        <f>IF(P113="","",P113+Inputs!$B$5/Inputs!$B$15*(Inputs!$C$15*(Inputs!$C$28*NGS_Bacteria_Input!$B$12-P113)+Inputs!$D$15*(P12-P113)+Inputs!$E$15*(Inputs!$D$28*NGS_Bacteria_Input!$C$12-P113)))</f>
        <v>0</v>
      </c>
      <c r="R113" s="21">
        <f>IF(Q113="","",Q113+Inputs!$B$5/Inputs!$B$15*(Inputs!$C$15*(Inputs!$C$28*NGS_Bacteria_Input!$B$12-Q113)+Inputs!$D$15*(Q12-Q113)+Inputs!$E$15*(Inputs!$D$28*NGS_Bacteria_Input!$C$12-Q113)))</f>
        <v>0</v>
      </c>
      <c r="S113" s="21">
        <f>IF(R113="","",R113+Inputs!$B$5/Inputs!$B$15*(Inputs!$C$15*(Inputs!$C$28*NGS_Bacteria_Input!$B$12-R113)+Inputs!$D$15*(R12-R113)+Inputs!$E$15*(Inputs!$D$28*NGS_Bacteria_Input!$C$12-R113)))</f>
        <v>0</v>
      </c>
      <c r="T113" s="21">
        <f>IF(S113="","",S113+Inputs!$B$5/Inputs!$B$15*(Inputs!$C$15*(Inputs!$C$28*NGS_Bacteria_Input!$B$12-S113)+Inputs!$D$15*(S12-S113)+Inputs!$E$15*(Inputs!$D$28*NGS_Bacteria_Input!$C$12-S113)))</f>
        <v>0</v>
      </c>
      <c r="U113" s="21">
        <f>IF(T113="","",T113+Inputs!$B$5/Inputs!$B$15*(Inputs!$C$15*(Inputs!$C$28*NGS_Bacteria_Input!$B$12-T113)+Inputs!$D$15*(T12-T113)+Inputs!$E$15*(Inputs!$D$28*NGS_Bacteria_Input!$C$12-T113)))</f>
        <v>0</v>
      </c>
      <c r="V113" s="21">
        <f>IF(U113="","",U113+Inputs!$B$5/Inputs!$B$15*(Inputs!$C$15*(Inputs!$C$28*NGS_Bacteria_Input!$B$12-U113)+Inputs!$D$15*(U12-U113)+Inputs!$E$15*(Inputs!$D$28*NGS_Bacteria_Input!$C$12-U113)))</f>
        <v>0</v>
      </c>
      <c r="W113" s="21">
        <f>IF(V113="","",V113+Inputs!$B$5/Inputs!$B$15*(Inputs!$C$15*(Inputs!$C$28*NGS_Bacteria_Input!$B$12-V113)+Inputs!$D$15*(V12-V113)+Inputs!$E$15*(Inputs!$D$28*NGS_Bacteria_Input!$C$12-V113)))</f>
        <v>0</v>
      </c>
    </row>
    <row r="114" spans="1:23" ht="18" customHeight="1" x14ac:dyDescent="0.25">
      <c r="A114" s="11" t="str">
        <f>NGS_Bacteria_Input!A13</f>
        <v>Bac_taxon_9</v>
      </c>
      <c r="B114" s="21">
        <f>IF(Inputs!$G$38="","",Inputs!$G$38*NGS_Bacteria_Input!$G$13)</f>
        <v>0</v>
      </c>
      <c r="C114" s="21">
        <f>IF(B114="","",B114+Inputs!$B$5/Inputs!$B$15*(Inputs!$C$15*(Inputs!$C$28*NGS_Bacteria_Input!$B$13-B114)+Inputs!$D$15*(B13-B114)+Inputs!$E$15*(Inputs!$D$28*NGS_Bacteria_Input!$C$13-B114)))</f>
        <v>0</v>
      </c>
      <c r="D114" s="21">
        <f>IF(C114="","",C114+Inputs!$B$5/Inputs!$B$15*(Inputs!$C$15*(Inputs!$C$28*NGS_Bacteria_Input!$B$13-C114)+Inputs!$D$15*(C13-C114)+Inputs!$E$15*(Inputs!$D$28*NGS_Bacteria_Input!$C$13-C114)))</f>
        <v>0</v>
      </c>
      <c r="E114" s="21">
        <f>IF(D114="","",D114+Inputs!$B$5/Inputs!$B$15*(Inputs!$C$15*(Inputs!$C$28*NGS_Bacteria_Input!$B$13-D114)+Inputs!$D$15*(D13-D114)+Inputs!$E$15*(Inputs!$D$28*NGS_Bacteria_Input!$C$13-D114)))</f>
        <v>0</v>
      </c>
      <c r="F114" s="21">
        <f>IF(E114="","",E114+Inputs!$B$5/Inputs!$B$15*(Inputs!$C$15*(Inputs!$C$28*NGS_Bacteria_Input!$B$13-E114)+Inputs!$D$15*(E13-E114)+Inputs!$E$15*(Inputs!$D$28*NGS_Bacteria_Input!$C$13-E114)))</f>
        <v>0</v>
      </c>
      <c r="G114" s="21">
        <f>IF(F114="","",F114+Inputs!$B$5/Inputs!$B$15*(Inputs!$C$15*(Inputs!$C$28*NGS_Bacteria_Input!$B$13-F114)+Inputs!$D$15*(F13-F114)+Inputs!$E$15*(Inputs!$D$28*NGS_Bacteria_Input!$C$13-F114)))</f>
        <v>0</v>
      </c>
      <c r="H114" s="21">
        <f>IF(G114="","",G114+Inputs!$B$5/Inputs!$B$15*(Inputs!$C$15*(Inputs!$C$28*NGS_Bacteria_Input!$B$13-G114)+Inputs!$D$15*(G13-G114)+Inputs!$E$15*(Inputs!$D$28*NGS_Bacteria_Input!$C$13-G114)))</f>
        <v>0</v>
      </c>
      <c r="I114" s="21">
        <f>IF(H114="","",H114+Inputs!$B$5/Inputs!$B$15*(Inputs!$C$15*(Inputs!$C$28*NGS_Bacteria_Input!$B$13-H114)+Inputs!$D$15*(H13-H114)+Inputs!$E$15*(Inputs!$D$28*NGS_Bacteria_Input!$C$13-H114)))</f>
        <v>0</v>
      </c>
      <c r="J114" s="21">
        <f>IF(I114="","",I114+Inputs!$B$5/Inputs!$B$15*(Inputs!$C$15*(Inputs!$C$28*NGS_Bacteria_Input!$B$13-I114)+Inputs!$D$15*(I13-I114)+Inputs!$E$15*(Inputs!$D$28*NGS_Bacteria_Input!$C$13-I114)))</f>
        <v>0</v>
      </c>
      <c r="K114" s="21">
        <f>IF(J114="","",J114+Inputs!$B$5/Inputs!$B$15*(Inputs!$C$15*(Inputs!$C$28*NGS_Bacteria_Input!$B$13-J114)+Inputs!$D$15*(J13-J114)+Inputs!$E$15*(Inputs!$D$28*NGS_Bacteria_Input!$C$13-J114)))</f>
        <v>0</v>
      </c>
      <c r="L114" s="21">
        <f>IF(K114="","",K114+Inputs!$B$5/Inputs!$B$15*(Inputs!$C$15*(Inputs!$C$28*NGS_Bacteria_Input!$B$13-K114)+Inputs!$D$15*(K13-K114)+Inputs!$E$15*(Inputs!$D$28*NGS_Bacteria_Input!$C$13-K114)))</f>
        <v>0</v>
      </c>
      <c r="M114" s="21">
        <f>IF(L114="","",L114+Inputs!$B$5/Inputs!$B$15*(Inputs!$C$15*(Inputs!$C$28*NGS_Bacteria_Input!$B$13-L114)+Inputs!$D$15*(L13-L114)+Inputs!$E$15*(Inputs!$D$28*NGS_Bacteria_Input!$C$13-L114)))</f>
        <v>0</v>
      </c>
      <c r="N114" s="21">
        <f>IF(M114="","",M114+Inputs!$B$5/Inputs!$B$15*(Inputs!$C$15*(Inputs!$C$28*NGS_Bacteria_Input!$B$13-M114)+Inputs!$D$15*(M13-M114)+Inputs!$E$15*(Inputs!$D$28*NGS_Bacteria_Input!$C$13-M114)))</f>
        <v>0</v>
      </c>
      <c r="O114" s="21">
        <f>IF(N114="","",N114+Inputs!$B$5/Inputs!$B$15*(Inputs!$C$15*(Inputs!$C$28*NGS_Bacteria_Input!$B$13-N114)+Inputs!$D$15*(N13-N114)+Inputs!$E$15*(Inputs!$D$28*NGS_Bacteria_Input!$C$13-N114)))</f>
        <v>0</v>
      </c>
      <c r="P114" s="21">
        <f>IF(O114="","",O114+Inputs!$B$5/Inputs!$B$15*(Inputs!$C$15*(Inputs!$C$28*NGS_Bacteria_Input!$B$13-O114)+Inputs!$D$15*(O13-O114)+Inputs!$E$15*(Inputs!$D$28*NGS_Bacteria_Input!$C$13-O114)))</f>
        <v>0</v>
      </c>
      <c r="Q114" s="21">
        <f>IF(P114="","",P114+Inputs!$B$5/Inputs!$B$15*(Inputs!$C$15*(Inputs!$C$28*NGS_Bacteria_Input!$B$13-P114)+Inputs!$D$15*(P13-P114)+Inputs!$E$15*(Inputs!$D$28*NGS_Bacteria_Input!$C$13-P114)))</f>
        <v>0</v>
      </c>
      <c r="R114" s="21">
        <f>IF(Q114="","",Q114+Inputs!$B$5/Inputs!$B$15*(Inputs!$C$15*(Inputs!$C$28*NGS_Bacteria_Input!$B$13-Q114)+Inputs!$D$15*(Q13-Q114)+Inputs!$E$15*(Inputs!$D$28*NGS_Bacteria_Input!$C$13-Q114)))</f>
        <v>0</v>
      </c>
      <c r="S114" s="21">
        <f>IF(R114="","",R114+Inputs!$B$5/Inputs!$B$15*(Inputs!$C$15*(Inputs!$C$28*NGS_Bacteria_Input!$B$13-R114)+Inputs!$D$15*(R13-R114)+Inputs!$E$15*(Inputs!$D$28*NGS_Bacteria_Input!$C$13-R114)))</f>
        <v>0</v>
      </c>
      <c r="T114" s="21">
        <f>IF(S114="","",S114+Inputs!$B$5/Inputs!$B$15*(Inputs!$C$15*(Inputs!$C$28*NGS_Bacteria_Input!$B$13-S114)+Inputs!$D$15*(S13-S114)+Inputs!$E$15*(Inputs!$D$28*NGS_Bacteria_Input!$C$13-S114)))</f>
        <v>0</v>
      </c>
      <c r="U114" s="21">
        <f>IF(T114="","",T114+Inputs!$B$5/Inputs!$B$15*(Inputs!$C$15*(Inputs!$C$28*NGS_Bacteria_Input!$B$13-T114)+Inputs!$D$15*(T13-T114)+Inputs!$E$15*(Inputs!$D$28*NGS_Bacteria_Input!$C$13-T114)))</f>
        <v>0</v>
      </c>
      <c r="V114" s="21">
        <f>IF(U114="","",U114+Inputs!$B$5/Inputs!$B$15*(Inputs!$C$15*(Inputs!$C$28*NGS_Bacteria_Input!$B$13-U114)+Inputs!$D$15*(U13-U114)+Inputs!$E$15*(Inputs!$D$28*NGS_Bacteria_Input!$C$13-U114)))</f>
        <v>0</v>
      </c>
      <c r="W114" s="21">
        <f>IF(V114="","",V114+Inputs!$B$5/Inputs!$B$15*(Inputs!$C$15*(Inputs!$C$28*NGS_Bacteria_Input!$B$13-V114)+Inputs!$D$15*(V13-V114)+Inputs!$E$15*(Inputs!$D$28*NGS_Bacteria_Input!$C$13-V114)))</f>
        <v>0</v>
      </c>
    </row>
    <row r="115" spans="1:23" ht="18" customHeight="1" x14ac:dyDescent="0.25">
      <c r="A115" s="11" t="str">
        <f>NGS_Bacteria_Input!A14</f>
        <v>Bac_taxon_10</v>
      </c>
      <c r="B115" s="21">
        <f>IF(Inputs!$G$38="","",Inputs!$G$38*NGS_Bacteria_Input!$G$14)</f>
        <v>0</v>
      </c>
      <c r="C115" s="21">
        <f>IF(B115="","",B115+Inputs!$B$5/Inputs!$B$15*(Inputs!$C$15*(Inputs!$C$28*NGS_Bacteria_Input!$B$14-B115)+Inputs!$D$15*(B14-B115)+Inputs!$E$15*(Inputs!$D$28*NGS_Bacteria_Input!$C$14-B115)))</f>
        <v>0</v>
      </c>
      <c r="D115" s="21">
        <f>IF(C115="","",C115+Inputs!$B$5/Inputs!$B$15*(Inputs!$C$15*(Inputs!$C$28*NGS_Bacteria_Input!$B$14-C115)+Inputs!$D$15*(C14-C115)+Inputs!$E$15*(Inputs!$D$28*NGS_Bacteria_Input!$C$14-C115)))</f>
        <v>0</v>
      </c>
      <c r="E115" s="21">
        <f>IF(D115="","",D115+Inputs!$B$5/Inputs!$B$15*(Inputs!$C$15*(Inputs!$C$28*NGS_Bacteria_Input!$B$14-D115)+Inputs!$D$15*(D14-D115)+Inputs!$E$15*(Inputs!$D$28*NGS_Bacteria_Input!$C$14-D115)))</f>
        <v>0</v>
      </c>
      <c r="F115" s="21">
        <f>IF(E115="","",E115+Inputs!$B$5/Inputs!$B$15*(Inputs!$C$15*(Inputs!$C$28*NGS_Bacteria_Input!$B$14-E115)+Inputs!$D$15*(E14-E115)+Inputs!$E$15*(Inputs!$D$28*NGS_Bacteria_Input!$C$14-E115)))</f>
        <v>0</v>
      </c>
      <c r="G115" s="21">
        <f>IF(F115="","",F115+Inputs!$B$5/Inputs!$B$15*(Inputs!$C$15*(Inputs!$C$28*NGS_Bacteria_Input!$B$14-F115)+Inputs!$D$15*(F14-F115)+Inputs!$E$15*(Inputs!$D$28*NGS_Bacteria_Input!$C$14-F115)))</f>
        <v>0</v>
      </c>
      <c r="H115" s="21">
        <f>IF(G115="","",G115+Inputs!$B$5/Inputs!$B$15*(Inputs!$C$15*(Inputs!$C$28*NGS_Bacteria_Input!$B$14-G115)+Inputs!$D$15*(G14-G115)+Inputs!$E$15*(Inputs!$D$28*NGS_Bacteria_Input!$C$14-G115)))</f>
        <v>0</v>
      </c>
      <c r="I115" s="21">
        <f>IF(H115="","",H115+Inputs!$B$5/Inputs!$B$15*(Inputs!$C$15*(Inputs!$C$28*NGS_Bacteria_Input!$B$14-H115)+Inputs!$D$15*(H14-H115)+Inputs!$E$15*(Inputs!$D$28*NGS_Bacteria_Input!$C$14-H115)))</f>
        <v>0</v>
      </c>
      <c r="J115" s="21">
        <f>IF(I115="","",I115+Inputs!$B$5/Inputs!$B$15*(Inputs!$C$15*(Inputs!$C$28*NGS_Bacteria_Input!$B$14-I115)+Inputs!$D$15*(I14-I115)+Inputs!$E$15*(Inputs!$D$28*NGS_Bacteria_Input!$C$14-I115)))</f>
        <v>0</v>
      </c>
      <c r="K115" s="21">
        <f>IF(J115="","",J115+Inputs!$B$5/Inputs!$B$15*(Inputs!$C$15*(Inputs!$C$28*NGS_Bacteria_Input!$B$14-J115)+Inputs!$D$15*(J14-J115)+Inputs!$E$15*(Inputs!$D$28*NGS_Bacteria_Input!$C$14-J115)))</f>
        <v>0</v>
      </c>
      <c r="L115" s="21">
        <f>IF(K115="","",K115+Inputs!$B$5/Inputs!$B$15*(Inputs!$C$15*(Inputs!$C$28*NGS_Bacteria_Input!$B$14-K115)+Inputs!$D$15*(K14-K115)+Inputs!$E$15*(Inputs!$D$28*NGS_Bacteria_Input!$C$14-K115)))</f>
        <v>0</v>
      </c>
      <c r="M115" s="21">
        <f>IF(L115="","",L115+Inputs!$B$5/Inputs!$B$15*(Inputs!$C$15*(Inputs!$C$28*NGS_Bacteria_Input!$B$14-L115)+Inputs!$D$15*(L14-L115)+Inputs!$E$15*(Inputs!$D$28*NGS_Bacteria_Input!$C$14-L115)))</f>
        <v>0</v>
      </c>
      <c r="N115" s="21">
        <f>IF(M115="","",M115+Inputs!$B$5/Inputs!$B$15*(Inputs!$C$15*(Inputs!$C$28*NGS_Bacteria_Input!$B$14-M115)+Inputs!$D$15*(M14-M115)+Inputs!$E$15*(Inputs!$D$28*NGS_Bacteria_Input!$C$14-M115)))</f>
        <v>0</v>
      </c>
      <c r="O115" s="21">
        <f>IF(N115="","",N115+Inputs!$B$5/Inputs!$B$15*(Inputs!$C$15*(Inputs!$C$28*NGS_Bacteria_Input!$B$14-N115)+Inputs!$D$15*(N14-N115)+Inputs!$E$15*(Inputs!$D$28*NGS_Bacteria_Input!$C$14-N115)))</f>
        <v>0</v>
      </c>
      <c r="P115" s="21">
        <f>IF(O115="","",O115+Inputs!$B$5/Inputs!$B$15*(Inputs!$C$15*(Inputs!$C$28*NGS_Bacteria_Input!$B$14-O115)+Inputs!$D$15*(O14-O115)+Inputs!$E$15*(Inputs!$D$28*NGS_Bacteria_Input!$C$14-O115)))</f>
        <v>0</v>
      </c>
      <c r="Q115" s="21">
        <f>IF(P115="","",P115+Inputs!$B$5/Inputs!$B$15*(Inputs!$C$15*(Inputs!$C$28*NGS_Bacteria_Input!$B$14-P115)+Inputs!$D$15*(P14-P115)+Inputs!$E$15*(Inputs!$D$28*NGS_Bacteria_Input!$C$14-P115)))</f>
        <v>0</v>
      </c>
      <c r="R115" s="21">
        <f>IF(Q115="","",Q115+Inputs!$B$5/Inputs!$B$15*(Inputs!$C$15*(Inputs!$C$28*NGS_Bacteria_Input!$B$14-Q115)+Inputs!$D$15*(Q14-Q115)+Inputs!$E$15*(Inputs!$D$28*NGS_Bacteria_Input!$C$14-Q115)))</f>
        <v>0</v>
      </c>
      <c r="S115" s="21">
        <f>IF(R115="","",R115+Inputs!$B$5/Inputs!$B$15*(Inputs!$C$15*(Inputs!$C$28*NGS_Bacteria_Input!$B$14-R115)+Inputs!$D$15*(R14-R115)+Inputs!$E$15*(Inputs!$D$28*NGS_Bacteria_Input!$C$14-R115)))</f>
        <v>0</v>
      </c>
      <c r="T115" s="21">
        <f>IF(S115="","",S115+Inputs!$B$5/Inputs!$B$15*(Inputs!$C$15*(Inputs!$C$28*NGS_Bacteria_Input!$B$14-S115)+Inputs!$D$15*(S14-S115)+Inputs!$E$15*(Inputs!$D$28*NGS_Bacteria_Input!$C$14-S115)))</f>
        <v>0</v>
      </c>
      <c r="U115" s="21">
        <f>IF(T115="","",T115+Inputs!$B$5/Inputs!$B$15*(Inputs!$C$15*(Inputs!$C$28*NGS_Bacteria_Input!$B$14-T115)+Inputs!$D$15*(T14-T115)+Inputs!$E$15*(Inputs!$D$28*NGS_Bacteria_Input!$C$14-T115)))</f>
        <v>0</v>
      </c>
      <c r="V115" s="21">
        <f>IF(U115="","",U115+Inputs!$B$5/Inputs!$B$15*(Inputs!$C$15*(Inputs!$C$28*NGS_Bacteria_Input!$B$14-U115)+Inputs!$D$15*(U14-U115)+Inputs!$E$15*(Inputs!$D$28*NGS_Bacteria_Input!$C$14-U115)))</f>
        <v>0</v>
      </c>
      <c r="W115" s="21">
        <f>IF(V115="","",V115+Inputs!$B$5/Inputs!$B$15*(Inputs!$C$15*(Inputs!$C$28*NGS_Bacteria_Input!$B$14-V115)+Inputs!$D$15*(V14-V115)+Inputs!$E$15*(Inputs!$D$28*NGS_Bacteria_Input!$C$14-V115)))</f>
        <v>0</v>
      </c>
    </row>
    <row r="116" spans="1:23" ht="18" customHeight="1" x14ac:dyDescent="0.25">
      <c r="A116" s="11" t="str">
        <f>NGS_Bacteria_Input!A15</f>
        <v>Others</v>
      </c>
      <c r="B116" s="21">
        <f>IF(Inputs!$G$38="","",Inputs!$G$38*NGS_Bacteria_Input!$G$15)</f>
        <v>967106.57720874401</v>
      </c>
      <c r="C116" s="21">
        <f>IF(B116="","",B116+Inputs!$B$5/Inputs!$B$15*(Inputs!$C$15*(Inputs!$C$28*NGS_Bacteria_Input!$B$15-B116)+Inputs!$D$15*(B15-B116)+Inputs!$E$15*(Inputs!$D$28*NGS_Bacteria_Input!$C$15-B116)))</f>
        <v>961528.65505817265</v>
      </c>
      <c r="D116" s="21">
        <f>IF(C116="","",C116+Inputs!$B$5/Inputs!$B$15*(Inputs!$C$15*(Inputs!$C$28*NGS_Bacteria_Input!$B$15-C116)+Inputs!$D$15*(C15-C116)+Inputs!$E$15*(Inputs!$D$28*NGS_Bacteria_Input!$C$15-C116)))</f>
        <v>955435.40359110385</v>
      </c>
      <c r="E116" s="21">
        <f>IF(D116="","",D116+Inputs!$B$5/Inputs!$B$15*(Inputs!$C$15*(Inputs!$C$28*NGS_Bacteria_Input!$B$15-D116)+Inputs!$D$15*(D15-D116)+Inputs!$E$15*(Inputs!$D$28*NGS_Bacteria_Input!$C$15-D116)))</f>
        <v>948866.14513446111</v>
      </c>
      <c r="F116" s="21">
        <f>IF(E116="","",E116+Inputs!$B$5/Inputs!$B$15*(Inputs!$C$15*(Inputs!$C$28*NGS_Bacteria_Input!$B$15-E116)+Inputs!$D$15*(E15-E116)+Inputs!$E$15*(Inputs!$D$28*NGS_Bacteria_Input!$C$15-E116)))</f>
        <v>941858.08699834207</v>
      </c>
      <c r="G116" s="21">
        <f>IF(F116="","",F116+Inputs!$B$5/Inputs!$B$15*(Inputs!$C$15*(Inputs!$C$28*NGS_Bacteria_Input!$B$15-F116)+Inputs!$D$15*(F15-F116)+Inputs!$E$15*(Inputs!$D$28*NGS_Bacteria_Input!$C$15-F116)))</f>
        <v>934446.42442085163</v>
      </c>
      <c r="H116" s="21">
        <f>IF(G116="","",G116+Inputs!$B$5/Inputs!$B$15*(Inputs!$C$15*(Inputs!$C$28*NGS_Bacteria_Input!$B$15-G116)+Inputs!$D$15*(G15-G116)+Inputs!$E$15*(Inputs!$D$28*NGS_Bacteria_Input!$C$15-G116)))</f>
        <v>926664.43868476432</v>
      </c>
      <c r="I116" s="21">
        <f>IF(H116="","",H116+Inputs!$B$5/Inputs!$B$15*(Inputs!$C$15*(Inputs!$C$28*NGS_Bacteria_Input!$B$15-H116)+Inputs!$D$15*(H15-H116)+Inputs!$E$15*(Inputs!$D$28*NGS_Bacteria_Input!$C$15-H116)))</f>
        <v>918543.59062928567</v>
      </c>
      <c r="J116" s="21">
        <f>IF(I116="","",I116+Inputs!$B$5/Inputs!$B$15*(Inputs!$C$15*(Inputs!$C$28*NGS_Bacteria_Input!$B$15-I116)+Inputs!$D$15*(I15-I116)+Inputs!$E$15*(Inputs!$D$28*NGS_Bacteria_Input!$C$15-I116)))</f>
        <v>910113.60976990568</v>
      </c>
      <c r="K116" s="21">
        <f>IF(J116="","",J116+Inputs!$B$5/Inputs!$B$15*(Inputs!$C$15*(Inputs!$C$28*NGS_Bacteria_Input!$B$15-J116)+Inputs!$D$15*(J15-J116)+Inputs!$E$15*(Inputs!$D$28*NGS_Bacteria_Input!$C$15-J116)))</f>
        <v>901402.57922952936</v>
      </c>
      <c r="L116" s="21">
        <f>IF(K116="","",K116+Inputs!$B$5/Inputs!$B$15*(Inputs!$C$15*(Inputs!$C$28*NGS_Bacteria_Input!$B$15-K116)+Inputs!$D$15*(K15-K116)+Inputs!$E$15*(Inputs!$D$28*NGS_Bacteria_Input!$C$15-K116)))</f>
        <v>892437.01667471742</v>
      </c>
      <c r="M116" s="21">
        <f>IF(L116="","",L116+Inputs!$B$5/Inputs!$B$15*(Inputs!$C$15*(Inputs!$C$28*NGS_Bacteria_Input!$B$15-L116)+Inputs!$D$15*(L15-L116)+Inputs!$E$15*(Inputs!$D$28*NGS_Bacteria_Input!$C$15-L116)))</f>
        <v>883241.95144194551</v>
      </c>
      <c r="N116" s="21">
        <f>IF(M116="","",M116+Inputs!$B$5/Inputs!$B$15*(Inputs!$C$15*(Inputs!$C$28*NGS_Bacteria_Input!$B$15-M116)+Inputs!$D$15*(M15-M116)+Inputs!$E$15*(Inputs!$D$28*NGS_Bacteria_Input!$C$15-M116)))</f>
        <v>873840.99803027743</v>
      </c>
      <c r="O116" s="21">
        <f>IF(N116="","",N116+Inputs!$B$5/Inputs!$B$15*(Inputs!$C$15*(Inputs!$C$28*NGS_Bacteria_Input!$B$15-N116)+Inputs!$D$15*(N15-N116)+Inputs!$E$15*(Inputs!$D$28*NGS_Bacteria_Input!$C$15-N116)))</f>
        <v>864256.42612872552</v>
      </c>
      <c r="P116" s="21">
        <f>IF(O116="","",O116+Inputs!$B$5/Inputs!$B$15*(Inputs!$C$15*(Inputs!$C$28*NGS_Bacteria_Input!$B$15-O116)+Inputs!$D$15*(O15-O116)+Inputs!$E$15*(Inputs!$D$28*NGS_Bacteria_Input!$C$15-O116)))</f>
        <v>854509.22733882593</v>
      </c>
      <c r="Q116" s="21">
        <f>IF(P116="","",P116+Inputs!$B$5/Inputs!$B$15*(Inputs!$C$15*(Inputs!$C$28*NGS_Bacteria_Input!$B$15-P116)+Inputs!$D$15*(P15-P116)+Inputs!$E$15*(Inputs!$D$28*NGS_Bacteria_Input!$C$15-P116)))</f>
        <v>844619.17874556221</v>
      </c>
      <c r="R116" s="21">
        <f>IF(Q116="","",Q116+Inputs!$B$5/Inputs!$B$15*(Inputs!$C$15*(Inputs!$C$28*NGS_Bacteria_Input!$B$15-Q116)+Inputs!$D$15*(Q15-Q116)+Inputs!$E$15*(Inputs!$D$28*NGS_Bacteria_Input!$C$15-Q116)))</f>
        <v>834604.90348272154</v>
      </c>
      <c r="S116" s="21">
        <f>IF(R116="","",R116+Inputs!$B$5/Inputs!$B$15*(Inputs!$C$15*(Inputs!$C$28*NGS_Bacteria_Input!$B$15-R116)+Inputs!$D$15*(R15-R116)+Inputs!$E$15*(Inputs!$D$28*NGS_Bacteria_Input!$C$15-R116)))</f>
        <v>824483.9284320405</v>
      </c>
      <c r="T116" s="21">
        <f>IF(S116="","",S116+Inputs!$B$5/Inputs!$B$15*(Inputs!$C$15*(Inputs!$C$28*NGS_Bacteria_Input!$B$15-S116)+Inputs!$D$15*(S15-S116)+Inputs!$E$15*(Inputs!$D$28*NGS_Bacteria_Input!$C$15-S116)))</f>
        <v>814272.73918907868</v>
      </c>
      <c r="U116" s="21">
        <f>IF(T116="","",T116+Inputs!$B$5/Inputs!$B$15*(Inputs!$C$15*(Inputs!$C$28*NGS_Bacteria_Input!$B$15-T116)+Inputs!$D$15*(T15-T116)+Inputs!$E$15*(Inputs!$D$28*NGS_Bacteria_Input!$C$15-T116)))</f>
        <v>803986.83242263691</v>
      </c>
      <c r="V116" s="21">
        <f>IF(U116="","",U116+Inputs!$B$5/Inputs!$B$15*(Inputs!$C$15*(Inputs!$C$28*NGS_Bacteria_Input!$B$15-U116)+Inputs!$D$15*(U15-U116)+Inputs!$E$15*(Inputs!$D$28*NGS_Bacteria_Input!$C$15-U116)))</f>
        <v>793640.76574869687</v>
      </c>
      <c r="W116" s="21">
        <f>IF(V116="","",V116+Inputs!$B$5/Inputs!$B$15*(Inputs!$C$15*(Inputs!$C$28*NGS_Bacteria_Input!$B$15-V116)+Inputs!$D$15*(V15-V116)+Inputs!$E$15*(Inputs!$D$28*NGS_Bacteria_Input!$C$15-V116)))</f>
        <v>783248.20523428451</v>
      </c>
    </row>
    <row r="117" spans="1:23" ht="18" customHeight="1" x14ac:dyDescent="0.25"/>
    <row r="118" spans="1:23" ht="18" customHeight="1" x14ac:dyDescent="0.25">
      <c r="A118" s="25" t="s">
        <v>162</v>
      </c>
    </row>
    <row r="119" spans="1:23" ht="18" customHeight="1" x14ac:dyDescent="0.25">
      <c r="A119" s="11" t="str">
        <f>NGS_Bacteria_Input!A5</f>
        <v>Bac_taxon_1</v>
      </c>
      <c r="B119" s="14">
        <f>IF(BAC_ARC_Daily!W5&lt;&gt;0,B106/BAC_ARC_Daily!W5,"")</f>
        <v>0</v>
      </c>
      <c r="C119" s="14">
        <f>IF(BAC_ARC_Daily!W6&lt;&gt;0,C106/BAC_ARC_Daily!W6,"")</f>
        <v>0</v>
      </c>
      <c r="D119" s="14">
        <f>IF(BAC_ARC_Daily!W7&lt;&gt;0,D106/BAC_ARC_Daily!W7,"")</f>
        <v>0</v>
      </c>
      <c r="E119" s="14">
        <f>IF(BAC_ARC_Daily!W8&lt;&gt;0,E106/BAC_ARC_Daily!W8,"")</f>
        <v>0</v>
      </c>
      <c r="F119" s="14">
        <f>IF(BAC_ARC_Daily!W9&lt;&gt;0,F106/BAC_ARC_Daily!W9,"")</f>
        <v>0</v>
      </c>
      <c r="G119" s="14">
        <f>IF(BAC_ARC_Daily!W10&lt;&gt;0,G106/BAC_ARC_Daily!W10,"")</f>
        <v>0</v>
      </c>
      <c r="H119" s="14">
        <f>IF(BAC_ARC_Daily!W11&lt;&gt;0,H106/BAC_ARC_Daily!W11,"")</f>
        <v>0</v>
      </c>
      <c r="I119" s="14">
        <f>IF(BAC_ARC_Daily!W12&lt;&gt;0,I106/BAC_ARC_Daily!W12,"")</f>
        <v>0</v>
      </c>
      <c r="J119" s="14">
        <f>IF(BAC_ARC_Daily!W13&lt;&gt;0,J106/BAC_ARC_Daily!W13,"")</f>
        <v>0</v>
      </c>
      <c r="K119" s="14">
        <f>IF(BAC_ARC_Daily!W14&lt;&gt;0,K106/BAC_ARC_Daily!W14,"")</f>
        <v>0</v>
      </c>
      <c r="L119" s="14">
        <f>IF(BAC_ARC_Daily!W15&lt;&gt;0,L106/BAC_ARC_Daily!W15,"")</f>
        <v>0</v>
      </c>
      <c r="M119" s="14">
        <f>IF(BAC_ARC_Daily!W16&lt;&gt;0,M106/BAC_ARC_Daily!W16,"")</f>
        <v>0</v>
      </c>
      <c r="N119" s="14">
        <f>IF(BAC_ARC_Daily!W17&lt;&gt;0,N106/BAC_ARC_Daily!W17,"")</f>
        <v>0</v>
      </c>
      <c r="O119" s="14">
        <f>IF(BAC_ARC_Daily!W18&lt;&gt;0,O106/BAC_ARC_Daily!W18,"")</f>
        <v>0</v>
      </c>
      <c r="P119" s="14">
        <f>IF(BAC_ARC_Daily!W19&lt;&gt;0,P106/BAC_ARC_Daily!W19,"")</f>
        <v>0</v>
      </c>
      <c r="Q119" s="14">
        <f>IF(BAC_ARC_Daily!W20&lt;&gt;0,Q106/BAC_ARC_Daily!W20,"")</f>
        <v>0</v>
      </c>
      <c r="R119" s="14">
        <f>IF(BAC_ARC_Daily!W21&lt;&gt;0,R106/BAC_ARC_Daily!W21,"")</f>
        <v>0</v>
      </c>
      <c r="S119" s="14">
        <f>IF(BAC_ARC_Daily!W22&lt;&gt;0,S106/BAC_ARC_Daily!W22,"")</f>
        <v>0</v>
      </c>
      <c r="T119" s="14">
        <f>IF(BAC_ARC_Daily!W23&lt;&gt;0,T106/BAC_ARC_Daily!W23,"")</f>
        <v>0</v>
      </c>
      <c r="U119" s="14">
        <f>IF(BAC_ARC_Daily!W24&lt;&gt;0,U106/BAC_ARC_Daily!W24,"")</f>
        <v>0</v>
      </c>
      <c r="V119" s="14">
        <f>IF(BAC_ARC_Daily!W25&lt;&gt;0,V106/BAC_ARC_Daily!W25,"")</f>
        <v>0</v>
      </c>
      <c r="W119" s="14">
        <f>IF(BAC_ARC_Daily!W26&lt;&gt;0,W106/BAC_ARC_Daily!W26,"")</f>
        <v>0</v>
      </c>
    </row>
    <row r="120" spans="1:23" ht="18" customHeight="1" x14ac:dyDescent="0.25">
      <c r="A120" s="11" t="str">
        <f>NGS_Bacteria_Input!A6</f>
        <v>Bac_taxon_2</v>
      </c>
      <c r="B120" s="14">
        <f>IF(BAC_ARC_Daily!W5&lt;&gt;0,B107/BAC_ARC_Daily!W5,"")</f>
        <v>0</v>
      </c>
      <c r="C120" s="14">
        <f>IF(BAC_ARC_Daily!W6&lt;&gt;0,C107/BAC_ARC_Daily!W6,"")</f>
        <v>0</v>
      </c>
      <c r="D120" s="14">
        <f>IF(BAC_ARC_Daily!W7&lt;&gt;0,D107/BAC_ARC_Daily!W7,"")</f>
        <v>0</v>
      </c>
      <c r="E120" s="14">
        <f>IF(BAC_ARC_Daily!W8&lt;&gt;0,E107/BAC_ARC_Daily!W8,"")</f>
        <v>0</v>
      </c>
      <c r="F120" s="14">
        <f>IF(BAC_ARC_Daily!W9&lt;&gt;0,F107/BAC_ARC_Daily!W9,"")</f>
        <v>0</v>
      </c>
      <c r="G120" s="14">
        <f>IF(BAC_ARC_Daily!W10&lt;&gt;0,G107/BAC_ARC_Daily!W10,"")</f>
        <v>0</v>
      </c>
      <c r="H120" s="14">
        <f>IF(BAC_ARC_Daily!W11&lt;&gt;0,H107/BAC_ARC_Daily!W11,"")</f>
        <v>0</v>
      </c>
      <c r="I120" s="14">
        <f>IF(BAC_ARC_Daily!W12&lt;&gt;0,I107/BAC_ARC_Daily!W12,"")</f>
        <v>0</v>
      </c>
      <c r="J120" s="14">
        <f>IF(BAC_ARC_Daily!W13&lt;&gt;0,J107/BAC_ARC_Daily!W13,"")</f>
        <v>0</v>
      </c>
      <c r="K120" s="14">
        <f>IF(BAC_ARC_Daily!W14&lt;&gt;0,K107/BAC_ARC_Daily!W14,"")</f>
        <v>0</v>
      </c>
      <c r="L120" s="14">
        <f>IF(BAC_ARC_Daily!W15&lt;&gt;0,L107/BAC_ARC_Daily!W15,"")</f>
        <v>0</v>
      </c>
      <c r="M120" s="14">
        <f>IF(BAC_ARC_Daily!W16&lt;&gt;0,M107/BAC_ARC_Daily!W16,"")</f>
        <v>0</v>
      </c>
      <c r="N120" s="14">
        <f>IF(BAC_ARC_Daily!W17&lt;&gt;0,N107/BAC_ARC_Daily!W17,"")</f>
        <v>0</v>
      </c>
      <c r="O120" s="14">
        <f>IF(BAC_ARC_Daily!W18&lt;&gt;0,O107/BAC_ARC_Daily!W18,"")</f>
        <v>0</v>
      </c>
      <c r="P120" s="14">
        <f>IF(BAC_ARC_Daily!W19&lt;&gt;0,P107/BAC_ARC_Daily!W19,"")</f>
        <v>0</v>
      </c>
      <c r="Q120" s="14">
        <f>IF(BAC_ARC_Daily!W20&lt;&gt;0,Q107/BAC_ARC_Daily!W20,"")</f>
        <v>0</v>
      </c>
      <c r="R120" s="14">
        <f>IF(BAC_ARC_Daily!W21&lt;&gt;0,R107/BAC_ARC_Daily!W21,"")</f>
        <v>0</v>
      </c>
      <c r="S120" s="14">
        <f>IF(BAC_ARC_Daily!W22&lt;&gt;0,S107/BAC_ARC_Daily!W22,"")</f>
        <v>0</v>
      </c>
      <c r="T120" s="14">
        <f>IF(BAC_ARC_Daily!W23&lt;&gt;0,T107/BAC_ARC_Daily!W23,"")</f>
        <v>0</v>
      </c>
      <c r="U120" s="14">
        <f>IF(BAC_ARC_Daily!W24&lt;&gt;0,U107/BAC_ARC_Daily!W24,"")</f>
        <v>0</v>
      </c>
      <c r="V120" s="14">
        <f>IF(BAC_ARC_Daily!W25&lt;&gt;0,V107/BAC_ARC_Daily!W25,"")</f>
        <v>0</v>
      </c>
      <c r="W120" s="14">
        <f>IF(BAC_ARC_Daily!W26&lt;&gt;0,W107/BAC_ARC_Daily!W26,"")</f>
        <v>0</v>
      </c>
    </row>
    <row r="121" spans="1:23" ht="18" customHeight="1" x14ac:dyDescent="0.25">
      <c r="A121" s="11" t="str">
        <f>NGS_Bacteria_Input!A7</f>
        <v>Bac_taxon_3</v>
      </c>
      <c r="B121" s="14">
        <f>IF(BAC_ARC_Daily!W5&lt;&gt;0,B108/BAC_ARC_Daily!W5,"")</f>
        <v>0</v>
      </c>
      <c r="C121" s="14">
        <f>IF(BAC_ARC_Daily!W6&lt;&gt;0,C108/BAC_ARC_Daily!W6,"")</f>
        <v>0</v>
      </c>
      <c r="D121" s="14">
        <f>IF(BAC_ARC_Daily!W7&lt;&gt;0,D108/BAC_ARC_Daily!W7,"")</f>
        <v>0</v>
      </c>
      <c r="E121" s="14">
        <f>IF(BAC_ARC_Daily!W8&lt;&gt;0,E108/BAC_ARC_Daily!W8,"")</f>
        <v>0</v>
      </c>
      <c r="F121" s="14">
        <f>IF(BAC_ARC_Daily!W9&lt;&gt;0,F108/BAC_ARC_Daily!W9,"")</f>
        <v>0</v>
      </c>
      <c r="G121" s="14">
        <f>IF(BAC_ARC_Daily!W10&lt;&gt;0,G108/BAC_ARC_Daily!W10,"")</f>
        <v>0</v>
      </c>
      <c r="H121" s="14">
        <f>IF(BAC_ARC_Daily!W11&lt;&gt;0,H108/BAC_ARC_Daily!W11,"")</f>
        <v>0</v>
      </c>
      <c r="I121" s="14">
        <f>IF(BAC_ARC_Daily!W12&lt;&gt;0,I108/BAC_ARC_Daily!W12,"")</f>
        <v>0</v>
      </c>
      <c r="J121" s="14">
        <f>IF(BAC_ARC_Daily!W13&lt;&gt;0,J108/BAC_ARC_Daily!W13,"")</f>
        <v>0</v>
      </c>
      <c r="K121" s="14">
        <f>IF(BAC_ARC_Daily!W14&lt;&gt;0,K108/BAC_ARC_Daily!W14,"")</f>
        <v>0</v>
      </c>
      <c r="L121" s="14">
        <f>IF(BAC_ARC_Daily!W15&lt;&gt;0,L108/BAC_ARC_Daily!W15,"")</f>
        <v>0</v>
      </c>
      <c r="M121" s="14">
        <f>IF(BAC_ARC_Daily!W16&lt;&gt;0,M108/BAC_ARC_Daily!W16,"")</f>
        <v>0</v>
      </c>
      <c r="N121" s="14">
        <f>IF(BAC_ARC_Daily!W17&lt;&gt;0,N108/BAC_ARC_Daily!W17,"")</f>
        <v>0</v>
      </c>
      <c r="O121" s="14">
        <f>IF(BAC_ARC_Daily!W18&lt;&gt;0,O108/BAC_ARC_Daily!W18,"")</f>
        <v>0</v>
      </c>
      <c r="P121" s="14">
        <f>IF(BAC_ARC_Daily!W19&lt;&gt;0,P108/BAC_ARC_Daily!W19,"")</f>
        <v>0</v>
      </c>
      <c r="Q121" s="14">
        <f>IF(BAC_ARC_Daily!W20&lt;&gt;0,Q108/BAC_ARC_Daily!W20,"")</f>
        <v>0</v>
      </c>
      <c r="R121" s="14">
        <f>IF(BAC_ARC_Daily!W21&lt;&gt;0,R108/BAC_ARC_Daily!W21,"")</f>
        <v>0</v>
      </c>
      <c r="S121" s="14">
        <f>IF(BAC_ARC_Daily!W22&lt;&gt;0,S108/BAC_ARC_Daily!W22,"")</f>
        <v>0</v>
      </c>
      <c r="T121" s="14">
        <f>IF(BAC_ARC_Daily!W23&lt;&gt;0,T108/BAC_ARC_Daily!W23,"")</f>
        <v>0</v>
      </c>
      <c r="U121" s="14">
        <f>IF(BAC_ARC_Daily!W24&lt;&gt;0,U108/BAC_ARC_Daily!W24,"")</f>
        <v>0</v>
      </c>
      <c r="V121" s="14">
        <f>IF(BAC_ARC_Daily!W25&lt;&gt;0,V108/BAC_ARC_Daily!W25,"")</f>
        <v>0</v>
      </c>
      <c r="W121" s="14">
        <f>IF(BAC_ARC_Daily!W26&lt;&gt;0,W108/BAC_ARC_Daily!W26,"")</f>
        <v>0</v>
      </c>
    </row>
    <row r="122" spans="1:23" ht="18" customHeight="1" x14ac:dyDescent="0.25">
      <c r="A122" s="11" t="str">
        <f>NGS_Bacteria_Input!A8</f>
        <v>Bac_taxon_4</v>
      </c>
      <c r="B122" s="14">
        <f>IF(BAC_ARC_Daily!W5&lt;&gt;0,B109/BAC_ARC_Daily!W5,"")</f>
        <v>0</v>
      </c>
      <c r="C122" s="14">
        <f>IF(BAC_ARC_Daily!W6&lt;&gt;0,C109/BAC_ARC_Daily!W6,"")</f>
        <v>0</v>
      </c>
      <c r="D122" s="14">
        <f>IF(BAC_ARC_Daily!W7&lt;&gt;0,D109/BAC_ARC_Daily!W7,"")</f>
        <v>0</v>
      </c>
      <c r="E122" s="14">
        <f>IF(BAC_ARC_Daily!W8&lt;&gt;0,E109/BAC_ARC_Daily!W8,"")</f>
        <v>0</v>
      </c>
      <c r="F122" s="14">
        <f>IF(BAC_ARC_Daily!W9&lt;&gt;0,F109/BAC_ARC_Daily!W9,"")</f>
        <v>0</v>
      </c>
      <c r="G122" s="14">
        <f>IF(BAC_ARC_Daily!W10&lt;&gt;0,G109/BAC_ARC_Daily!W10,"")</f>
        <v>0</v>
      </c>
      <c r="H122" s="14">
        <f>IF(BAC_ARC_Daily!W11&lt;&gt;0,H109/BAC_ARC_Daily!W11,"")</f>
        <v>0</v>
      </c>
      <c r="I122" s="14">
        <f>IF(BAC_ARC_Daily!W12&lt;&gt;0,I109/BAC_ARC_Daily!W12,"")</f>
        <v>0</v>
      </c>
      <c r="J122" s="14">
        <f>IF(BAC_ARC_Daily!W13&lt;&gt;0,J109/BAC_ARC_Daily!W13,"")</f>
        <v>0</v>
      </c>
      <c r="K122" s="14">
        <f>IF(BAC_ARC_Daily!W14&lt;&gt;0,K109/BAC_ARC_Daily!W14,"")</f>
        <v>0</v>
      </c>
      <c r="L122" s="14">
        <f>IF(BAC_ARC_Daily!W15&lt;&gt;0,L109/BAC_ARC_Daily!W15,"")</f>
        <v>0</v>
      </c>
      <c r="M122" s="14">
        <f>IF(BAC_ARC_Daily!W16&lt;&gt;0,M109/BAC_ARC_Daily!W16,"")</f>
        <v>0</v>
      </c>
      <c r="N122" s="14">
        <f>IF(BAC_ARC_Daily!W17&lt;&gt;0,N109/BAC_ARC_Daily!W17,"")</f>
        <v>0</v>
      </c>
      <c r="O122" s="14">
        <f>IF(BAC_ARC_Daily!W18&lt;&gt;0,O109/BAC_ARC_Daily!W18,"")</f>
        <v>0</v>
      </c>
      <c r="P122" s="14">
        <f>IF(BAC_ARC_Daily!W19&lt;&gt;0,P109/BAC_ARC_Daily!W19,"")</f>
        <v>0</v>
      </c>
      <c r="Q122" s="14">
        <f>IF(BAC_ARC_Daily!W20&lt;&gt;0,Q109/BAC_ARC_Daily!W20,"")</f>
        <v>0</v>
      </c>
      <c r="R122" s="14">
        <f>IF(BAC_ARC_Daily!W21&lt;&gt;0,R109/BAC_ARC_Daily!W21,"")</f>
        <v>0</v>
      </c>
      <c r="S122" s="14">
        <f>IF(BAC_ARC_Daily!W22&lt;&gt;0,S109/BAC_ARC_Daily!W22,"")</f>
        <v>0</v>
      </c>
      <c r="T122" s="14">
        <f>IF(BAC_ARC_Daily!W23&lt;&gt;0,T109/BAC_ARC_Daily!W23,"")</f>
        <v>0</v>
      </c>
      <c r="U122" s="14">
        <f>IF(BAC_ARC_Daily!W24&lt;&gt;0,U109/BAC_ARC_Daily!W24,"")</f>
        <v>0</v>
      </c>
      <c r="V122" s="14">
        <f>IF(BAC_ARC_Daily!W25&lt;&gt;0,V109/BAC_ARC_Daily!W25,"")</f>
        <v>0</v>
      </c>
      <c r="W122" s="14">
        <f>IF(BAC_ARC_Daily!W26&lt;&gt;0,W109/BAC_ARC_Daily!W26,"")</f>
        <v>0</v>
      </c>
    </row>
    <row r="123" spans="1:23" ht="18" customHeight="1" x14ac:dyDescent="0.25">
      <c r="A123" s="11" t="str">
        <f>NGS_Bacteria_Input!A9</f>
        <v>Bac_taxon_5</v>
      </c>
      <c r="B123" s="14">
        <f>IF(BAC_ARC_Daily!W5&lt;&gt;0,B110/BAC_ARC_Daily!W5,"")</f>
        <v>0</v>
      </c>
      <c r="C123" s="14">
        <f>IF(BAC_ARC_Daily!W6&lt;&gt;0,C110/BAC_ARC_Daily!W6,"")</f>
        <v>0</v>
      </c>
      <c r="D123" s="14">
        <f>IF(BAC_ARC_Daily!W7&lt;&gt;0,D110/BAC_ARC_Daily!W7,"")</f>
        <v>0</v>
      </c>
      <c r="E123" s="14">
        <f>IF(BAC_ARC_Daily!W8&lt;&gt;0,E110/BAC_ARC_Daily!W8,"")</f>
        <v>0</v>
      </c>
      <c r="F123" s="14">
        <f>IF(BAC_ARC_Daily!W9&lt;&gt;0,F110/BAC_ARC_Daily!W9,"")</f>
        <v>0</v>
      </c>
      <c r="G123" s="14">
        <f>IF(BAC_ARC_Daily!W10&lt;&gt;0,G110/BAC_ARC_Daily!W10,"")</f>
        <v>0</v>
      </c>
      <c r="H123" s="14">
        <f>IF(BAC_ARC_Daily!W11&lt;&gt;0,H110/BAC_ARC_Daily!W11,"")</f>
        <v>0</v>
      </c>
      <c r="I123" s="14">
        <f>IF(BAC_ARC_Daily!W12&lt;&gt;0,I110/BAC_ARC_Daily!W12,"")</f>
        <v>0</v>
      </c>
      <c r="J123" s="14">
        <f>IF(BAC_ARC_Daily!W13&lt;&gt;0,J110/BAC_ARC_Daily!W13,"")</f>
        <v>0</v>
      </c>
      <c r="K123" s="14">
        <f>IF(BAC_ARC_Daily!W14&lt;&gt;0,K110/BAC_ARC_Daily!W14,"")</f>
        <v>0</v>
      </c>
      <c r="L123" s="14">
        <f>IF(BAC_ARC_Daily!W15&lt;&gt;0,L110/BAC_ARC_Daily!W15,"")</f>
        <v>0</v>
      </c>
      <c r="M123" s="14">
        <f>IF(BAC_ARC_Daily!W16&lt;&gt;0,M110/BAC_ARC_Daily!W16,"")</f>
        <v>0</v>
      </c>
      <c r="N123" s="14">
        <f>IF(BAC_ARC_Daily!W17&lt;&gt;0,N110/BAC_ARC_Daily!W17,"")</f>
        <v>0</v>
      </c>
      <c r="O123" s="14">
        <f>IF(BAC_ARC_Daily!W18&lt;&gt;0,O110/BAC_ARC_Daily!W18,"")</f>
        <v>0</v>
      </c>
      <c r="P123" s="14">
        <f>IF(BAC_ARC_Daily!W19&lt;&gt;0,P110/BAC_ARC_Daily!W19,"")</f>
        <v>0</v>
      </c>
      <c r="Q123" s="14">
        <f>IF(BAC_ARC_Daily!W20&lt;&gt;0,Q110/BAC_ARC_Daily!W20,"")</f>
        <v>0</v>
      </c>
      <c r="R123" s="14">
        <f>IF(BAC_ARC_Daily!W21&lt;&gt;0,R110/BAC_ARC_Daily!W21,"")</f>
        <v>0</v>
      </c>
      <c r="S123" s="14">
        <f>IF(BAC_ARC_Daily!W22&lt;&gt;0,S110/BAC_ARC_Daily!W22,"")</f>
        <v>0</v>
      </c>
      <c r="T123" s="14">
        <f>IF(BAC_ARC_Daily!W23&lt;&gt;0,T110/BAC_ARC_Daily!W23,"")</f>
        <v>0</v>
      </c>
      <c r="U123" s="14">
        <f>IF(BAC_ARC_Daily!W24&lt;&gt;0,U110/BAC_ARC_Daily!W24,"")</f>
        <v>0</v>
      </c>
      <c r="V123" s="14">
        <f>IF(BAC_ARC_Daily!W25&lt;&gt;0,V110/BAC_ARC_Daily!W25,"")</f>
        <v>0</v>
      </c>
      <c r="W123" s="14">
        <f>IF(BAC_ARC_Daily!W26&lt;&gt;0,W110/BAC_ARC_Daily!W26,"")</f>
        <v>0</v>
      </c>
    </row>
    <row r="124" spans="1:23" ht="18" customHeight="1" x14ac:dyDescent="0.25">
      <c r="A124" s="11" t="str">
        <f>NGS_Bacteria_Input!A10</f>
        <v>Bac_taxon_6</v>
      </c>
      <c r="B124" s="14">
        <f>IF(BAC_ARC_Daily!W5&lt;&gt;0,B111/BAC_ARC_Daily!W5,"")</f>
        <v>0</v>
      </c>
      <c r="C124" s="14">
        <f>IF(BAC_ARC_Daily!W6&lt;&gt;0,C111/BAC_ARC_Daily!W6,"")</f>
        <v>0</v>
      </c>
      <c r="D124" s="14">
        <f>IF(BAC_ARC_Daily!W7&lt;&gt;0,D111/BAC_ARC_Daily!W7,"")</f>
        <v>0</v>
      </c>
      <c r="E124" s="14">
        <f>IF(BAC_ARC_Daily!W8&lt;&gt;0,E111/BAC_ARC_Daily!W8,"")</f>
        <v>0</v>
      </c>
      <c r="F124" s="14">
        <f>IF(BAC_ARC_Daily!W9&lt;&gt;0,F111/BAC_ARC_Daily!W9,"")</f>
        <v>0</v>
      </c>
      <c r="G124" s="14">
        <f>IF(BAC_ARC_Daily!W10&lt;&gt;0,G111/BAC_ARC_Daily!W10,"")</f>
        <v>0</v>
      </c>
      <c r="H124" s="14">
        <f>IF(BAC_ARC_Daily!W11&lt;&gt;0,H111/BAC_ARC_Daily!W11,"")</f>
        <v>0</v>
      </c>
      <c r="I124" s="14">
        <f>IF(BAC_ARC_Daily!W12&lt;&gt;0,I111/BAC_ARC_Daily!W12,"")</f>
        <v>0</v>
      </c>
      <c r="J124" s="14">
        <f>IF(BAC_ARC_Daily!W13&lt;&gt;0,J111/BAC_ARC_Daily!W13,"")</f>
        <v>0</v>
      </c>
      <c r="K124" s="14">
        <f>IF(BAC_ARC_Daily!W14&lt;&gt;0,K111/BAC_ARC_Daily!W14,"")</f>
        <v>0</v>
      </c>
      <c r="L124" s="14">
        <f>IF(BAC_ARC_Daily!W15&lt;&gt;0,L111/BAC_ARC_Daily!W15,"")</f>
        <v>0</v>
      </c>
      <c r="M124" s="14">
        <f>IF(BAC_ARC_Daily!W16&lt;&gt;0,M111/BAC_ARC_Daily!W16,"")</f>
        <v>0</v>
      </c>
      <c r="N124" s="14">
        <f>IF(BAC_ARC_Daily!W17&lt;&gt;0,N111/BAC_ARC_Daily!W17,"")</f>
        <v>0</v>
      </c>
      <c r="O124" s="14">
        <f>IF(BAC_ARC_Daily!W18&lt;&gt;0,O111/BAC_ARC_Daily!W18,"")</f>
        <v>0</v>
      </c>
      <c r="P124" s="14">
        <f>IF(BAC_ARC_Daily!W19&lt;&gt;0,P111/BAC_ARC_Daily!W19,"")</f>
        <v>0</v>
      </c>
      <c r="Q124" s="14">
        <f>IF(BAC_ARC_Daily!W20&lt;&gt;0,Q111/BAC_ARC_Daily!W20,"")</f>
        <v>0</v>
      </c>
      <c r="R124" s="14">
        <f>IF(BAC_ARC_Daily!W21&lt;&gt;0,R111/BAC_ARC_Daily!W21,"")</f>
        <v>0</v>
      </c>
      <c r="S124" s="14">
        <f>IF(BAC_ARC_Daily!W22&lt;&gt;0,S111/BAC_ARC_Daily!W22,"")</f>
        <v>0</v>
      </c>
      <c r="T124" s="14">
        <f>IF(BAC_ARC_Daily!W23&lt;&gt;0,T111/BAC_ARC_Daily!W23,"")</f>
        <v>0</v>
      </c>
      <c r="U124" s="14">
        <f>IF(BAC_ARC_Daily!W24&lt;&gt;0,U111/BAC_ARC_Daily!W24,"")</f>
        <v>0</v>
      </c>
      <c r="V124" s="14">
        <f>IF(BAC_ARC_Daily!W25&lt;&gt;0,V111/BAC_ARC_Daily!W25,"")</f>
        <v>0</v>
      </c>
      <c r="W124" s="14">
        <f>IF(BAC_ARC_Daily!W26&lt;&gt;0,W111/BAC_ARC_Daily!W26,"")</f>
        <v>0</v>
      </c>
    </row>
    <row r="125" spans="1:23" ht="18" customHeight="1" x14ac:dyDescent="0.25">
      <c r="A125" s="11" t="str">
        <f>NGS_Bacteria_Input!A11</f>
        <v>Bac_taxon_7</v>
      </c>
      <c r="B125" s="14">
        <f>IF(BAC_ARC_Daily!W5&lt;&gt;0,B112/BAC_ARC_Daily!W5,"")</f>
        <v>0</v>
      </c>
      <c r="C125" s="14">
        <f>IF(BAC_ARC_Daily!W6&lt;&gt;0,C112/BAC_ARC_Daily!W6,"")</f>
        <v>0</v>
      </c>
      <c r="D125" s="14">
        <f>IF(BAC_ARC_Daily!W7&lt;&gt;0,D112/BAC_ARC_Daily!W7,"")</f>
        <v>0</v>
      </c>
      <c r="E125" s="14">
        <f>IF(BAC_ARC_Daily!W8&lt;&gt;0,E112/BAC_ARC_Daily!W8,"")</f>
        <v>0</v>
      </c>
      <c r="F125" s="14">
        <f>IF(BAC_ARC_Daily!W9&lt;&gt;0,F112/BAC_ARC_Daily!W9,"")</f>
        <v>0</v>
      </c>
      <c r="G125" s="14">
        <f>IF(BAC_ARC_Daily!W10&lt;&gt;0,G112/BAC_ARC_Daily!W10,"")</f>
        <v>0</v>
      </c>
      <c r="H125" s="14">
        <f>IF(BAC_ARC_Daily!W11&lt;&gt;0,H112/BAC_ARC_Daily!W11,"")</f>
        <v>0</v>
      </c>
      <c r="I125" s="14">
        <f>IF(BAC_ARC_Daily!W12&lt;&gt;0,I112/BAC_ARC_Daily!W12,"")</f>
        <v>0</v>
      </c>
      <c r="J125" s="14">
        <f>IF(BAC_ARC_Daily!W13&lt;&gt;0,J112/BAC_ARC_Daily!W13,"")</f>
        <v>0</v>
      </c>
      <c r="K125" s="14">
        <f>IF(BAC_ARC_Daily!W14&lt;&gt;0,K112/BAC_ARC_Daily!W14,"")</f>
        <v>0</v>
      </c>
      <c r="L125" s="14">
        <f>IF(BAC_ARC_Daily!W15&lt;&gt;0,L112/BAC_ARC_Daily!W15,"")</f>
        <v>0</v>
      </c>
      <c r="M125" s="14">
        <f>IF(BAC_ARC_Daily!W16&lt;&gt;0,M112/BAC_ARC_Daily!W16,"")</f>
        <v>0</v>
      </c>
      <c r="N125" s="14">
        <f>IF(BAC_ARC_Daily!W17&lt;&gt;0,N112/BAC_ARC_Daily!W17,"")</f>
        <v>0</v>
      </c>
      <c r="O125" s="14">
        <f>IF(BAC_ARC_Daily!W18&lt;&gt;0,O112/BAC_ARC_Daily!W18,"")</f>
        <v>0</v>
      </c>
      <c r="P125" s="14">
        <f>IF(BAC_ARC_Daily!W19&lt;&gt;0,P112/BAC_ARC_Daily!W19,"")</f>
        <v>0</v>
      </c>
      <c r="Q125" s="14">
        <f>IF(BAC_ARC_Daily!W20&lt;&gt;0,Q112/BAC_ARC_Daily!W20,"")</f>
        <v>0</v>
      </c>
      <c r="R125" s="14">
        <f>IF(BAC_ARC_Daily!W21&lt;&gt;0,R112/BAC_ARC_Daily!W21,"")</f>
        <v>0</v>
      </c>
      <c r="S125" s="14">
        <f>IF(BAC_ARC_Daily!W22&lt;&gt;0,S112/BAC_ARC_Daily!W22,"")</f>
        <v>0</v>
      </c>
      <c r="T125" s="14">
        <f>IF(BAC_ARC_Daily!W23&lt;&gt;0,T112/BAC_ARC_Daily!W23,"")</f>
        <v>0</v>
      </c>
      <c r="U125" s="14">
        <f>IF(BAC_ARC_Daily!W24&lt;&gt;0,U112/BAC_ARC_Daily!W24,"")</f>
        <v>0</v>
      </c>
      <c r="V125" s="14">
        <f>IF(BAC_ARC_Daily!W25&lt;&gt;0,V112/BAC_ARC_Daily!W25,"")</f>
        <v>0</v>
      </c>
      <c r="W125" s="14">
        <f>IF(BAC_ARC_Daily!W26&lt;&gt;0,W112/BAC_ARC_Daily!W26,"")</f>
        <v>0</v>
      </c>
    </row>
    <row r="126" spans="1:23" ht="18" customHeight="1" x14ac:dyDescent="0.25">
      <c r="A126" s="11" t="str">
        <f>NGS_Bacteria_Input!A12</f>
        <v>Bac_taxon_8</v>
      </c>
      <c r="B126" s="14">
        <f>IF(BAC_ARC_Daily!W5&lt;&gt;0,B113/BAC_ARC_Daily!W5,"")</f>
        <v>0</v>
      </c>
      <c r="C126" s="14">
        <f>IF(BAC_ARC_Daily!W6&lt;&gt;0,C113/BAC_ARC_Daily!W6,"")</f>
        <v>0</v>
      </c>
      <c r="D126" s="14">
        <f>IF(BAC_ARC_Daily!W7&lt;&gt;0,D113/BAC_ARC_Daily!W7,"")</f>
        <v>0</v>
      </c>
      <c r="E126" s="14">
        <f>IF(BAC_ARC_Daily!W8&lt;&gt;0,E113/BAC_ARC_Daily!W8,"")</f>
        <v>0</v>
      </c>
      <c r="F126" s="14">
        <f>IF(BAC_ARC_Daily!W9&lt;&gt;0,F113/BAC_ARC_Daily!W9,"")</f>
        <v>0</v>
      </c>
      <c r="G126" s="14">
        <f>IF(BAC_ARC_Daily!W10&lt;&gt;0,G113/BAC_ARC_Daily!W10,"")</f>
        <v>0</v>
      </c>
      <c r="H126" s="14">
        <f>IF(BAC_ARC_Daily!W11&lt;&gt;0,H113/BAC_ARC_Daily!W11,"")</f>
        <v>0</v>
      </c>
      <c r="I126" s="14">
        <f>IF(BAC_ARC_Daily!W12&lt;&gt;0,I113/BAC_ARC_Daily!W12,"")</f>
        <v>0</v>
      </c>
      <c r="J126" s="14">
        <f>IF(BAC_ARC_Daily!W13&lt;&gt;0,J113/BAC_ARC_Daily!W13,"")</f>
        <v>0</v>
      </c>
      <c r="K126" s="14">
        <f>IF(BAC_ARC_Daily!W14&lt;&gt;0,K113/BAC_ARC_Daily!W14,"")</f>
        <v>0</v>
      </c>
      <c r="L126" s="14">
        <f>IF(BAC_ARC_Daily!W15&lt;&gt;0,L113/BAC_ARC_Daily!W15,"")</f>
        <v>0</v>
      </c>
      <c r="M126" s="14">
        <f>IF(BAC_ARC_Daily!W16&lt;&gt;0,M113/BAC_ARC_Daily!W16,"")</f>
        <v>0</v>
      </c>
      <c r="N126" s="14">
        <f>IF(BAC_ARC_Daily!W17&lt;&gt;0,N113/BAC_ARC_Daily!W17,"")</f>
        <v>0</v>
      </c>
      <c r="O126" s="14">
        <f>IF(BAC_ARC_Daily!W18&lt;&gt;0,O113/BAC_ARC_Daily!W18,"")</f>
        <v>0</v>
      </c>
      <c r="P126" s="14">
        <f>IF(BAC_ARC_Daily!W19&lt;&gt;0,P113/BAC_ARC_Daily!W19,"")</f>
        <v>0</v>
      </c>
      <c r="Q126" s="14">
        <f>IF(BAC_ARC_Daily!W20&lt;&gt;0,Q113/BAC_ARC_Daily!W20,"")</f>
        <v>0</v>
      </c>
      <c r="R126" s="14">
        <f>IF(BAC_ARC_Daily!W21&lt;&gt;0,R113/BAC_ARC_Daily!W21,"")</f>
        <v>0</v>
      </c>
      <c r="S126" s="14">
        <f>IF(BAC_ARC_Daily!W22&lt;&gt;0,S113/BAC_ARC_Daily!W22,"")</f>
        <v>0</v>
      </c>
      <c r="T126" s="14">
        <f>IF(BAC_ARC_Daily!W23&lt;&gt;0,T113/BAC_ARC_Daily!W23,"")</f>
        <v>0</v>
      </c>
      <c r="U126" s="14">
        <f>IF(BAC_ARC_Daily!W24&lt;&gt;0,U113/BAC_ARC_Daily!W24,"")</f>
        <v>0</v>
      </c>
      <c r="V126" s="14">
        <f>IF(BAC_ARC_Daily!W25&lt;&gt;0,V113/BAC_ARC_Daily!W25,"")</f>
        <v>0</v>
      </c>
      <c r="W126" s="14">
        <f>IF(BAC_ARC_Daily!W26&lt;&gt;0,W113/BAC_ARC_Daily!W26,"")</f>
        <v>0</v>
      </c>
    </row>
    <row r="127" spans="1:23" ht="18" customHeight="1" x14ac:dyDescent="0.25">
      <c r="A127" s="11" t="str">
        <f>NGS_Bacteria_Input!A13</f>
        <v>Bac_taxon_9</v>
      </c>
      <c r="B127" s="14">
        <f>IF(BAC_ARC_Daily!W5&lt;&gt;0,B114/BAC_ARC_Daily!W5,"")</f>
        <v>0</v>
      </c>
      <c r="C127" s="14">
        <f>IF(BAC_ARC_Daily!W6&lt;&gt;0,C114/BAC_ARC_Daily!W6,"")</f>
        <v>0</v>
      </c>
      <c r="D127" s="14">
        <f>IF(BAC_ARC_Daily!W7&lt;&gt;0,D114/BAC_ARC_Daily!W7,"")</f>
        <v>0</v>
      </c>
      <c r="E127" s="14">
        <f>IF(BAC_ARC_Daily!W8&lt;&gt;0,E114/BAC_ARC_Daily!W8,"")</f>
        <v>0</v>
      </c>
      <c r="F127" s="14">
        <f>IF(BAC_ARC_Daily!W9&lt;&gt;0,F114/BAC_ARC_Daily!W9,"")</f>
        <v>0</v>
      </c>
      <c r="G127" s="14">
        <f>IF(BAC_ARC_Daily!W10&lt;&gt;0,G114/BAC_ARC_Daily!W10,"")</f>
        <v>0</v>
      </c>
      <c r="H127" s="14">
        <f>IF(BAC_ARC_Daily!W11&lt;&gt;0,H114/BAC_ARC_Daily!W11,"")</f>
        <v>0</v>
      </c>
      <c r="I127" s="14">
        <f>IF(BAC_ARC_Daily!W12&lt;&gt;0,I114/BAC_ARC_Daily!W12,"")</f>
        <v>0</v>
      </c>
      <c r="J127" s="14">
        <f>IF(BAC_ARC_Daily!W13&lt;&gt;0,J114/BAC_ARC_Daily!W13,"")</f>
        <v>0</v>
      </c>
      <c r="K127" s="14">
        <f>IF(BAC_ARC_Daily!W14&lt;&gt;0,K114/BAC_ARC_Daily!W14,"")</f>
        <v>0</v>
      </c>
      <c r="L127" s="14">
        <f>IF(BAC_ARC_Daily!W15&lt;&gt;0,L114/BAC_ARC_Daily!W15,"")</f>
        <v>0</v>
      </c>
      <c r="M127" s="14">
        <f>IF(BAC_ARC_Daily!W16&lt;&gt;0,M114/BAC_ARC_Daily!W16,"")</f>
        <v>0</v>
      </c>
      <c r="N127" s="14">
        <f>IF(BAC_ARC_Daily!W17&lt;&gt;0,N114/BAC_ARC_Daily!W17,"")</f>
        <v>0</v>
      </c>
      <c r="O127" s="14">
        <f>IF(BAC_ARC_Daily!W18&lt;&gt;0,O114/BAC_ARC_Daily!W18,"")</f>
        <v>0</v>
      </c>
      <c r="P127" s="14">
        <f>IF(BAC_ARC_Daily!W19&lt;&gt;0,P114/BAC_ARC_Daily!W19,"")</f>
        <v>0</v>
      </c>
      <c r="Q127" s="14">
        <f>IF(BAC_ARC_Daily!W20&lt;&gt;0,Q114/BAC_ARC_Daily!W20,"")</f>
        <v>0</v>
      </c>
      <c r="R127" s="14">
        <f>IF(BAC_ARC_Daily!W21&lt;&gt;0,R114/BAC_ARC_Daily!W21,"")</f>
        <v>0</v>
      </c>
      <c r="S127" s="14">
        <f>IF(BAC_ARC_Daily!W22&lt;&gt;0,S114/BAC_ARC_Daily!W22,"")</f>
        <v>0</v>
      </c>
      <c r="T127" s="14">
        <f>IF(BAC_ARC_Daily!W23&lt;&gt;0,T114/BAC_ARC_Daily!W23,"")</f>
        <v>0</v>
      </c>
      <c r="U127" s="14">
        <f>IF(BAC_ARC_Daily!W24&lt;&gt;0,U114/BAC_ARC_Daily!W24,"")</f>
        <v>0</v>
      </c>
      <c r="V127" s="14">
        <f>IF(BAC_ARC_Daily!W25&lt;&gt;0,V114/BAC_ARC_Daily!W25,"")</f>
        <v>0</v>
      </c>
      <c r="W127" s="14">
        <f>IF(BAC_ARC_Daily!W26&lt;&gt;0,W114/BAC_ARC_Daily!W26,"")</f>
        <v>0</v>
      </c>
    </row>
    <row r="128" spans="1:23" ht="18" customHeight="1" x14ac:dyDescent="0.25">
      <c r="A128" s="11" t="str">
        <f>NGS_Bacteria_Input!A14</f>
        <v>Bac_taxon_10</v>
      </c>
      <c r="B128" s="14">
        <f>IF(BAC_ARC_Daily!W5&lt;&gt;0,B115/BAC_ARC_Daily!W5,"")</f>
        <v>0</v>
      </c>
      <c r="C128" s="14">
        <f>IF(BAC_ARC_Daily!W6&lt;&gt;0,C115/BAC_ARC_Daily!W6,"")</f>
        <v>0</v>
      </c>
      <c r="D128" s="14">
        <f>IF(BAC_ARC_Daily!W7&lt;&gt;0,D115/BAC_ARC_Daily!W7,"")</f>
        <v>0</v>
      </c>
      <c r="E128" s="14">
        <f>IF(BAC_ARC_Daily!W8&lt;&gt;0,E115/BAC_ARC_Daily!W8,"")</f>
        <v>0</v>
      </c>
      <c r="F128" s="14">
        <f>IF(BAC_ARC_Daily!W9&lt;&gt;0,F115/BAC_ARC_Daily!W9,"")</f>
        <v>0</v>
      </c>
      <c r="G128" s="14">
        <f>IF(BAC_ARC_Daily!W10&lt;&gt;0,G115/BAC_ARC_Daily!W10,"")</f>
        <v>0</v>
      </c>
      <c r="H128" s="14">
        <f>IF(BAC_ARC_Daily!W11&lt;&gt;0,H115/BAC_ARC_Daily!W11,"")</f>
        <v>0</v>
      </c>
      <c r="I128" s="14">
        <f>IF(BAC_ARC_Daily!W12&lt;&gt;0,I115/BAC_ARC_Daily!W12,"")</f>
        <v>0</v>
      </c>
      <c r="J128" s="14">
        <f>IF(BAC_ARC_Daily!W13&lt;&gt;0,J115/BAC_ARC_Daily!W13,"")</f>
        <v>0</v>
      </c>
      <c r="K128" s="14">
        <f>IF(BAC_ARC_Daily!W14&lt;&gt;0,K115/BAC_ARC_Daily!W14,"")</f>
        <v>0</v>
      </c>
      <c r="L128" s="14">
        <f>IF(BAC_ARC_Daily!W15&lt;&gt;0,L115/BAC_ARC_Daily!W15,"")</f>
        <v>0</v>
      </c>
      <c r="M128" s="14">
        <f>IF(BAC_ARC_Daily!W16&lt;&gt;0,M115/BAC_ARC_Daily!W16,"")</f>
        <v>0</v>
      </c>
      <c r="N128" s="14">
        <f>IF(BAC_ARC_Daily!W17&lt;&gt;0,N115/BAC_ARC_Daily!W17,"")</f>
        <v>0</v>
      </c>
      <c r="O128" s="14">
        <f>IF(BAC_ARC_Daily!W18&lt;&gt;0,O115/BAC_ARC_Daily!W18,"")</f>
        <v>0</v>
      </c>
      <c r="P128" s="14">
        <f>IF(BAC_ARC_Daily!W19&lt;&gt;0,P115/BAC_ARC_Daily!W19,"")</f>
        <v>0</v>
      </c>
      <c r="Q128" s="14">
        <f>IF(BAC_ARC_Daily!W20&lt;&gt;0,Q115/BAC_ARC_Daily!W20,"")</f>
        <v>0</v>
      </c>
      <c r="R128" s="14">
        <f>IF(BAC_ARC_Daily!W21&lt;&gt;0,R115/BAC_ARC_Daily!W21,"")</f>
        <v>0</v>
      </c>
      <c r="S128" s="14">
        <f>IF(BAC_ARC_Daily!W22&lt;&gt;0,S115/BAC_ARC_Daily!W22,"")</f>
        <v>0</v>
      </c>
      <c r="T128" s="14">
        <f>IF(BAC_ARC_Daily!W23&lt;&gt;0,T115/BAC_ARC_Daily!W23,"")</f>
        <v>0</v>
      </c>
      <c r="U128" s="14">
        <f>IF(BAC_ARC_Daily!W24&lt;&gt;0,U115/BAC_ARC_Daily!W24,"")</f>
        <v>0</v>
      </c>
      <c r="V128" s="14">
        <f>IF(BAC_ARC_Daily!W25&lt;&gt;0,V115/BAC_ARC_Daily!W25,"")</f>
        <v>0</v>
      </c>
      <c r="W128" s="14">
        <f>IF(BAC_ARC_Daily!W26&lt;&gt;0,W115/BAC_ARC_Daily!W26,"")</f>
        <v>0</v>
      </c>
    </row>
    <row r="129" spans="1:23" ht="18" customHeight="1" x14ac:dyDescent="0.25">
      <c r="A129" s="11" t="str">
        <f>NGS_Bacteria_Input!A15</f>
        <v>Others</v>
      </c>
      <c r="B129" s="14">
        <f>IF(BAC_ARC_Daily!W5&lt;&gt;0,B116/BAC_ARC_Daily!W5,"")</f>
        <v>1</v>
      </c>
      <c r="C129" s="14">
        <f>IF(BAC_ARC_Daily!W6&lt;&gt;0,C116/BAC_ARC_Daily!W6,"")</f>
        <v>1</v>
      </c>
      <c r="D129" s="14">
        <f>IF(BAC_ARC_Daily!W7&lt;&gt;0,D116/BAC_ARC_Daily!W7,"")</f>
        <v>1</v>
      </c>
      <c r="E129" s="14">
        <f>IF(BAC_ARC_Daily!W8&lt;&gt;0,E116/BAC_ARC_Daily!W8,"")</f>
        <v>1</v>
      </c>
      <c r="F129" s="14">
        <f>IF(BAC_ARC_Daily!W9&lt;&gt;0,F116/BAC_ARC_Daily!W9,"")</f>
        <v>1</v>
      </c>
      <c r="G129" s="14">
        <f>IF(BAC_ARC_Daily!W10&lt;&gt;0,G116/BAC_ARC_Daily!W10,"")</f>
        <v>1</v>
      </c>
      <c r="H129" s="14">
        <f>IF(BAC_ARC_Daily!W11&lt;&gt;0,H116/BAC_ARC_Daily!W11,"")</f>
        <v>1</v>
      </c>
      <c r="I129" s="14">
        <f>IF(BAC_ARC_Daily!W12&lt;&gt;0,I116/BAC_ARC_Daily!W12,"")</f>
        <v>1</v>
      </c>
      <c r="J129" s="14">
        <f>IF(BAC_ARC_Daily!W13&lt;&gt;0,J116/BAC_ARC_Daily!W13,"")</f>
        <v>1</v>
      </c>
      <c r="K129" s="14">
        <f>IF(BAC_ARC_Daily!W14&lt;&gt;0,K116/BAC_ARC_Daily!W14,"")</f>
        <v>1</v>
      </c>
      <c r="L129" s="14">
        <f>IF(BAC_ARC_Daily!W15&lt;&gt;0,L116/BAC_ARC_Daily!W15,"")</f>
        <v>1</v>
      </c>
      <c r="M129" s="14">
        <f>IF(BAC_ARC_Daily!W16&lt;&gt;0,M116/BAC_ARC_Daily!W16,"")</f>
        <v>1</v>
      </c>
      <c r="N129" s="14">
        <f>IF(BAC_ARC_Daily!W17&lt;&gt;0,N116/BAC_ARC_Daily!W17,"")</f>
        <v>1</v>
      </c>
      <c r="O129" s="14">
        <f>IF(BAC_ARC_Daily!W18&lt;&gt;0,O116/BAC_ARC_Daily!W18,"")</f>
        <v>1</v>
      </c>
      <c r="P129" s="14">
        <f>IF(BAC_ARC_Daily!W19&lt;&gt;0,P116/BAC_ARC_Daily!W19,"")</f>
        <v>1</v>
      </c>
      <c r="Q129" s="14">
        <f>IF(BAC_ARC_Daily!W20&lt;&gt;0,Q116/BAC_ARC_Daily!W20,"")</f>
        <v>1</v>
      </c>
      <c r="R129" s="14">
        <f>IF(BAC_ARC_Daily!W21&lt;&gt;0,R116/BAC_ARC_Daily!W21,"")</f>
        <v>1</v>
      </c>
      <c r="S129" s="14">
        <f>IF(BAC_ARC_Daily!W22&lt;&gt;0,S116/BAC_ARC_Daily!W22,"")</f>
        <v>1</v>
      </c>
      <c r="T129" s="14">
        <f>IF(BAC_ARC_Daily!W23&lt;&gt;0,T116/BAC_ARC_Daily!W23,"")</f>
        <v>1</v>
      </c>
      <c r="U129" s="14">
        <f>IF(BAC_ARC_Daily!W24&lt;&gt;0,U116/BAC_ARC_Daily!W24,"")</f>
        <v>1</v>
      </c>
      <c r="V129" s="14">
        <f>IF(BAC_ARC_Daily!W25&lt;&gt;0,V116/BAC_ARC_Daily!W25,"")</f>
        <v>1</v>
      </c>
      <c r="W129" s="14">
        <f>IF(BAC_ARC_Daily!W26&lt;&gt;0,W116/BAC_ARC_Daily!W26,"")</f>
        <v>1</v>
      </c>
    </row>
    <row r="130" spans="1:23" ht="18" customHeight="1" x14ac:dyDescent="0.25"/>
    <row r="131" spans="1:23" ht="18" customHeight="1" x14ac:dyDescent="0.25"/>
    <row r="132" spans="1:23" ht="18" customHeight="1" x14ac:dyDescent="0.25">
      <c r="A132" s="29" t="s">
        <v>56</v>
      </c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</row>
    <row r="133" spans="1:23" ht="18" customHeight="1" x14ac:dyDescent="0.25">
      <c r="A133" s="25" t="s">
        <v>161</v>
      </c>
    </row>
    <row r="134" spans="1:23" ht="18" customHeight="1" x14ac:dyDescent="0.25">
      <c r="A134" s="11" t="str">
        <f>NGS_Bacteria_Input!A5</f>
        <v>Bac_taxon_1</v>
      </c>
      <c r="B134" s="21">
        <f>IF(Inputs!$G$39="","",Inputs!$G$39*NGS_Bacteria_Input!$H$5)</f>
        <v>0</v>
      </c>
      <c r="C134" s="21">
        <f>IF(B134="","",B134+Inputs!$B$5/Inputs!$B$16*(Inputs!$C$16*(Inputs!$C$28*NGS_Bacteria_Input!$B$5-B134)+Inputs!$D$16*(B5-B134)+Inputs!$E$16*(Inputs!$D$28*NGS_Bacteria_Input!$C$5-B134)))</f>
        <v>0</v>
      </c>
      <c r="D134" s="21">
        <f>IF(C134="","",C134+Inputs!$B$5/Inputs!$B$16*(Inputs!$C$16*(Inputs!$C$28*NGS_Bacteria_Input!$B$5-C134)+Inputs!$D$16*(C5-C134)+Inputs!$E$16*(Inputs!$D$28*NGS_Bacteria_Input!$C$5-C134)))</f>
        <v>0</v>
      </c>
      <c r="E134" s="21">
        <f>IF(D134="","",D134+Inputs!$B$5/Inputs!$B$16*(Inputs!$C$16*(Inputs!$C$28*NGS_Bacteria_Input!$B$5-D134)+Inputs!$D$16*(D5-D134)+Inputs!$E$16*(Inputs!$D$28*NGS_Bacteria_Input!$C$5-D134)))</f>
        <v>0</v>
      </c>
      <c r="F134" s="21">
        <f>IF(E134="","",E134+Inputs!$B$5/Inputs!$B$16*(Inputs!$C$16*(Inputs!$C$28*NGS_Bacteria_Input!$B$5-E134)+Inputs!$D$16*(E5-E134)+Inputs!$E$16*(Inputs!$D$28*NGS_Bacteria_Input!$C$5-E134)))</f>
        <v>0</v>
      </c>
      <c r="G134" s="21">
        <f>IF(F134="","",F134+Inputs!$B$5/Inputs!$B$16*(Inputs!$C$16*(Inputs!$C$28*NGS_Bacteria_Input!$B$5-F134)+Inputs!$D$16*(F5-F134)+Inputs!$E$16*(Inputs!$D$28*NGS_Bacteria_Input!$C$5-F134)))</f>
        <v>0</v>
      </c>
      <c r="H134" s="21">
        <f>IF(G134="","",G134+Inputs!$B$5/Inputs!$B$16*(Inputs!$C$16*(Inputs!$C$28*NGS_Bacteria_Input!$B$5-G134)+Inputs!$D$16*(G5-G134)+Inputs!$E$16*(Inputs!$D$28*NGS_Bacteria_Input!$C$5-G134)))</f>
        <v>0</v>
      </c>
      <c r="I134" s="21">
        <f>IF(H134="","",H134+Inputs!$B$5/Inputs!$B$16*(Inputs!$C$16*(Inputs!$C$28*NGS_Bacteria_Input!$B$5-H134)+Inputs!$D$16*(H5-H134)+Inputs!$E$16*(Inputs!$D$28*NGS_Bacteria_Input!$C$5-H134)))</f>
        <v>0</v>
      </c>
      <c r="J134" s="21">
        <f>IF(I134="","",I134+Inputs!$B$5/Inputs!$B$16*(Inputs!$C$16*(Inputs!$C$28*NGS_Bacteria_Input!$B$5-I134)+Inputs!$D$16*(I5-I134)+Inputs!$E$16*(Inputs!$D$28*NGS_Bacteria_Input!$C$5-I134)))</f>
        <v>0</v>
      </c>
      <c r="K134" s="21">
        <f>IF(J134="","",J134+Inputs!$B$5/Inputs!$B$16*(Inputs!$C$16*(Inputs!$C$28*NGS_Bacteria_Input!$B$5-J134)+Inputs!$D$16*(J5-J134)+Inputs!$E$16*(Inputs!$D$28*NGS_Bacteria_Input!$C$5-J134)))</f>
        <v>0</v>
      </c>
      <c r="L134" s="21">
        <f>IF(K134="","",K134+Inputs!$B$5/Inputs!$B$16*(Inputs!$C$16*(Inputs!$C$28*NGS_Bacteria_Input!$B$5-K134)+Inputs!$D$16*(K5-K134)+Inputs!$E$16*(Inputs!$D$28*NGS_Bacteria_Input!$C$5-K134)))</f>
        <v>0</v>
      </c>
      <c r="M134" s="21">
        <f>IF(L134="","",L134+Inputs!$B$5/Inputs!$B$16*(Inputs!$C$16*(Inputs!$C$28*NGS_Bacteria_Input!$B$5-L134)+Inputs!$D$16*(L5-L134)+Inputs!$E$16*(Inputs!$D$28*NGS_Bacteria_Input!$C$5-L134)))</f>
        <v>0</v>
      </c>
      <c r="N134" s="21">
        <f>IF(M134="","",M134+Inputs!$B$5/Inputs!$B$16*(Inputs!$C$16*(Inputs!$C$28*NGS_Bacteria_Input!$B$5-M134)+Inputs!$D$16*(M5-M134)+Inputs!$E$16*(Inputs!$D$28*NGS_Bacteria_Input!$C$5-M134)))</f>
        <v>0</v>
      </c>
      <c r="O134" s="21">
        <f>IF(N134="","",N134+Inputs!$B$5/Inputs!$B$16*(Inputs!$C$16*(Inputs!$C$28*NGS_Bacteria_Input!$B$5-N134)+Inputs!$D$16*(N5-N134)+Inputs!$E$16*(Inputs!$D$28*NGS_Bacteria_Input!$C$5-N134)))</f>
        <v>0</v>
      </c>
      <c r="P134" s="21">
        <f>IF(O134="","",O134+Inputs!$B$5/Inputs!$B$16*(Inputs!$C$16*(Inputs!$C$28*NGS_Bacteria_Input!$B$5-O134)+Inputs!$D$16*(O5-O134)+Inputs!$E$16*(Inputs!$D$28*NGS_Bacteria_Input!$C$5-O134)))</f>
        <v>0</v>
      </c>
      <c r="Q134" s="21">
        <f>IF(P134="","",P134+Inputs!$B$5/Inputs!$B$16*(Inputs!$C$16*(Inputs!$C$28*NGS_Bacteria_Input!$B$5-P134)+Inputs!$D$16*(P5-P134)+Inputs!$E$16*(Inputs!$D$28*NGS_Bacteria_Input!$C$5-P134)))</f>
        <v>0</v>
      </c>
      <c r="R134" s="21">
        <f>IF(Q134="","",Q134+Inputs!$B$5/Inputs!$B$16*(Inputs!$C$16*(Inputs!$C$28*NGS_Bacteria_Input!$B$5-Q134)+Inputs!$D$16*(Q5-Q134)+Inputs!$E$16*(Inputs!$D$28*NGS_Bacteria_Input!$C$5-Q134)))</f>
        <v>0</v>
      </c>
      <c r="S134" s="21">
        <f>IF(R134="","",R134+Inputs!$B$5/Inputs!$B$16*(Inputs!$C$16*(Inputs!$C$28*NGS_Bacteria_Input!$B$5-R134)+Inputs!$D$16*(R5-R134)+Inputs!$E$16*(Inputs!$D$28*NGS_Bacteria_Input!$C$5-R134)))</f>
        <v>0</v>
      </c>
      <c r="T134" s="21">
        <f>IF(S134="","",S134+Inputs!$B$5/Inputs!$B$16*(Inputs!$C$16*(Inputs!$C$28*NGS_Bacteria_Input!$B$5-S134)+Inputs!$D$16*(S5-S134)+Inputs!$E$16*(Inputs!$D$28*NGS_Bacteria_Input!$C$5-S134)))</f>
        <v>0</v>
      </c>
      <c r="U134" s="21">
        <f>IF(T134="","",T134+Inputs!$B$5/Inputs!$B$16*(Inputs!$C$16*(Inputs!$C$28*NGS_Bacteria_Input!$B$5-T134)+Inputs!$D$16*(T5-T134)+Inputs!$E$16*(Inputs!$D$28*NGS_Bacteria_Input!$C$5-T134)))</f>
        <v>0</v>
      </c>
      <c r="V134" s="21">
        <f>IF(U134="","",U134+Inputs!$B$5/Inputs!$B$16*(Inputs!$C$16*(Inputs!$C$28*NGS_Bacteria_Input!$B$5-U134)+Inputs!$D$16*(U5-U134)+Inputs!$E$16*(Inputs!$D$28*NGS_Bacteria_Input!$C$5-U134)))</f>
        <v>0</v>
      </c>
      <c r="W134" s="21">
        <f>IF(V134="","",V134+Inputs!$B$5/Inputs!$B$16*(Inputs!$C$16*(Inputs!$C$28*NGS_Bacteria_Input!$B$5-V134)+Inputs!$D$16*(V5-V134)+Inputs!$E$16*(Inputs!$D$28*NGS_Bacteria_Input!$C$5-V134)))</f>
        <v>0</v>
      </c>
    </row>
    <row r="135" spans="1:23" ht="18" customHeight="1" x14ac:dyDescent="0.25">
      <c r="A135" s="11" t="str">
        <f>NGS_Bacteria_Input!A6</f>
        <v>Bac_taxon_2</v>
      </c>
      <c r="B135" s="21">
        <f>IF(Inputs!$G$39="","",Inputs!$G$39*NGS_Bacteria_Input!$H$6)</f>
        <v>0</v>
      </c>
      <c r="C135" s="21">
        <f>IF(B135="","",B135+Inputs!$B$5/Inputs!$B$16*(Inputs!$C$16*(Inputs!$C$28*NGS_Bacteria_Input!$B$6-B135)+Inputs!$D$16*(B6-B135)+Inputs!$E$16*(Inputs!$D$28*NGS_Bacteria_Input!$C$6-B135)))</f>
        <v>0</v>
      </c>
      <c r="D135" s="21">
        <f>IF(C135="","",C135+Inputs!$B$5/Inputs!$B$16*(Inputs!$C$16*(Inputs!$C$28*NGS_Bacteria_Input!$B$6-C135)+Inputs!$D$16*(C6-C135)+Inputs!$E$16*(Inputs!$D$28*NGS_Bacteria_Input!$C$6-C135)))</f>
        <v>0</v>
      </c>
      <c r="E135" s="21">
        <f>IF(D135="","",D135+Inputs!$B$5/Inputs!$B$16*(Inputs!$C$16*(Inputs!$C$28*NGS_Bacteria_Input!$B$6-D135)+Inputs!$D$16*(D6-D135)+Inputs!$E$16*(Inputs!$D$28*NGS_Bacteria_Input!$C$6-D135)))</f>
        <v>0</v>
      </c>
      <c r="F135" s="21">
        <f>IF(E135="","",E135+Inputs!$B$5/Inputs!$B$16*(Inputs!$C$16*(Inputs!$C$28*NGS_Bacteria_Input!$B$6-E135)+Inputs!$D$16*(E6-E135)+Inputs!$E$16*(Inputs!$D$28*NGS_Bacteria_Input!$C$6-E135)))</f>
        <v>0</v>
      </c>
      <c r="G135" s="21">
        <f>IF(F135="","",F135+Inputs!$B$5/Inputs!$B$16*(Inputs!$C$16*(Inputs!$C$28*NGS_Bacteria_Input!$B$6-F135)+Inputs!$D$16*(F6-F135)+Inputs!$E$16*(Inputs!$D$28*NGS_Bacteria_Input!$C$6-F135)))</f>
        <v>0</v>
      </c>
      <c r="H135" s="21">
        <f>IF(G135="","",G135+Inputs!$B$5/Inputs!$B$16*(Inputs!$C$16*(Inputs!$C$28*NGS_Bacteria_Input!$B$6-G135)+Inputs!$D$16*(G6-G135)+Inputs!$E$16*(Inputs!$D$28*NGS_Bacteria_Input!$C$6-G135)))</f>
        <v>0</v>
      </c>
      <c r="I135" s="21">
        <f>IF(H135="","",H135+Inputs!$B$5/Inputs!$B$16*(Inputs!$C$16*(Inputs!$C$28*NGS_Bacteria_Input!$B$6-H135)+Inputs!$D$16*(H6-H135)+Inputs!$E$16*(Inputs!$D$28*NGS_Bacteria_Input!$C$6-H135)))</f>
        <v>0</v>
      </c>
      <c r="J135" s="21">
        <f>IF(I135="","",I135+Inputs!$B$5/Inputs!$B$16*(Inputs!$C$16*(Inputs!$C$28*NGS_Bacteria_Input!$B$6-I135)+Inputs!$D$16*(I6-I135)+Inputs!$E$16*(Inputs!$D$28*NGS_Bacteria_Input!$C$6-I135)))</f>
        <v>0</v>
      </c>
      <c r="K135" s="21">
        <f>IF(J135="","",J135+Inputs!$B$5/Inputs!$B$16*(Inputs!$C$16*(Inputs!$C$28*NGS_Bacteria_Input!$B$6-J135)+Inputs!$D$16*(J6-J135)+Inputs!$E$16*(Inputs!$D$28*NGS_Bacteria_Input!$C$6-J135)))</f>
        <v>0</v>
      </c>
      <c r="L135" s="21">
        <f>IF(K135="","",K135+Inputs!$B$5/Inputs!$B$16*(Inputs!$C$16*(Inputs!$C$28*NGS_Bacteria_Input!$B$6-K135)+Inputs!$D$16*(K6-K135)+Inputs!$E$16*(Inputs!$D$28*NGS_Bacteria_Input!$C$6-K135)))</f>
        <v>0</v>
      </c>
      <c r="M135" s="21">
        <f>IF(L135="","",L135+Inputs!$B$5/Inputs!$B$16*(Inputs!$C$16*(Inputs!$C$28*NGS_Bacteria_Input!$B$6-L135)+Inputs!$D$16*(L6-L135)+Inputs!$E$16*(Inputs!$D$28*NGS_Bacteria_Input!$C$6-L135)))</f>
        <v>0</v>
      </c>
      <c r="N135" s="21">
        <f>IF(M135="","",M135+Inputs!$B$5/Inputs!$B$16*(Inputs!$C$16*(Inputs!$C$28*NGS_Bacteria_Input!$B$6-M135)+Inputs!$D$16*(M6-M135)+Inputs!$E$16*(Inputs!$D$28*NGS_Bacteria_Input!$C$6-M135)))</f>
        <v>0</v>
      </c>
      <c r="O135" s="21">
        <f>IF(N135="","",N135+Inputs!$B$5/Inputs!$B$16*(Inputs!$C$16*(Inputs!$C$28*NGS_Bacteria_Input!$B$6-N135)+Inputs!$D$16*(N6-N135)+Inputs!$E$16*(Inputs!$D$28*NGS_Bacteria_Input!$C$6-N135)))</f>
        <v>0</v>
      </c>
      <c r="P135" s="21">
        <f>IF(O135="","",O135+Inputs!$B$5/Inputs!$B$16*(Inputs!$C$16*(Inputs!$C$28*NGS_Bacteria_Input!$B$6-O135)+Inputs!$D$16*(O6-O135)+Inputs!$E$16*(Inputs!$D$28*NGS_Bacteria_Input!$C$6-O135)))</f>
        <v>0</v>
      </c>
      <c r="Q135" s="21">
        <f>IF(P135="","",P135+Inputs!$B$5/Inputs!$B$16*(Inputs!$C$16*(Inputs!$C$28*NGS_Bacteria_Input!$B$6-P135)+Inputs!$D$16*(P6-P135)+Inputs!$E$16*(Inputs!$D$28*NGS_Bacteria_Input!$C$6-P135)))</f>
        <v>0</v>
      </c>
      <c r="R135" s="21">
        <f>IF(Q135="","",Q135+Inputs!$B$5/Inputs!$B$16*(Inputs!$C$16*(Inputs!$C$28*NGS_Bacteria_Input!$B$6-Q135)+Inputs!$D$16*(Q6-Q135)+Inputs!$E$16*(Inputs!$D$28*NGS_Bacteria_Input!$C$6-Q135)))</f>
        <v>0</v>
      </c>
      <c r="S135" s="21">
        <f>IF(R135="","",R135+Inputs!$B$5/Inputs!$B$16*(Inputs!$C$16*(Inputs!$C$28*NGS_Bacteria_Input!$B$6-R135)+Inputs!$D$16*(R6-R135)+Inputs!$E$16*(Inputs!$D$28*NGS_Bacteria_Input!$C$6-R135)))</f>
        <v>0</v>
      </c>
      <c r="T135" s="21">
        <f>IF(S135="","",S135+Inputs!$B$5/Inputs!$B$16*(Inputs!$C$16*(Inputs!$C$28*NGS_Bacteria_Input!$B$6-S135)+Inputs!$D$16*(S6-S135)+Inputs!$E$16*(Inputs!$D$28*NGS_Bacteria_Input!$C$6-S135)))</f>
        <v>0</v>
      </c>
      <c r="U135" s="21">
        <f>IF(T135="","",T135+Inputs!$B$5/Inputs!$B$16*(Inputs!$C$16*(Inputs!$C$28*NGS_Bacteria_Input!$B$6-T135)+Inputs!$D$16*(T6-T135)+Inputs!$E$16*(Inputs!$D$28*NGS_Bacteria_Input!$C$6-T135)))</f>
        <v>0</v>
      </c>
      <c r="V135" s="21">
        <f>IF(U135="","",U135+Inputs!$B$5/Inputs!$B$16*(Inputs!$C$16*(Inputs!$C$28*NGS_Bacteria_Input!$B$6-U135)+Inputs!$D$16*(U6-U135)+Inputs!$E$16*(Inputs!$D$28*NGS_Bacteria_Input!$C$6-U135)))</f>
        <v>0</v>
      </c>
      <c r="W135" s="21">
        <f>IF(V135="","",V135+Inputs!$B$5/Inputs!$B$16*(Inputs!$C$16*(Inputs!$C$28*NGS_Bacteria_Input!$B$6-V135)+Inputs!$D$16*(V6-V135)+Inputs!$E$16*(Inputs!$D$28*NGS_Bacteria_Input!$C$6-V135)))</f>
        <v>0</v>
      </c>
    </row>
    <row r="136" spans="1:23" ht="18" customHeight="1" x14ac:dyDescent="0.25">
      <c r="A136" s="11" t="str">
        <f>NGS_Bacteria_Input!A7</f>
        <v>Bac_taxon_3</v>
      </c>
      <c r="B136" s="21">
        <f>IF(Inputs!$G$39="","",Inputs!$G$39*NGS_Bacteria_Input!$H$7)</f>
        <v>0</v>
      </c>
      <c r="C136" s="21">
        <f>IF(B136="","",B136+Inputs!$B$5/Inputs!$B$16*(Inputs!$C$16*(Inputs!$C$28*NGS_Bacteria_Input!$B$7-B136)+Inputs!$D$16*(B7-B136)+Inputs!$E$16*(Inputs!$D$28*NGS_Bacteria_Input!$C$7-B136)))</f>
        <v>0</v>
      </c>
      <c r="D136" s="21">
        <f>IF(C136="","",C136+Inputs!$B$5/Inputs!$B$16*(Inputs!$C$16*(Inputs!$C$28*NGS_Bacteria_Input!$B$7-C136)+Inputs!$D$16*(C7-C136)+Inputs!$E$16*(Inputs!$D$28*NGS_Bacteria_Input!$C$7-C136)))</f>
        <v>0</v>
      </c>
      <c r="E136" s="21">
        <f>IF(D136="","",D136+Inputs!$B$5/Inputs!$B$16*(Inputs!$C$16*(Inputs!$C$28*NGS_Bacteria_Input!$B$7-D136)+Inputs!$D$16*(D7-D136)+Inputs!$E$16*(Inputs!$D$28*NGS_Bacteria_Input!$C$7-D136)))</f>
        <v>0</v>
      </c>
      <c r="F136" s="21">
        <f>IF(E136="","",E136+Inputs!$B$5/Inputs!$B$16*(Inputs!$C$16*(Inputs!$C$28*NGS_Bacteria_Input!$B$7-E136)+Inputs!$D$16*(E7-E136)+Inputs!$E$16*(Inputs!$D$28*NGS_Bacteria_Input!$C$7-E136)))</f>
        <v>0</v>
      </c>
      <c r="G136" s="21">
        <f>IF(F136="","",F136+Inputs!$B$5/Inputs!$B$16*(Inputs!$C$16*(Inputs!$C$28*NGS_Bacteria_Input!$B$7-F136)+Inputs!$D$16*(F7-F136)+Inputs!$E$16*(Inputs!$D$28*NGS_Bacteria_Input!$C$7-F136)))</f>
        <v>0</v>
      </c>
      <c r="H136" s="21">
        <f>IF(G136="","",G136+Inputs!$B$5/Inputs!$B$16*(Inputs!$C$16*(Inputs!$C$28*NGS_Bacteria_Input!$B$7-G136)+Inputs!$D$16*(G7-G136)+Inputs!$E$16*(Inputs!$D$28*NGS_Bacteria_Input!$C$7-G136)))</f>
        <v>0</v>
      </c>
      <c r="I136" s="21">
        <f>IF(H136="","",H136+Inputs!$B$5/Inputs!$B$16*(Inputs!$C$16*(Inputs!$C$28*NGS_Bacteria_Input!$B$7-H136)+Inputs!$D$16*(H7-H136)+Inputs!$E$16*(Inputs!$D$28*NGS_Bacteria_Input!$C$7-H136)))</f>
        <v>0</v>
      </c>
      <c r="J136" s="21">
        <f>IF(I136="","",I136+Inputs!$B$5/Inputs!$B$16*(Inputs!$C$16*(Inputs!$C$28*NGS_Bacteria_Input!$B$7-I136)+Inputs!$D$16*(I7-I136)+Inputs!$E$16*(Inputs!$D$28*NGS_Bacteria_Input!$C$7-I136)))</f>
        <v>0</v>
      </c>
      <c r="K136" s="21">
        <f>IF(J136="","",J136+Inputs!$B$5/Inputs!$B$16*(Inputs!$C$16*(Inputs!$C$28*NGS_Bacteria_Input!$B$7-J136)+Inputs!$D$16*(J7-J136)+Inputs!$E$16*(Inputs!$D$28*NGS_Bacteria_Input!$C$7-J136)))</f>
        <v>0</v>
      </c>
      <c r="L136" s="21">
        <f>IF(K136="","",K136+Inputs!$B$5/Inputs!$B$16*(Inputs!$C$16*(Inputs!$C$28*NGS_Bacteria_Input!$B$7-K136)+Inputs!$D$16*(K7-K136)+Inputs!$E$16*(Inputs!$D$28*NGS_Bacteria_Input!$C$7-K136)))</f>
        <v>0</v>
      </c>
      <c r="M136" s="21">
        <f>IF(L136="","",L136+Inputs!$B$5/Inputs!$B$16*(Inputs!$C$16*(Inputs!$C$28*NGS_Bacteria_Input!$B$7-L136)+Inputs!$D$16*(L7-L136)+Inputs!$E$16*(Inputs!$D$28*NGS_Bacteria_Input!$C$7-L136)))</f>
        <v>0</v>
      </c>
      <c r="N136" s="21">
        <f>IF(M136="","",M136+Inputs!$B$5/Inputs!$B$16*(Inputs!$C$16*(Inputs!$C$28*NGS_Bacteria_Input!$B$7-M136)+Inputs!$D$16*(M7-M136)+Inputs!$E$16*(Inputs!$D$28*NGS_Bacteria_Input!$C$7-M136)))</f>
        <v>0</v>
      </c>
      <c r="O136" s="21">
        <f>IF(N136="","",N136+Inputs!$B$5/Inputs!$B$16*(Inputs!$C$16*(Inputs!$C$28*NGS_Bacteria_Input!$B$7-N136)+Inputs!$D$16*(N7-N136)+Inputs!$E$16*(Inputs!$D$28*NGS_Bacteria_Input!$C$7-N136)))</f>
        <v>0</v>
      </c>
      <c r="P136" s="21">
        <f>IF(O136="","",O136+Inputs!$B$5/Inputs!$B$16*(Inputs!$C$16*(Inputs!$C$28*NGS_Bacteria_Input!$B$7-O136)+Inputs!$D$16*(O7-O136)+Inputs!$E$16*(Inputs!$D$28*NGS_Bacteria_Input!$C$7-O136)))</f>
        <v>0</v>
      </c>
      <c r="Q136" s="21">
        <f>IF(P136="","",P136+Inputs!$B$5/Inputs!$B$16*(Inputs!$C$16*(Inputs!$C$28*NGS_Bacteria_Input!$B$7-P136)+Inputs!$D$16*(P7-P136)+Inputs!$E$16*(Inputs!$D$28*NGS_Bacteria_Input!$C$7-P136)))</f>
        <v>0</v>
      </c>
      <c r="R136" s="21">
        <f>IF(Q136="","",Q136+Inputs!$B$5/Inputs!$B$16*(Inputs!$C$16*(Inputs!$C$28*NGS_Bacteria_Input!$B$7-Q136)+Inputs!$D$16*(Q7-Q136)+Inputs!$E$16*(Inputs!$D$28*NGS_Bacteria_Input!$C$7-Q136)))</f>
        <v>0</v>
      </c>
      <c r="S136" s="21">
        <f>IF(R136="","",R136+Inputs!$B$5/Inputs!$B$16*(Inputs!$C$16*(Inputs!$C$28*NGS_Bacteria_Input!$B$7-R136)+Inputs!$D$16*(R7-R136)+Inputs!$E$16*(Inputs!$D$28*NGS_Bacteria_Input!$C$7-R136)))</f>
        <v>0</v>
      </c>
      <c r="T136" s="21">
        <f>IF(S136="","",S136+Inputs!$B$5/Inputs!$B$16*(Inputs!$C$16*(Inputs!$C$28*NGS_Bacteria_Input!$B$7-S136)+Inputs!$D$16*(S7-S136)+Inputs!$E$16*(Inputs!$D$28*NGS_Bacteria_Input!$C$7-S136)))</f>
        <v>0</v>
      </c>
      <c r="U136" s="21">
        <f>IF(T136="","",T136+Inputs!$B$5/Inputs!$B$16*(Inputs!$C$16*(Inputs!$C$28*NGS_Bacteria_Input!$B$7-T136)+Inputs!$D$16*(T7-T136)+Inputs!$E$16*(Inputs!$D$28*NGS_Bacteria_Input!$C$7-T136)))</f>
        <v>0</v>
      </c>
      <c r="V136" s="21">
        <f>IF(U136="","",U136+Inputs!$B$5/Inputs!$B$16*(Inputs!$C$16*(Inputs!$C$28*NGS_Bacteria_Input!$B$7-U136)+Inputs!$D$16*(U7-U136)+Inputs!$E$16*(Inputs!$D$28*NGS_Bacteria_Input!$C$7-U136)))</f>
        <v>0</v>
      </c>
      <c r="W136" s="21">
        <f>IF(V136="","",V136+Inputs!$B$5/Inputs!$B$16*(Inputs!$C$16*(Inputs!$C$28*NGS_Bacteria_Input!$B$7-V136)+Inputs!$D$16*(V7-V136)+Inputs!$E$16*(Inputs!$D$28*NGS_Bacteria_Input!$C$7-V136)))</f>
        <v>0</v>
      </c>
    </row>
    <row r="137" spans="1:23" ht="18" customHeight="1" x14ac:dyDescent="0.25">
      <c r="A137" s="11" t="str">
        <f>NGS_Bacteria_Input!A8</f>
        <v>Bac_taxon_4</v>
      </c>
      <c r="B137" s="21">
        <f>IF(Inputs!$G$39="","",Inputs!$G$39*NGS_Bacteria_Input!$H$8)</f>
        <v>0</v>
      </c>
      <c r="C137" s="21">
        <f>IF(B137="","",B137+Inputs!$B$5/Inputs!$B$16*(Inputs!$C$16*(Inputs!$C$28*NGS_Bacteria_Input!$B$8-B137)+Inputs!$D$16*(B8-B137)+Inputs!$E$16*(Inputs!$D$28*NGS_Bacteria_Input!$C$8-B137)))</f>
        <v>0</v>
      </c>
      <c r="D137" s="21">
        <f>IF(C137="","",C137+Inputs!$B$5/Inputs!$B$16*(Inputs!$C$16*(Inputs!$C$28*NGS_Bacteria_Input!$B$8-C137)+Inputs!$D$16*(C8-C137)+Inputs!$E$16*(Inputs!$D$28*NGS_Bacteria_Input!$C$8-C137)))</f>
        <v>0</v>
      </c>
      <c r="E137" s="21">
        <f>IF(D137="","",D137+Inputs!$B$5/Inputs!$B$16*(Inputs!$C$16*(Inputs!$C$28*NGS_Bacteria_Input!$B$8-D137)+Inputs!$D$16*(D8-D137)+Inputs!$E$16*(Inputs!$D$28*NGS_Bacteria_Input!$C$8-D137)))</f>
        <v>0</v>
      </c>
      <c r="F137" s="21">
        <f>IF(E137="","",E137+Inputs!$B$5/Inputs!$B$16*(Inputs!$C$16*(Inputs!$C$28*NGS_Bacteria_Input!$B$8-E137)+Inputs!$D$16*(E8-E137)+Inputs!$E$16*(Inputs!$D$28*NGS_Bacteria_Input!$C$8-E137)))</f>
        <v>0</v>
      </c>
      <c r="G137" s="21">
        <f>IF(F137="","",F137+Inputs!$B$5/Inputs!$B$16*(Inputs!$C$16*(Inputs!$C$28*NGS_Bacteria_Input!$B$8-F137)+Inputs!$D$16*(F8-F137)+Inputs!$E$16*(Inputs!$D$28*NGS_Bacteria_Input!$C$8-F137)))</f>
        <v>0</v>
      </c>
      <c r="H137" s="21">
        <f>IF(G137="","",G137+Inputs!$B$5/Inputs!$B$16*(Inputs!$C$16*(Inputs!$C$28*NGS_Bacteria_Input!$B$8-G137)+Inputs!$D$16*(G8-G137)+Inputs!$E$16*(Inputs!$D$28*NGS_Bacteria_Input!$C$8-G137)))</f>
        <v>0</v>
      </c>
      <c r="I137" s="21">
        <f>IF(H137="","",H137+Inputs!$B$5/Inputs!$B$16*(Inputs!$C$16*(Inputs!$C$28*NGS_Bacteria_Input!$B$8-H137)+Inputs!$D$16*(H8-H137)+Inputs!$E$16*(Inputs!$D$28*NGS_Bacteria_Input!$C$8-H137)))</f>
        <v>0</v>
      </c>
      <c r="J137" s="21">
        <f>IF(I137="","",I137+Inputs!$B$5/Inputs!$B$16*(Inputs!$C$16*(Inputs!$C$28*NGS_Bacteria_Input!$B$8-I137)+Inputs!$D$16*(I8-I137)+Inputs!$E$16*(Inputs!$D$28*NGS_Bacteria_Input!$C$8-I137)))</f>
        <v>0</v>
      </c>
      <c r="K137" s="21">
        <f>IF(J137="","",J137+Inputs!$B$5/Inputs!$B$16*(Inputs!$C$16*(Inputs!$C$28*NGS_Bacteria_Input!$B$8-J137)+Inputs!$D$16*(J8-J137)+Inputs!$E$16*(Inputs!$D$28*NGS_Bacteria_Input!$C$8-J137)))</f>
        <v>0</v>
      </c>
      <c r="L137" s="21">
        <f>IF(K137="","",K137+Inputs!$B$5/Inputs!$B$16*(Inputs!$C$16*(Inputs!$C$28*NGS_Bacteria_Input!$B$8-K137)+Inputs!$D$16*(K8-K137)+Inputs!$E$16*(Inputs!$D$28*NGS_Bacteria_Input!$C$8-K137)))</f>
        <v>0</v>
      </c>
      <c r="M137" s="21">
        <f>IF(L137="","",L137+Inputs!$B$5/Inputs!$B$16*(Inputs!$C$16*(Inputs!$C$28*NGS_Bacteria_Input!$B$8-L137)+Inputs!$D$16*(L8-L137)+Inputs!$E$16*(Inputs!$D$28*NGS_Bacteria_Input!$C$8-L137)))</f>
        <v>0</v>
      </c>
      <c r="N137" s="21">
        <f>IF(M137="","",M137+Inputs!$B$5/Inputs!$B$16*(Inputs!$C$16*(Inputs!$C$28*NGS_Bacteria_Input!$B$8-M137)+Inputs!$D$16*(M8-M137)+Inputs!$E$16*(Inputs!$D$28*NGS_Bacteria_Input!$C$8-M137)))</f>
        <v>0</v>
      </c>
      <c r="O137" s="21">
        <f>IF(N137="","",N137+Inputs!$B$5/Inputs!$B$16*(Inputs!$C$16*(Inputs!$C$28*NGS_Bacteria_Input!$B$8-N137)+Inputs!$D$16*(N8-N137)+Inputs!$E$16*(Inputs!$D$28*NGS_Bacteria_Input!$C$8-N137)))</f>
        <v>0</v>
      </c>
      <c r="P137" s="21">
        <f>IF(O137="","",O137+Inputs!$B$5/Inputs!$B$16*(Inputs!$C$16*(Inputs!$C$28*NGS_Bacteria_Input!$B$8-O137)+Inputs!$D$16*(O8-O137)+Inputs!$E$16*(Inputs!$D$28*NGS_Bacteria_Input!$C$8-O137)))</f>
        <v>0</v>
      </c>
      <c r="Q137" s="21">
        <f>IF(P137="","",P137+Inputs!$B$5/Inputs!$B$16*(Inputs!$C$16*(Inputs!$C$28*NGS_Bacteria_Input!$B$8-P137)+Inputs!$D$16*(P8-P137)+Inputs!$E$16*(Inputs!$D$28*NGS_Bacteria_Input!$C$8-P137)))</f>
        <v>0</v>
      </c>
      <c r="R137" s="21">
        <f>IF(Q137="","",Q137+Inputs!$B$5/Inputs!$B$16*(Inputs!$C$16*(Inputs!$C$28*NGS_Bacteria_Input!$B$8-Q137)+Inputs!$D$16*(Q8-Q137)+Inputs!$E$16*(Inputs!$D$28*NGS_Bacteria_Input!$C$8-Q137)))</f>
        <v>0</v>
      </c>
      <c r="S137" s="21">
        <f>IF(R137="","",R137+Inputs!$B$5/Inputs!$B$16*(Inputs!$C$16*(Inputs!$C$28*NGS_Bacteria_Input!$B$8-R137)+Inputs!$D$16*(R8-R137)+Inputs!$E$16*(Inputs!$D$28*NGS_Bacteria_Input!$C$8-R137)))</f>
        <v>0</v>
      </c>
      <c r="T137" s="21">
        <f>IF(S137="","",S137+Inputs!$B$5/Inputs!$B$16*(Inputs!$C$16*(Inputs!$C$28*NGS_Bacteria_Input!$B$8-S137)+Inputs!$D$16*(S8-S137)+Inputs!$E$16*(Inputs!$D$28*NGS_Bacteria_Input!$C$8-S137)))</f>
        <v>0</v>
      </c>
      <c r="U137" s="21">
        <f>IF(T137="","",T137+Inputs!$B$5/Inputs!$B$16*(Inputs!$C$16*(Inputs!$C$28*NGS_Bacteria_Input!$B$8-T137)+Inputs!$D$16*(T8-T137)+Inputs!$E$16*(Inputs!$D$28*NGS_Bacteria_Input!$C$8-T137)))</f>
        <v>0</v>
      </c>
      <c r="V137" s="21">
        <f>IF(U137="","",U137+Inputs!$B$5/Inputs!$B$16*(Inputs!$C$16*(Inputs!$C$28*NGS_Bacteria_Input!$B$8-U137)+Inputs!$D$16*(U8-U137)+Inputs!$E$16*(Inputs!$D$28*NGS_Bacteria_Input!$C$8-U137)))</f>
        <v>0</v>
      </c>
      <c r="W137" s="21">
        <f>IF(V137="","",V137+Inputs!$B$5/Inputs!$B$16*(Inputs!$C$16*(Inputs!$C$28*NGS_Bacteria_Input!$B$8-V137)+Inputs!$D$16*(V8-V137)+Inputs!$E$16*(Inputs!$D$28*NGS_Bacteria_Input!$C$8-V137)))</f>
        <v>0</v>
      </c>
    </row>
    <row r="138" spans="1:23" ht="18" customHeight="1" x14ac:dyDescent="0.25">
      <c r="A138" s="11" t="str">
        <f>NGS_Bacteria_Input!A9</f>
        <v>Bac_taxon_5</v>
      </c>
      <c r="B138" s="21">
        <f>IF(Inputs!$G$39="","",Inputs!$G$39*NGS_Bacteria_Input!$H$9)</f>
        <v>0</v>
      </c>
      <c r="C138" s="21">
        <f>IF(B138="","",B138+Inputs!$B$5/Inputs!$B$16*(Inputs!$C$16*(Inputs!$C$28*NGS_Bacteria_Input!$B$9-B138)+Inputs!$D$16*(B9-B138)+Inputs!$E$16*(Inputs!$D$28*NGS_Bacteria_Input!$C$9-B138)))</f>
        <v>0</v>
      </c>
      <c r="D138" s="21">
        <f>IF(C138="","",C138+Inputs!$B$5/Inputs!$B$16*(Inputs!$C$16*(Inputs!$C$28*NGS_Bacteria_Input!$B$9-C138)+Inputs!$D$16*(C9-C138)+Inputs!$E$16*(Inputs!$D$28*NGS_Bacteria_Input!$C$9-C138)))</f>
        <v>0</v>
      </c>
      <c r="E138" s="21">
        <f>IF(D138="","",D138+Inputs!$B$5/Inputs!$B$16*(Inputs!$C$16*(Inputs!$C$28*NGS_Bacteria_Input!$B$9-D138)+Inputs!$D$16*(D9-D138)+Inputs!$E$16*(Inputs!$D$28*NGS_Bacteria_Input!$C$9-D138)))</f>
        <v>0</v>
      </c>
      <c r="F138" s="21">
        <f>IF(E138="","",E138+Inputs!$B$5/Inputs!$B$16*(Inputs!$C$16*(Inputs!$C$28*NGS_Bacteria_Input!$B$9-E138)+Inputs!$D$16*(E9-E138)+Inputs!$E$16*(Inputs!$D$28*NGS_Bacteria_Input!$C$9-E138)))</f>
        <v>0</v>
      </c>
      <c r="G138" s="21">
        <f>IF(F138="","",F138+Inputs!$B$5/Inputs!$B$16*(Inputs!$C$16*(Inputs!$C$28*NGS_Bacteria_Input!$B$9-F138)+Inputs!$D$16*(F9-F138)+Inputs!$E$16*(Inputs!$D$28*NGS_Bacteria_Input!$C$9-F138)))</f>
        <v>0</v>
      </c>
      <c r="H138" s="21">
        <f>IF(G138="","",G138+Inputs!$B$5/Inputs!$B$16*(Inputs!$C$16*(Inputs!$C$28*NGS_Bacteria_Input!$B$9-G138)+Inputs!$D$16*(G9-G138)+Inputs!$E$16*(Inputs!$D$28*NGS_Bacteria_Input!$C$9-G138)))</f>
        <v>0</v>
      </c>
      <c r="I138" s="21">
        <f>IF(H138="","",H138+Inputs!$B$5/Inputs!$B$16*(Inputs!$C$16*(Inputs!$C$28*NGS_Bacteria_Input!$B$9-H138)+Inputs!$D$16*(H9-H138)+Inputs!$E$16*(Inputs!$D$28*NGS_Bacteria_Input!$C$9-H138)))</f>
        <v>0</v>
      </c>
      <c r="J138" s="21">
        <f>IF(I138="","",I138+Inputs!$B$5/Inputs!$B$16*(Inputs!$C$16*(Inputs!$C$28*NGS_Bacteria_Input!$B$9-I138)+Inputs!$D$16*(I9-I138)+Inputs!$E$16*(Inputs!$D$28*NGS_Bacteria_Input!$C$9-I138)))</f>
        <v>0</v>
      </c>
      <c r="K138" s="21">
        <f>IF(J138="","",J138+Inputs!$B$5/Inputs!$B$16*(Inputs!$C$16*(Inputs!$C$28*NGS_Bacteria_Input!$B$9-J138)+Inputs!$D$16*(J9-J138)+Inputs!$E$16*(Inputs!$D$28*NGS_Bacteria_Input!$C$9-J138)))</f>
        <v>0</v>
      </c>
      <c r="L138" s="21">
        <f>IF(K138="","",K138+Inputs!$B$5/Inputs!$B$16*(Inputs!$C$16*(Inputs!$C$28*NGS_Bacteria_Input!$B$9-K138)+Inputs!$D$16*(K9-K138)+Inputs!$E$16*(Inputs!$D$28*NGS_Bacteria_Input!$C$9-K138)))</f>
        <v>0</v>
      </c>
      <c r="M138" s="21">
        <f>IF(L138="","",L138+Inputs!$B$5/Inputs!$B$16*(Inputs!$C$16*(Inputs!$C$28*NGS_Bacteria_Input!$B$9-L138)+Inputs!$D$16*(L9-L138)+Inputs!$E$16*(Inputs!$D$28*NGS_Bacteria_Input!$C$9-L138)))</f>
        <v>0</v>
      </c>
      <c r="N138" s="21">
        <f>IF(M138="","",M138+Inputs!$B$5/Inputs!$B$16*(Inputs!$C$16*(Inputs!$C$28*NGS_Bacteria_Input!$B$9-M138)+Inputs!$D$16*(M9-M138)+Inputs!$E$16*(Inputs!$D$28*NGS_Bacteria_Input!$C$9-M138)))</f>
        <v>0</v>
      </c>
      <c r="O138" s="21">
        <f>IF(N138="","",N138+Inputs!$B$5/Inputs!$B$16*(Inputs!$C$16*(Inputs!$C$28*NGS_Bacteria_Input!$B$9-N138)+Inputs!$D$16*(N9-N138)+Inputs!$E$16*(Inputs!$D$28*NGS_Bacteria_Input!$C$9-N138)))</f>
        <v>0</v>
      </c>
      <c r="P138" s="21">
        <f>IF(O138="","",O138+Inputs!$B$5/Inputs!$B$16*(Inputs!$C$16*(Inputs!$C$28*NGS_Bacteria_Input!$B$9-O138)+Inputs!$D$16*(O9-O138)+Inputs!$E$16*(Inputs!$D$28*NGS_Bacteria_Input!$C$9-O138)))</f>
        <v>0</v>
      </c>
      <c r="Q138" s="21">
        <f>IF(P138="","",P138+Inputs!$B$5/Inputs!$B$16*(Inputs!$C$16*(Inputs!$C$28*NGS_Bacteria_Input!$B$9-P138)+Inputs!$D$16*(P9-P138)+Inputs!$E$16*(Inputs!$D$28*NGS_Bacteria_Input!$C$9-P138)))</f>
        <v>0</v>
      </c>
      <c r="R138" s="21">
        <f>IF(Q138="","",Q138+Inputs!$B$5/Inputs!$B$16*(Inputs!$C$16*(Inputs!$C$28*NGS_Bacteria_Input!$B$9-Q138)+Inputs!$D$16*(Q9-Q138)+Inputs!$E$16*(Inputs!$D$28*NGS_Bacteria_Input!$C$9-Q138)))</f>
        <v>0</v>
      </c>
      <c r="S138" s="21">
        <f>IF(R138="","",R138+Inputs!$B$5/Inputs!$B$16*(Inputs!$C$16*(Inputs!$C$28*NGS_Bacteria_Input!$B$9-R138)+Inputs!$D$16*(R9-R138)+Inputs!$E$16*(Inputs!$D$28*NGS_Bacteria_Input!$C$9-R138)))</f>
        <v>0</v>
      </c>
      <c r="T138" s="21">
        <f>IF(S138="","",S138+Inputs!$B$5/Inputs!$B$16*(Inputs!$C$16*(Inputs!$C$28*NGS_Bacteria_Input!$B$9-S138)+Inputs!$D$16*(S9-S138)+Inputs!$E$16*(Inputs!$D$28*NGS_Bacteria_Input!$C$9-S138)))</f>
        <v>0</v>
      </c>
      <c r="U138" s="21">
        <f>IF(T138="","",T138+Inputs!$B$5/Inputs!$B$16*(Inputs!$C$16*(Inputs!$C$28*NGS_Bacteria_Input!$B$9-T138)+Inputs!$D$16*(T9-T138)+Inputs!$E$16*(Inputs!$D$28*NGS_Bacteria_Input!$C$9-T138)))</f>
        <v>0</v>
      </c>
      <c r="V138" s="21">
        <f>IF(U138="","",U138+Inputs!$B$5/Inputs!$B$16*(Inputs!$C$16*(Inputs!$C$28*NGS_Bacteria_Input!$B$9-U138)+Inputs!$D$16*(U9-U138)+Inputs!$E$16*(Inputs!$D$28*NGS_Bacteria_Input!$C$9-U138)))</f>
        <v>0</v>
      </c>
      <c r="W138" s="21">
        <f>IF(V138="","",V138+Inputs!$B$5/Inputs!$B$16*(Inputs!$C$16*(Inputs!$C$28*NGS_Bacteria_Input!$B$9-V138)+Inputs!$D$16*(V9-V138)+Inputs!$E$16*(Inputs!$D$28*NGS_Bacteria_Input!$C$9-V138)))</f>
        <v>0</v>
      </c>
    </row>
    <row r="139" spans="1:23" ht="18" customHeight="1" x14ac:dyDescent="0.25">
      <c r="A139" s="11" t="str">
        <f>NGS_Bacteria_Input!A10</f>
        <v>Bac_taxon_6</v>
      </c>
      <c r="B139" s="21">
        <f>IF(Inputs!$G$39="","",Inputs!$G$39*NGS_Bacteria_Input!$H$10)</f>
        <v>0</v>
      </c>
      <c r="C139" s="21">
        <f>IF(B139="","",B139+Inputs!$B$5/Inputs!$B$16*(Inputs!$C$16*(Inputs!$C$28*NGS_Bacteria_Input!$B$10-B139)+Inputs!$D$16*(B10-B139)+Inputs!$E$16*(Inputs!$D$28*NGS_Bacteria_Input!$C$10-B139)))</f>
        <v>0</v>
      </c>
      <c r="D139" s="21">
        <f>IF(C139="","",C139+Inputs!$B$5/Inputs!$B$16*(Inputs!$C$16*(Inputs!$C$28*NGS_Bacteria_Input!$B$10-C139)+Inputs!$D$16*(C10-C139)+Inputs!$E$16*(Inputs!$D$28*NGS_Bacteria_Input!$C$10-C139)))</f>
        <v>0</v>
      </c>
      <c r="E139" s="21">
        <f>IF(D139="","",D139+Inputs!$B$5/Inputs!$B$16*(Inputs!$C$16*(Inputs!$C$28*NGS_Bacteria_Input!$B$10-D139)+Inputs!$D$16*(D10-D139)+Inputs!$E$16*(Inputs!$D$28*NGS_Bacteria_Input!$C$10-D139)))</f>
        <v>0</v>
      </c>
      <c r="F139" s="21">
        <f>IF(E139="","",E139+Inputs!$B$5/Inputs!$B$16*(Inputs!$C$16*(Inputs!$C$28*NGS_Bacteria_Input!$B$10-E139)+Inputs!$D$16*(E10-E139)+Inputs!$E$16*(Inputs!$D$28*NGS_Bacteria_Input!$C$10-E139)))</f>
        <v>0</v>
      </c>
      <c r="G139" s="21">
        <f>IF(F139="","",F139+Inputs!$B$5/Inputs!$B$16*(Inputs!$C$16*(Inputs!$C$28*NGS_Bacteria_Input!$B$10-F139)+Inputs!$D$16*(F10-F139)+Inputs!$E$16*(Inputs!$D$28*NGS_Bacteria_Input!$C$10-F139)))</f>
        <v>0</v>
      </c>
      <c r="H139" s="21">
        <f>IF(G139="","",G139+Inputs!$B$5/Inputs!$B$16*(Inputs!$C$16*(Inputs!$C$28*NGS_Bacteria_Input!$B$10-G139)+Inputs!$D$16*(G10-G139)+Inputs!$E$16*(Inputs!$D$28*NGS_Bacteria_Input!$C$10-G139)))</f>
        <v>0</v>
      </c>
      <c r="I139" s="21">
        <f>IF(H139="","",H139+Inputs!$B$5/Inputs!$B$16*(Inputs!$C$16*(Inputs!$C$28*NGS_Bacteria_Input!$B$10-H139)+Inputs!$D$16*(H10-H139)+Inputs!$E$16*(Inputs!$D$28*NGS_Bacteria_Input!$C$10-H139)))</f>
        <v>0</v>
      </c>
      <c r="J139" s="21">
        <f>IF(I139="","",I139+Inputs!$B$5/Inputs!$B$16*(Inputs!$C$16*(Inputs!$C$28*NGS_Bacteria_Input!$B$10-I139)+Inputs!$D$16*(I10-I139)+Inputs!$E$16*(Inputs!$D$28*NGS_Bacteria_Input!$C$10-I139)))</f>
        <v>0</v>
      </c>
      <c r="K139" s="21">
        <f>IF(J139="","",J139+Inputs!$B$5/Inputs!$B$16*(Inputs!$C$16*(Inputs!$C$28*NGS_Bacteria_Input!$B$10-J139)+Inputs!$D$16*(J10-J139)+Inputs!$E$16*(Inputs!$D$28*NGS_Bacteria_Input!$C$10-J139)))</f>
        <v>0</v>
      </c>
      <c r="L139" s="21">
        <f>IF(K139="","",K139+Inputs!$B$5/Inputs!$B$16*(Inputs!$C$16*(Inputs!$C$28*NGS_Bacteria_Input!$B$10-K139)+Inputs!$D$16*(K10-K139)+Inputs!$E$16*(Inputs!$D$28*NGS_Bacteria_Input!$C$10-K139)))</f>
        <v>0</v>
      </c>
      <c r="M139" s="21">
        <f>IF(L139="","",L139+Inputs!$B$5/Inputs!$B$16*(Inputs!$C$16*(Inputs!$C$28*NGS_Bacteria_Input!$B$10-L139)+Inputs!$D$16*(L10-L139)+Inputs!$E$16*(Inputs!$D$28*NGS_Bacteria_Input!$C$10-L139)))</f>
        <v>0</v>
      </c>
      <c r="N139" s="21">
        <f>IF(M139="","",M139+Inputs!$B$5/Inputs!$B$16*(Inputs!$C$16*(Inputs!$C$28*NGS_Bacteria_Input!$B$10-M139)+Inputs!$D$16*(M10-M139)+Inputs!$E$16*(Inputs!$D$28*NGS_Bacteria_Input!$C$10-M139)))</f>
        <v>0</v>
      </c>
      <c r="O139" s="21">
        <f>IF(N139="","",N139+Inputs!$B$5/Inputs!$B$16*(Inputs!$C$16*(Inputs!$C$28*NGS_Bacteria_Input!$B$10-N139)+Inputs!$D$16*(N10-N139)+Inputs!$E$16*(Inputs!$D$28*NGS_Bacteria_Input!$C$10-N139)))</f>
        <v>0</v>
      </c>
      <c r="P139" s="21">
        <f>IF(O139="","",O139+Inputs!$B$5/Inputs!$B$16*(Inputs!$C$16*(Inputs!$C$28*NGS_Bacteria_Input!$B$10-O139)+Inputs!$D$16*(O10-O139)+Inputs!$E$16*(Inputs!$D$28*NGS_Bacteria_Input!$C$10-O139)))</f>
        <v>0</v>
      </c>
      <c r="Q139" s="21">
        <f>IF(P139="","",P139+Inputs!$B$5/Inputs!$B$16*(Inputs!$C$16*(Inputs!$C$28*NGS_Bacteria_Input!$B$10-P139)+Inputs!$D$16*(P10-P139)+Inputs!$E$16*(Inputs!$D$28*NGS_Bacteria_Input!$C$10-P139)))</f>
        <v>0</v>
      </c>
      <c r="R139" s="21">
        <f>IF(Q139="","",Q139+Inputs!$B$5/Inputs!$B$16*(Inputs!$C$16*(Inputs!$C$28*NGS_Bacteria_Input!$B$10-Q139)+Inputs!$D$16*(Q10-Q139)+Inputs!$E$16*(Inputs!$D$28*NGS_Bacteria_Input!$C$10-Q139)))</f>
        <v>0</v>
      </c>
      <c r="S139" s="21">
        <f>IF(R139="","",R139+Inputs!$B$5/Inputs!$B$16*(Inputs!$C$16*(Inputs!$C$28*NGS_Bacteria_Input!$B$10-R139)+Inputs!$D$16*(R10-R139)+Inputs!$E$16*(Inputs!$D$28*NGS_Bacteria_Input!$C$10-R139)))</f>
        <v>0</v>
      </c>
      <c r="T139" s="21">
        <f>IF(S139="","",S139+Inputs!$B$5/Inputs!$B$16*(Inputs!$C$16*(Inputs!$C$28*NGS_Bacteria_Input!$B$10-S139)+Inputs!$D$16*(S10-S139)+Inputs!$E$16*(Inputs!$D$28*NGS_Bacteria_Input!$C$10-S139)))</f>
        <v>0</v>
      </c>
      <c r="U139" s="21">
        <f>IF(T139="","",T139+Inputs!$B$5/Inputs!$B$16*(Inputs!$C$16*(Inputs!$C$28*NGS_Bacteria_Input!$B$10-T139)+Inputs!$D$16*(T10-T139)+Inputs!$E$16*(Inputs!$D$28*NGS_Bacteria_Input!$C$10-T139)))</f>
        <v>0</v>
      </c>
      <c r="V139" s="21">
        <f>IF(U139="","",U139+Inputs!$B$5/Inputs!$B$16*(Inputs!$C$16*(Inputs!$C$28*NGS_Bacteria_Input!$B$10-U139)+Inputs!$D$16*(U10-U139)+Inputs!$E$16*(Inputs!$D$28*NGS_Bacteria_Input!$C$10-U139)))</f>
        <v>0</v>
      </c>
      <c r="W139" s="21">
        <f>IF(V139="","",V139+Inputs!$B$5/Inputs!$B$16*(Inputs!$C$16*(Inputs!$C$28*NGS_Bacteria_Input!$B$10-V139)+Inputs!$D$16*(V10-V139)+Inputs!$E$16*(Inputs!$D$28*NGS_Bacteria_Input!$C$10-V139)))</f>
        <v>0</v>
      </c>
    </row>
    <row r="140" spans="1:23" ht="18" customHeight="1" x14ac:dyDescent="0.25">
      <c r="A140" s="11" t="str">
        <f>NGS_Bacteria_Input!A11</f>
        <v>Bac_taxon_7</v>
      </c>
      <c r="B140" s="21">
        <f>IF(Inputs!$G$39="","",Inputs!$G$39*NGS_Bacteria_Input!$H$11)</f>
        <v>0</v>
      </c>
      <c r="C140" s="21">
        <f>IF(B140="","",B140+Inputs!$B$5/Inputs!$B$16*(Inputs!$C$16*(Inputs!$C$28*NGS_Bacteria_Input!$B$11-B140)+Inputs!$D$16*(B11-B140)+Inputs!$E$16*(Inputs!$D$28*NGS_Bacteria_Input!$C$11-B140)))</f>
        <v>0</v>
      </c>
      <c r="D140" s="21">
        <f>IF(C140="","",C140+Inputs!$B$5/Inputs!$B$16*(Inputs!$C$16*(Inputs!$C$28*NGS_Bacteria_Input!$B$11-C140)+Inputs!$D$16*(C11-C140)+Inputs!$E$16*(Inputs!$D$28*NGS_Bacteria_Input!$C$11-C140)))</f>
        <v>0</v>
      </c>
      <c r="E140" s="21">
        <f>IF(D140="","",D140+Inputs!$B$5/Inputs!$B$16*(Inputs!$C$16*(Inputs!$C$28*NGS_Bacteria_Input!$B$11-D140)+Inputs!$D$16*(D11-D140)+Inputs!$E$16*(Inputs!$D$28*NGS_Bacteria_Input!$C$11-D140)))</f>
        <v>0</v>
      </c>
      <c r="F140" s="21">
        <f>IF(E140="","",E140+Inputs!$B$5/Inputs!$B$16*(Inputs!$C$16*(Inputs!$C$28*NGS_Bacteria_Input!$B$11-E140)+Inputs!$D$16*(E11-E140)+Inputs!$E$16*(Inputs!$D$28*NGS_Bacteria_Input!$C$11-E140)))</f>
        <v>0</v>
      </c>
      <c r="G140" s="21">
        <f>IF(F140="","",F140+Inputs!$B$5/Inputs!$B$16*(Inputs!$C$16*(Inputs!$C$28*NGS_Bacteria_Input!$B$11-F140)+Inputs!$D$16*(F11-F140)+Inputs!$E$16*(Inputs!$D$28*NGS_Bacteria_Input!$C$11-F140)))</f>
        <v>0</v>
      </c>
      <c r="H140" s="21">
        <f>IF(G140="","",G140+Inputs!$B$5/Inputs!$B$16*(Inputs!$C$16*(Inputs!$C$28*NGS_Bacteria_Input!$B$11-G140)+Inputs!$D$16*(G11-G140)+Inputs!$E$16*(Inputs!$D$28*NGS_Bacteria_Input!$C$11-G140)))</f>
        <v>0</v>
      </c>
      <c r="I140" s="21">
        <f>IF(H140="","",H140+Inputs!$B$5/Inputs!$B$16*(Inputs!$C$16*(Inputs!$C$28*NGS_Bacteria_Input!$B$11-H140)+Inputs!$D$16*(H11-H140)+Inputs!$E$16*(Inputs!$D$28*NGS_Bacteria_Input!$C$11-H140)))</f>
        <v>0</v>
      </c>
      <c r="J140" s="21">
        <f>IF(I140="","",I140+Inputs!$B$5/Inputs!$B$16*(Inputs!$C$16*(Inputs!$C$28*NGS_Bacteria_Input!$B$11-I140)+Inputs!$D$16*(I11-I140)+Inputs!$E$16*(Inputs!$D$28*NGS_Bacteria_Input!$C$11-I140)))</f>
        <v>0</v>
      </c>
      <c r="K140" s="21">
        <f>IF(J140="","",J140+Inputs!$B$5/Inputs!$B$16*(Inputs!$C$16*(Inputs!$C$28*NGS_Bacteria_Input!$B$11-J140)+Inputs!$D$16*(J11-J140)+Inputs!$E$16*(Inputs!$D$28*NGS_Bacteria_Input!$C$11-J140)))</f>
        <v>0</v>
      </c>
      <c r="L140" s="21">
        <f>IF(K140="","",K140+Inputs!$B$5/Inputs!$B$16*(Inputs!$C$16*(Inputs!$C$28*NGS_Bacteria_Input!$B$11-K140)+Inputs!$D$16*(K11-K140)+Inputs!$E$16*(Inputs!$D$28*NGS_Bacteria_Input!$C$11-K140)))</f>
        <v>0</v>
      </c>
      <c r="M140" s="21">
        <f>IF(L140="","",L140+Inputs!$B$5/Inputs!$B$16*(Inputs!$C$16*(Inputs!$C$28*NGS_Bacteria_Input!$B$11-L140)+Inputs!$D$16*(L11-L140)+Inputs!$E$16*(Inputs!$D$28*NGS_Bacteria_Input!$C$11-L140)))</f>
        <v>0</v>
      </c>
      <c r="N140" s="21">
        <f>IF(M140="","",M140+Inputs!$B$5/Inputs!$B$16*(Inputs!$C$16*(Inputs!$C$28*NGS_Bacteria_Input!$B$11-M140)+Inputs!$D$16*(M11-M140)+Inputs!$E$16*(Inputs!$D$28*NGS_Bacteria_Input!$C$11-M140)))</f>
        <v>0</v>
      </c>
      <c r="O140" s="21">
        <f>IF(N140="","",N140+Inputs!$B$5/Inputs!$B$16*(Inputs!$C$16*(Inputs!$C$28*NGS_Bacteria_Input!$B$11-N140)+Inputs!$D$16*(N11-N140)+Inputs!$E$16*(Inputs!$D$28*NGS_Bacteria_Input!$C$11-N140)))</f>
        <v>0</v>
      </c>
      <c r="P140" s="21">
        <f>IF(O140="","",O140+Inputs!$B$5/Inputs!$B$16*(Inputs!$C$16*(Inputs!$C$28*NGS_Bacteria_Input!$B$11-O140)+Inputs!$D$16*(O11-O140)+Inputs!$E$16*(Inputs!$D$28*NGS_Bacteria_Input!$C$11-O140)))</f>
        <v>0</v>
      </c>
      <c r="Q140" s="21">
        <f>IF(P140="","",P140+Inputs!$B$5/Inputs!$B$16*(Inputs!$C$16*(Inputs!$C$28*NGS_Bacteria_Input!$B$11-P140)+Inputs!$D$16*(P11-P140)+Inputs!$E$16*(Inputs!$D$28*NGS_Bacteria_Input!$C$11-P140)))</f>
        <v>0</v>
      </c>
      <c r="R140" s="21">
        <f>IF(Q140="","",Q140+Inputs!$B$5/Inputs!$B$16*(Inputs!$C$16*(Inputs!$C$28*NGS_Bacteria_Input!$B$11-Q140)+Inputs!$D$16*(Q11-Q140)+Inputs!$E$16*(Inputs!$D$28*NGS_Bacteria_Input!$C$11-Q140)))</f>
        <v>0</v>
      </c>
      <c r="S140" s="21">
        <f>IF(R140="","",R140+Inputs!$B$5/Inputs!$B$16*(Inputs!$C$16*(Inputs!$C$28*NGS_Bacteria_Input!$B$11-R140)+Inputs!$D$16*(R11-R140)+Inputs!$E$16*(Inputs!$D$28*NGS_Bacteria_Input!$C$11-R140)))</f>
        <v>0</v>
      </c>
      <c r="T140" s="21">
        <f>IF(S140="","",S140+Inputs!$B$5/Inputs!$B$16*(Inputs!$C$16*(Inputs!$C$28*NGS_Bacteria_Input!$B$11-S140)+Inputs!$D$16*(S11-S140)+Inputs!$E$16*(Inputs!$D$28*NGS_Bacteria_Input!$C$11-S140)))</f>
        <v>0</v>
      </c>
      <c r="U140" s="21">
        <f>IF(T140="","",T140+Inputs!$B$5/Inputs!$B$16*(Inputs!$C$16*(Inputs!$C$28*NGS_Bacteria_Input!$B$11-T140)+Inputs!$D$16*(T11-T140)+Inputs!$E$16*(Inputs!$D$28*NGS_Bacteria_Input!$C$11-T140)))</f>
        <v>0</v>
      </c>
      <c r="V140" s="21">
        <f>IF(U140="","",U140+Inputs!$B$5/Inputs!$B$16*(Inputs!$C$16*(Inputs!$C$28*NGS_Bacteria_Input!$B$11-U140)+Inputs!$D$16*(U11-U140)+Inputs!$E$16*(Inputs!$D$28*NGS_Bacteria_Input!$C$11-U140)))</f>
        <v>0</v>
      </c>
      <c r="W140" s="21">
        <f>IF(V140="","",V140+Inputs!$B$5/Inputs!$B$16*(Inputs!$C$16*(Inputs!$C$28*NGS_Bacteria_Input!$B$11-V140)+Inputs!$D$16*(V11-V140)+Inputs!$E$16*(Inputs!$D$28*NGS_Bacteria_Input!$C$11-V140)))</f>
        <v>0</v>
      </c>
    </row>
    <row r="141" spans="1:23" ht="18" customHeight="1" x14ac:dyDescent="0.25">
      <c r="A141" s="11" t="str">
        <f>NGS_Bacteria_Input!A12</f>
        <v>Bac_taxon_8</v>
      </c>
      <c r="B141" s="21">
        <f>IF(Inputs!$G$39="","",Inputs!$G$39*NGS_Bacteria_Input!$H$12)</f>
        <v>0</v>
      </c>
      <c r="C141" s="21">
        <f>IF(B141="","",B141+Inputs!$B$5/Inputs!$B$16*(Inputs!$C$16*(Inputs!$C$28*NGS_Bacteria_Input!$B$12-B141)+Inputs!$D$16*(B12-B141)+Inputs!$E$16*(Inputs!$D$28*NGS_Bacteria_Input!$C$12-B141)))</f>
        <v>0</v>
      </c>
      <c r="D141" s="21">
        <f>IF(C141="","",C141+Inputs!$B$5/Inputs!$B$16*(Inputs!$C$16*(Inputs!$C$28*NGS_Bacteria_Input!$B$12-C141)+Inputs!$D$16*(C12-C141)+Inputs!$E$16*(Inputs!$D$28*NGS_Bacteria_Input!$C$12-C141)))</f>
        <v>0</v>
      </c>
      <c r="E141" s="21">
        <f>IF(D141="","",D141+Inputs!$B$5/Inputs!$B$16*(Inputs!$C$16*(Inputs!$C$28*NGS_Bacteria_Input!$B$12-D141)+Inputs!$D$16*(D12-D141)+Inputs!$E$16*(Inputs!$D$28*NGS_Bacteria_Input!$C$12-D141)))</f>
        <v>0</v>
      </c>
      <c r="F141" s="21">
        <f>IF(E141="","",E141+Inputs!$B$5/Inputs!$B$16*(Inputs!$C$16*(Inputs!$C$28*NGS_Bacteria_Input!$B$12-E141)+Inputs!$D$16*(E12-E141)+Inputs!$E$16*(Inputs!$D$28*NGS_Bacteria_Input!$C$12-E141)))</f>
        <v>0</v>
      </c>
      <c r="G141" s="21">
        <f>IF(F141="","",F141+Inputs!$B$5/Inputs!$B$16*(Inputs!$C$16*(Inputs!$C$28*NGS_Bacteria_Input!$B$12-F141)+Inputs!$D$16*(F12-F141)+Inputs!$E$16*(Inputs!$D$28*NGS_Bacteria_Input!$C$12-F141)))</f>
        <v>0</v>
      </c>
      <c r="H141" s="21">
        <f>IF(G141="","",G141+Inputs!$B$5/Inputs!$B$16*(Inputs!$C$16*(Inputs!$C$28*NGS_Bacteria_Input!$B$12-G141)+Inputs!$D$16*(G12-G141)+Inputs!$E$16*(Inputs!$D$28*NGS_Bacteria_Input!$C$12-G141)))</f>
        <v>0</v>
      </c>
      <c r="I141" s="21">
        <f>IF(H141="","",H141+Inputs!$B$5/Inputs!$B$16*(Inputs!$C$16*(Inputs!$C$28*NGS_Bacteria_Input!$B$12-H141)+Inputs!$D$16*(H12-H141)+Inputs!$E$16*(Inputs!$D$28*NGS_Bacteria_Input!$C$12-H141)))</f>
        <v>0</v>
      </c>
      <c r="J141" s="21">
        <f>IF(I141="","",I141+Inputs!$B$5/Inputs!$B$16*(Inputs!$C$16*(Inputs!$C$28*NGS_Bacteria_Input!$B$12-I141)+Inputs!$D$16*(I12-I141)+Inputs!$E$16*(Inputs!$D$28*NGS_Bacteria_Input!$C$12-I141)))</f>
        <v>0</v>
      </c>
      <c r="K141" s="21">
        <f>IF(J141="","",J141+Inputs!$B$5/Inputs!$B$16*(Inputs!$C$16*(Inputs!$C$28*NGS_Bacteria_Input!$B$12-J141)+Inputs!$D$16*(J12-J141)+Inputs!$E$16*(Inputs!$D$28*NGS_Bacteria_Input!$C$12-J141)))</f>
        <v>0</v>
      </c>
      <c r="L141" s="21">
        <f>IF(K141="","",K141+Inputs!$B$5/Inputs!$B$16*(Inputs!$C$16*(Inputs!$C$28*NGS_Bacteria_Input!$B$12-K141)+Inputs!$D$16*(K12-K141)+Inputs!$E$16*(Inputs!$D$28*NGS_Bacteria_Input!$C$12-K141)))</f>
        <v>0</v>
      </c>
      <c r="M141" s="21">
        <f>IF(L141="","",L141+Inputs!$B$5/Inputs!$B$16*(Inputs!$C$16*(Inputs!$C$28*NGS_Bacteria_Input!$B$12-L141)+Inputs!$D$16*(L12-L141)+Inputs!$E$16*(Inputs!$D$28*NGS_Bacteria_Input!$C$12-L141)))</f>
        <v>0</v>
      </c>
      <c r="N141" s="21">
        <f>IF(M141="","",M141+Inputs!$B$5/Inputs!$B$16*(Inputs!$C$16*(Inputs!$C$28*NGS_Bacteria_Input!$B$12-M141)+Inputs!$D$16*(M12-M141)+Inputs!$E$16*(Inputs!$D$28*NGS_Bacteria_Input!$C$12-M141)))</f>
        <v>0</v>
      </c>
      <c r="O141" s="21">
        <f>IF(N141="","",N141+Inputs!$B$5/Inputs!$B$16*(Inputs!$C$16*(Inputs!$C$28*NGS_Bacteria_Input!$B$12-N141)+Inputs!$D$16*(N12-N141)+Inputs!$E$16*(Inputs!$D$28*NGS_Bacteria_Input!$C$12-N141)))</f>
        <v>0</v>
      </c>
      <c r="P141" s="21">
        <f>IF(O141="","",O141+Inputs!$B$5/Inputs!$B$16*(Inputs!$C$16*(Inputs!$C$28*NGS_Bacteria_Input!$B$12-O141)+Inputs!$D$16*(O12-O141)+Inputs!$E$16*(Inputs!$D$28*NGS_Bacteria_Input!$C$12-O141)))</f>
        <v>0</v>
      </c>
      <c r="Q141" s="21">
        <f>IF(P141="","",P141+Inputs!$B$5/Inputs!$B$16*(Inputs!$C$16*(Inputs!$C$28*NGS_Bacteria_Input!$B$12-P141)+Inputs!$D$16*(P12-P141)+Inputs!$E$16*(Inputs!$D$28*NGS_Bacteria_Input!$C$12-P141)))</f>
        <v>0</v>
      </c>
      <c r="R141" s="21">
        <f>IF(Q141="","",Q141+Inputs!$B$5/Inputs!$B$16*(Inputs!$C$16*(Inputs!$C$28*NGS_Bacteria_Input!$B$12-Q141)+Inputs!$D$16*(Q12-Q141)+Inputs!$E$16*(Inputs!$D$28*NGS_Bacteria_Input!$C$12-Q141)))</f>
        <v>0</v>
      </c>
      <c r="S141" s="21">
        <f>IF(R141="","",R141+Inputs!$B$5/Inputs!$B$16*(Inputs!$C$16*(Inputs!$C$28*NGS_Bacteria_Input!$B$12-R141)+Inputs!$D$16*(R12-R141)+Inputs!$E$16*(Inputs!$D$28*NGS_Bacteria_Input!$C$12-R141)))</f>
        <v>0</v>
      </c>
      <c r="T141" s="21">
        <f>IF(S141="","",S141+Inputs!$B$5/Inputs!$B$16*(Inputs!$C$16*(Inputs!$C$28*NGS_Bacteria_Input!$B$12-S141)+Inputs!$D$16*(S12-S141)+Inputs!$E$16*(Inputs!$D$28*NGS_Bacteria_Input!$C$12-S141)))</f>
        <v>0</v>
      </c>
      <c r="U141" s="21">
        <f>IF(T141="","",T141+Inputs!$B$5/Inputs!$B$16*(Inputs!$C$16*(Inputs!$C$28*NGS_Bacteria_Input!$B$12-T141)+Inputs!$D$16*(T12-T141)+Inputs!$E$16*(Inputs!$D$28*NGS_Bacteria_Input!$C$12-T141)))</f>
        <v>0</v>
      </c>
      <c r="V141" s="21">
        <f>IF(U141="","",U141+Inputs!$B$5/Inputs!$B$16*(Inputs!$C$16*(Inputs!$C$28*NGS_Bacteria_Input!$B$12-U141)+Inputs!$D$16*(U12-U141)+Inputs!$E$16*(Inputs!$D$28*NGS_Bacteria_Input!$C$12-U141)))</f>
        <v>0</v>
      </c>
      <c r="W141" s="21">
        <f>IF(V141="","",V141+Inputs!$B$5/Inputs!$B$16*(Inputs!$C$16*(Inputs!$C$28*NGS_Bacteria_Input!$B$12-V141)+Inputs!$D$16*(V12-V141)+Inputs!$E$16*(Inputs!$D$28*NGS_Bacteria_Input!$C$12-V141)))</f>
        <v>0</v>
      </c>
    </row>
    <row r="142" spans="1:23" ht="18" customHeight="1" x14ac:dyDescent="0.25">
      <c r="A142" s="11" t="str">
        <f>NGS_Bacteria_Input!A13</f>
        <v>Bac_taxon_9</v>
      </c>
      <c r="B142" s="21">
        <f>IF(Inputs!$G$39="","",Inputs!$G$39*NGS_Bacteria_Input!$H$13)</f>
        <v>0</v>
      </c>
      <c r="C142" s="21">
        <f>IF(B142="","",B142+Inputs!$B$5/Inputs!$B$16*(Inputs!$C$16*(Inputs!$C$28*NGS_Bacteria_Input!$B$13-B142)+Inputs!$D$16*(B13-B142)+Inputs!$E$16*(Inputs!$D$28*NGS_Bacteria_Input!$C$13-B142)))</f>
        <v>0</v>
      </c>
      <c r="D142" s="21">
        <f>IF(C142="","",C142+Inputs!$B$5/Inputs!$B$16*(Inputs!$C$16*(Inputs!$C$28*NGS_Bacteria_Input!$B$13-C142)+Inputs!$D$16*(C13-C142)+Inputs!$E$16*(Inputs!$D$28*NGS_Bacteria_Input!$C$13-C142)))</f>
        <v>0</v>
      </c>
      <c r="E142" s="21">
        <f>IF(D142="","",D142+Inputs!$B$5/Inputs!$B$16*(Inputs!$C$16*(Inputs!$C$28*NGS_Bacteria_Input!$B$13-D142)+Inputs!$D$16*(D13-D142)+Inputs!$E$16*(Inputs!$D$28*NGS_Bacteria_Input!$C$13-D142)))</f>
        <v>0</v>
      </c>
      <c r="F142" s="21">
        <f>IF(E142="","",E142+Inputs!$B$5/Inputs!$B$16*(Inputs!$C$16*(Inputs!$C$28*NGS_Bacteria_Input!$B$13-E142)+Inputs!$D$16*(E13-E142)+Inputs!$E$16*(Inputs!$D$28*NGS_Bacteria_Input!$C$13-E142)))</f>
        <v>0</v>
      </c>
      <c r="G142" s="21">
        <f>IF(F142="","",F142+Inputs!$B$5/Inputs!$B$16*(Inputs!$C$16*(Inputs!$C$28*NGS_Bacteria_Input!$B$13-F142)+Inputs!$D$16*(F13-F142)+Inputs!$E$16*(Inputs!$D$28*NGS_Bacteria_Input!$C$13-F142)))</f>
        <v>0</v>
      </c>
      <c r="H142" s="21">
        <f>IF(G142="","",G142+Inputs!$B$5/Inputs!$B$16*(Inputs!$C$16*(Inputs!$C$28*NGS_Bacteria_Input!$B$13-G142)+Inputs!$D$16*(G13-G142)+Inputs!$E$16*(Inputs!$D$28*NGS_Bacteria_Input!$C$13-G142)))</f>
        <v>0</v>
      </c>
      <c r="I142" s="21">
        <f>IF(H142="","",H142+Inputs!$B$5/Inputs!$B$16*(Inputs!$C$16*(Inputs!$C$28*NGS_Bacteria_Input!$B$13-H142)+Inputs!$D$16*(H13-H142)+Inputs!$E$16*(Inputs!$D$28*NGS_Bacteria_Input!$C$13-H142)))</f>
        <v>0</v>
      </c>
      <c r="J142" s="21">
        <f>IF(I142="","",I142+Inputs!$B$5/Inputs!$B$16*(Inputs!$C$16*(Inputs!$C$28*NGS_Bacteria_Input!$B$13-I142)+Inputs!$D$16*(I13-I142)+Inputs!$E$16*(Inputs!$D$28*NGS_Bacteria_Input!$C$13-I142)))</f>
        <v>0</v>
      </c>
      <c r="K142" s="21">
        <f>IF(J142="","",J142+Inputs!$B$5/Inputs!$B$16*(Inputs!$C$16*(Inputs!$C$28*NGS_Bacteria_Input!$B$13-J142)+Inputs!$D$16*(J13-J142)+Inputs!$E$16*(Inputs!$D$28*NGS_Bacteria_Input!$C$13-J142)))</f>
        <v>0</v>
      </c>
      <c r="L142" s="21">
        <f>IF(K142="","",K142+Inputs!$B$5/Inputs!$B$16*(Inputs!$C$16*(Inputs!$C$28*NGS_Bacteria_Input!$B$13-K142)+Inputs!$D$16*(K13-K142)+Inputs!$E$16*(Inputs!$D$28*NGS_Bacteria_Input!$C$13-K142)))</f>
        <v>0</v>
      </c>
      <c r="M142" s="21">
        <f>IF(L142="","",L142+Inputs!$B$5/Inputs!$B$16*(Inputs!$C$16*(Inputs!$C$28*NGS_Bacteria_Input!$B$13-L142)+Inputs!$D$16*(L13-L142)+Inputs!$E$16*(Inputs!$D$28*NGS_Bacteria_Input!$C$13-L142)))</f>
        <v>0</v>
      </c>
      <c r="N142" s="21">
        <f>IF(M142="","",M142+Inputs!$B$5/Inputs!$B$16*(Inputs!$C$16*(Inputs!$C$28*NGS_Bacteria_Input!$B$13-M142)+Inputs!$D$16*(M13-M142)+Inputs!$E$16*(Inputs!$D$28*NGS_Bacteria_Input!$C$13-M142)))</f>
        <v>0</v>
      </c>
      <c r="O142" s="21">
        <f>IF(N142="","",N142+Inputs!$B$5/Inputs!$B$16*(Inputs!$C$16*(Inputs!$C$28*NGS_Bacteria_Input!$B$13-N142)+Inputs!$D$16*(N13-N142)+Inputs!$E$16*(Inputs!$D$28*NGS_Bacteria_Input!$C$13-N142)))</f>
        <v>0</v>
      </c>
      <c r="P142" s="21">
        <f>IF(O142="","",O142+Inputs!$B$5/Inputs!$B$16*(Inputs!$C$16*(Inputs!$C$28*NGS_Bacteria_Input!$B$13-O142)+Inputs!$D$16*(O13-O142)+Inputs!$E$16*(Inputs!$D$28*NGS_Bacteria_Input!$C$13-O142)))</f>
        <v>0</v>
      </c>
      <c r="Q142" s="21">
        <f>IF(P142="","",P142+Inputs!$B$5/Inputs!$B$16*(Inputs!$C$16*(Inputs!$C$28*NGS_Bacteria_Input!$B$13-P142)+Inputs!$D$16*(P13-P142)+Inputs!$E$16*(Inputs!$D$28*NGS_Bacteria_Input!$C$13-P142)))</f>
        <v>0</v>
      </c>
      <c r="R142" s="21">
        <f>IF(Q142="","",Q142+Inputs!$B$5/Inputs!$B$16*(Inputs!$C$16*(Inputs!$C$28*NGS_Bacteria_Input!$B$13-Q142)+Inputs!$D$16*(Q13-Q142)+Inputs!$E$16*(Inputs!$D$28*NGS_Bacteria_Input!$C$13-Q142)))</f>
        <v>0</v>
      </c>
      <c r="S142" s="21">
        <f>IF(R142="","",R142+Inputs!$B$5/Inputs!$B$16*(Inputs!$C$16*(Inputs!$C$28*NGS_Bacteria_Input!$B$13-R142)+Inputs!$D$16*(R13-R142)+Inputs!$E$16*(Inputs!$D$28*NGS_Bacteria_Input!$C$13-R142)))</f>
        <v>0</v>
      </c>
      <c r="T142" s="21">
        <f>IF(S142="","",S142+Inputs!$B$5/Inputs!$B$16*(Inputs!$C$16*(Inputs!$C$28*NGS_Bacteria_Input!$B$13-S142)+Inputs!$D$16*(S13-S142)+Inputs!$E$16*(Inputs!$D$28*NGS_Bacteria_Input!$C$13-S142)))</f>
        <v>0</v>
      </c>
      <c r="U142" s="21">
        <f>IF(T142="","",T142+Inputs!$B$5/Inputs!$B$16*(Inputs!$C$16*(Inputs!$C$28*NGS_Bacteria_Input!$B$13-T142)+Inputs!$D$16*(T13-T142)+Inputs!$E$16*(Inputs!$D$28*NGS_Bacteria_Input!$C$13-T142)))</f>
        <v>0</v>
      </c>
      <c r="V142" s="21">
        <f>IF(U142="","",U142+Inputs!$B$5/Inputs!$B$16*(Inputs!$C$16*(Inputs!$C$28*NGS_Bacteria_Input!$B$13-U142)+Inputs!$D$16*(U13-U142)+Inputs!$E$16*(Inputs!$D$28*NGS_Bacteria_Input!$C$13-U142)))</f>
        <v>0</v>
      </c>
      <c r="W142" s="21">
        <f>IF(V142="","",V142+Inputs!$B$5/Inputs!$B$16*(Inputs!$C$16*(Inputs!$C$28*NGS_Bacteria_Input!$B$13-V142)+Inputs!$D$16*(V13-V142)+Inputs!$E$16*(Inputs!$D$28*NGS_Bacteria_Input!$C$13-V142)))</f>
        <v>0</v>
      </c>
    </row>
    <row r="143" spans="1:23" ht="18" customHeight="1" x14ac:dyDescent="0.25">
      <c r="A143" s="11" t="str">
        <f>NGS_Bacteria_Input!A14</f>
        <v>Bac_taxon_10</v>
      </c>
      <c r="B143" s="21">
        <f>IF(Inputs!$G$39="","",Inputs!$G$39*NGS_Bacteria_Input!$H$14)</f>
        <v>0</v>
      </c>
      <c r="C143" s="21">
        <f>IF(B143="","",B143+Inputs!$B$5/Inputs!$B$16*(Inputs!$C$16*(Inputs!$C$28*NGS_Bacteria_Input!$B$14-B143)+Inputs!$D$16*(B14-B143)+Inputs!$E$16*(Inputs!$D$28*NGS_Bacteria_Input!$C$14-B143)))</f>
        <v>0</v>
      </c>
      <c r="D143" s="21">
        <f>IF(C143="","",C143+Inputs!$B$5/Inputs!$B$16*(Inputs!$C$16*(Inputs!$C$28*NGS_Bacteria_Input!$B$14-C143)+Inputs!$D$16*(C14-C143)+Inputs!$E$16*(Inputs!$D$28*NGS_Bacteria_Input!$C$14-C143)))</f>
        <v>0</v>
      </c>
      <c r="E143" s="21">
        <f>IF(D143="","",D143+Inputs!$B$5/Inputs!$B$16*(Inputs!$C$16*(Inputs!$C$28*NGS_Bacteria_Input!$B$14-D143)+Inputs!$D$16*(D14-D143)+Inputs!$E$16*(Inputs!$D$28*NGS_Bacteria_Input!$C$14-D143)))</f>
        <v>0</v>
      </c>
      <c r="F143" s="21">
        <f>IF(E143="","",E143+Inputs!$B$5/Inputs!$B$16*(Inputs!$C$16*(Inputs!$C$28*NGS_Bacteria_Input!$B$14-E143)+Inputs!$D$16*(E14-E143)+Inputs!$E$16*(Inputs!$D$28*NGS_Bacteria_Input!$C$14-E143)))</f>
        <v>0</v>
      </c>
      <c r="G143" s="21">
        <f>IF(F143="","",F143+Inputs!$B$5/Inputs!$B$16*(Inputs!$C$16*(Inputs!$C$28*NGS_Bacteria_Input!$B$14-F143)+Inputs!$D$16*(F14-F143)+Inputs!$E$16*(Inputs!$D$28*NGS_Bacteria_Input!$C$14-F143)))</f>
        <v>0</v>
      </c>
      <c r="H143" s="21">
        <f>IF(G143="","",G143+Inputs!$B$5/Inputs!$B$16*(Inputs!$C$16*(Inputs!$C$28*NGS_Bacteria_Input!$B$14-G143)+Inputs!$D$16*(G14-G143)+Inputs!$E$16*(Inputs!$D$28*NGS_Bacteria_Input!$C$14-G143)))</f>
        <v>0</v>
      </c>
      <c r="I143" s="21">
        <f>IF(H143="","",H143+Inputs!$B$5/Inputs!$B$16*(Inputs!$C$16*(Inputs!$C$28*NGS_Bacteria_Input!$B$14-H143)+Inputs!$D$16*(H14-H143)+Inputs!$E$16*(Inputs!$D$28*NGS_Bacteria_Input!$C$14-H143)))</f>
        <v>0</v>
      </c>
      <c r="J143" s="21">
        <f>IF(I143="","",I143+Inputs!$B$5/Inputs!$B$16*(Inputs!$C$16*(Inputs!$C$28*NGS_Bacteria_Input!$B$14-I143)+Inputs!$D$16*(I14-I143)+Inputs!$E$16*(Inputs!$D$28*NGS_Bacteria_Input!$C$14-I143)))</f>
        <v>0</v>
      </c>
      <c r="K143" s="21">
        <f>IF(J143="","",J143+Inputs!$B$5/Inputs!$B$16*(Inputs!$C$16*(Inputs!$C$28*NGS_Bacteria_Input!$B$14-J143)+Inputs!$D$16*(J14-J143)+Inputs!$E$16*(Inputs!$D$28*NGS_Bacteria_Input!$C$14-J143)))</f>
        <v>0</v>
      </c>
      <c r="L143" s="21">
        <f>IF(K143="","",K143+Inputs!$B$5/Inputs!$B$16*(Inputs!$C$16*(Inputs!$C$28*NGS_Bacteria_Input!$B$14-K143)+Inputs!$D$16*(K14-K143)+Inputs!$E$16*(Inputs!$D$28*NGS_Bacteria_Input!$C$14-K143)))</f>
        <v>0</v>
      </c>
      <c r="M143" s="21">
        <f>IF(L143="","",L143+Inputs!$B$5/Inputs!$B$16*(Inputs!$C$16*(Inputs!$C$28*NGS_Bacteria_Input!$B$14-L143)+Inputs!$D$16*(L14-L143)+Inputs!$E$16*(Inputs!$D$28*NGS_Bacteria_Input!$C$14-L143)))</f>
        <v>0</v>
      </c>
      <c r="N143" s="21">
        <f>IF(M143="","",M143+Inputs!$B$5/Inputs!$B$16*(Inputs!$C$16*(Inputs!$C$28*NGS_Bacteria_Input!$B$14-M143)+Inputs!$D$16*(M14-M143)+Inputs!$E$16*(Inputs!$D$28*NGS_Bacteria_Input!$C$14-M143)))</f>
        <v>0</v>
      </c>
      <c r="O143" s="21">
        <f>IF(N143="","",N143+Inputs!$B$5/Inputs!$B$16*(Inputs!$C$16*(Inputs!$C$28*NGS_Bacteria_Input!$B$14-N143)+Inputs!$D$16*(N14-N143)+Inputs!$E$16*(Inputs!$D$28*NGS_Bacteria_Input!$C$14-N143)))</f>
        <v>0</v>
      </c>
      <c r="P143" s="21">
        <f>IF(O143="","",O143+Inputs!$B$5/Inputs!$B$16*(Inputs!$C$16*(Inputs!$C$28*NGS_Bacteria_Input!$B$14-O143)+Inputs!$D$16*(O14-O143)+Inputs!$E$16*(Inputs!$D$28*NGS_Bacteria_Input!$C$14-O143)))</f>
        <v>0</v>
      </c>
      <c r="Q143" s="21">
        <f>IF(P143="","",P143+Inputs!$B$5/Inputs!$B$16*(Inputs!$C$16*(Inputs!$C$28*NGS_Bacteria_Input!$B$14-P143)+Inputs!$D$16*(P14-P143)+Inputs!$E$16*(Inputs!$D$28*NGS_Bacteria_Input!$C$14-P143)))</f>
        <v>0</v>
      </c>
      <c r="R143" s="21">
        <f>IF(Q143="","",Q143+Inputs!$B$5/Inputs!$B$16*(Inputs!$C$16*(Inputs!$C$28*NGS_Bacteria_Input!$B$14-Q143)+Inputs!$D$16*(Q14-Q143)+Inputs!$E$16*(Inputs!$D$28*NGS_Bacteria_Input!$C$14-Q143)))</f>
        <v>0</v>
      </c>
      <c r="S143" s="21">
        <f>IF(R143="","",R143+Inputs!$B$5/Inputs!$B$16*(Inputs!$C$16*(Inputs!$C$28*NGS_Bacteria_Input!$B$14-R143)+Inputs!$D$16*(R14-R143)+Inputs!$E$16*(Inputs!$D$28*NGS_Bacteria_Input!$C$14-R143)))</f>
        <v>0</v>
      </c>
      <c r="T143" s="21">
        <f>IF(S143="","",S143+Inputs!$B$5/Inputs!$B$16*(Inputs!$C$16*(Inputs!$C$28*NGS_Bacteria_Input!$B$14-S143)+Inputs!$D$16*(S14-S143)+Inputs!$E$16*(Inputs!$D$28*NGS_Bacteria_Input!$C$14-S143)))</f>
        <v>0</v>
      </c>
      <c r="U143" s="21">
        <f>IF(T143="","",T143+Inputs!$B$5/Inputs!$B$16*(Inputs!$C$16*(Inputs!$C$28*NGS_Bacteria_Input!$B$14-T143)+Inputs!$D$16*(T14-T143)+Inputs!$E$16*(Inputs!$D$28*NGS_Bacteria_Input!$C$14-T143)))</f>
        <v>0</v>
      </c>
      <c r="V143" s="21">
        <f>IF(U143="","",U143+Inputs!$B$5/Inputs!$B$16*(Inputs!$C$16*(Inputs!$C$28*NGS_Bacteria_Input!$B$14-U143)+Inputs!$D$16*(U14-U143)+Inputs!$E$16*(Inputs!$D$28*NGS_Bacteria_Input!$C$14-U143)))</f>
        <v>0</v>
      </c>
      <c r="W143" s="21">
        <f>IF(V143="","",V143+Inputs!$B$5/Inputs!$B$16*(Inputs!$C$16*(Inputs!$C$28*NGS_Bacteria_Input!$B$14-V143)+Inputs!$D$16*(V14-V143)+Inputs!$E$16*(Inputs!$D$28*NGS_Bacteria_Input!$C$14-V143)))</f>
        <v>0</v>
      </c>
    </row>
    <row r="144" spans="1:23" ht="18" customHeight="1" x14ac:dyDescent="0.25">
      <c r="A144" s="11" t="str">
        <f>NGS_Bacteria_Input!A15</f>
        <v>Others</v>
      </c>
      <c r="B144" s="21">
        <f>IF(Inputs!$G$39="","",Inputs!$G$39*NGS_Bacteria_Input!$H$15)</f>
        <v>1462050.7937607011</v>
      </c>
      <c r="C144" s="21">
        <f>IF(B144="","",B144+Inputs!$B$5/Inputs!$B$16*(Inputs!$C$16*(Inputs!$C$28*NGS_Bacteria_Input!$B$15-B144)+Inputs!$D$16*(B15-B144)+Inputs!$E$16*(Inputs!$D$28*NGS_Bacteria_Input!$C$15-B144)))</f>
        <v>1435260.9766150459</v>
      </c>
      <c r="D144" s="21">
        <f>IF(C144="","",C144+Inputs!$B$5/Inputs!$B$16*(Inputs!$C$16*(Inputs!$C$28*NGS_Bacteria_Input!$B$15-C144)+Inputs!$D$16*(C15-C144)+Inputs!$E$16*(Inputs!$D$28*NGS_Bacteria_Input!$C$15-C144)))</f>
        <v>1408864.9113669684</v>
      </c>
      <c r="E144" s="21">
        <f>IF(D144="","",D144+Inputs!$B$5/Inputs!$B$16*(Inputs!$C$16*(Inputs!$C$28*NGS_Bacteria_Input!$B$15-D144)+Inputs!$D$16*(D15-D144)+Inputs!$E$16*(Inputs!$D$28*NGS_Bacteria_Input!$C$15-D144)))</f>
        <v>1382862.9597199315</v>
      </c>
      <c r="F144" s="21">
        <f>IF(E144="","",E144+Inputs!$B$5/Inputs!$B$16*(Inputs!$C$16*(Inputs!$C$28*NGS_Bacteria_Input!$B$15-E144)+Inputs!$D$16*(E15-E144)+Inputs!$E$16*(Inputs!$D$28*NGS_Bacteria_Input!$C$15-E144)))</f>
        <v>1357255.0381015779</v>
      </c>
      <c r="G144" s="21">
        <f>IF(F144="","",F144+Inputs!$B$5/Inputs!$B$16*(Inputs!$C$16*(Inputs!$C$28*NGS_Bacteria_Input!$B$15-F144)+Inputs!$D$16*(F15-F144)+Inputs!$E$16*(Inputs!$D$28*NGS_Bacteria_Input!$C$15-F144)))</f>
        <v>1332040.6490482346</v>
      </c>
      <c r="H144" s="21">
        <f>IF(G144="","",G144+Inputs!$B$5/Inputs!$B$16*(Inputs!$C$16*(Inputs!$C$28*NGS_Bacteria_Input!$B$15-G144)+Inputs!$D$16*(G15-G144)+Inputs!$E$16*(Inputs!$D$28*NGS_Bacteria_Input!$C$15-G144)))</f>
        <v>1307218.9108281166</v>
      </c>
      <c r="I144" s="21">
        <f>IF(H144="","",H144+Inputs!$B$5/Inputs!$B$16*(Inputs!$C$16*(Inputs!$C$28*NGS_Bacteria_Input!$B$15-H144)+Inputs!$D$16*(H15-H144)+Inputs!$E$16*(Inputs!$D$28*NGS_Bacteria_Input!$C$15-H144)))</f>
        <v>1282788.5853950658</v>
      </c>
      <c r="J144" s="21">
        <f>IF(I144="","",I144+Inputs!$B$5/Inputs!$B$16*(Inputs!$C$16*(Inputs!$C$28*NGS_Bacteria_Input!$B$15-I144)+Inputs!$D$16*(I15-I144)+Inputs!$E$16*(Inputs!$D$28*NGS_Bacteria_Input!$C$15-I144)))</f>
        <v>1258748.1047600096</v>
      </c>
      <c r="K144" s="21">
        <f>IF(J144="","",J144+Inputs!$B$5/Inputs!$B$16*(Inputs!$C$16*(Inputs!$C$28*NGS_Bacteria_Input!$B$15-J144)+Inputs!$D$16*(J15-J144)+Inputs!$E$16*(Inputs!$D$28*NGS_Bacteria_Input!$C$15-J144)))</f>
        <v>1235095.5958629146</v>
      </c>
      <c r="L144" s="21">
        <f>IF(K144="","",K144+Inputs!$B$5/Inputs!$B$16*(Inputs!$C$16*(Inputs!$C$28*NGS_Bacteria_Input!$B$15-K144)+Inputs!$D$16*(K15-K144)+Inputs!$E$16*(Inputs!$D$28*NGS_Bacteria_Input!$C$15-K144)))</f>
        <v>1211828.9040238147</v>
      </c>
      <c r="M144" s="21">
        <f>IF(L144="","",L144+Inputs!$B$5/Inputs!$B$16*(Inputs!$C$16*(Inputs!$C$28*NGS_Bacteria_Input!$B$15-L144)+Inputs!$D$16*(L15-L144)+Inputs!$E$16*(Inputs!$D$28*NGS_Bacteria_Input!$C$15-L144)))</f>
        <v>1188945.61504751</v>
      </c>
      <c r="N144" s="21">
        <f>IF(M144="","",M144+Inputs!$B$5/Inputs!$B$16*(Inputs!$C$16*(Inputs!$C$28*NGS_Bacteria_Input!$B$15-M144)+Inputs!$D$16*(M15-M144)+Inputs!$E$16*(Inputs!$D$28*NGS_Bacteria_Input!$C$15-M144)))</f>
        <v>1166443.0760527463</v>
      </c>
      <c r="O144" s="21">
        <f>IF(N144="","",N144+Inputs!$B$5/Inputs!$B$16*(Inputs!$C$16*(Inputs!$C$28*NGS_Bacteria_Input!$B$15-N144)+Inputs!$D$16*(N15-N144)+Inputs!$E$16*(Inputs!$D$28*NGS_Bacteria_Input!$C$15-N144)))</f>
        <v>1144318.4150930885</v>
      </c>
      <c r="P144" s="21">
        <f>IF(O144="","",O144+Inputs!$B$5/Inputs!$B$16*(Inputs!$C$16*(Inputs!$C$28*NGS_Bacteria_Input!$B$15-O144)+Inputs!$D$16*(O15-O144)+Inputs!$E$16*(Inputs!$D$28*NGS_Bacteria_Input!$C$15-O144)))</f>
        <v>1122568.5596332876</v>
      </c>
      <c r="Q144" s="21">
        <f>IF(P144="","",P144+Inputs!$B$5/Inputs!$B$16*(Inputs!$C$16*(Inputs!$C$28*NGS_Bacteria_Input!$B$15-P144)+Inputs!$D$16*(P15-P144)+Inputs!$E$16*(Inputs!$D$28*NGS_Bacteria_Input!$C$15-P144)))</f>
        <v>1101190.2539416899</v>
      </c>
      <c r="R144" s="21">
        <f>IF(Q144="","",Q144+Inputs!$B$5/Inputs!$B$16*(Inputs!$C$16*(Inputs!$C$28*NGS_Bacteria_Input!$B$15-Q144)+Inputs!$D$16*(Q15-Q144)+Inputs!$E$16*(Inputs!$D$28*NGS_Bacteria_Input!$C$15-Q144)))</f>
        <v>1080180.075456158</v>
      </c>
      <c r="S144" s="21">
        <f>IF(R144="","",R144+Inputs!$B$5/Inputs!$B$16*(Inputs!$C$16*(Inputs!$C$28*NGS_Bacteria_Input!$B$15-R144)+Inputs!$D$16*(R15-R144)+Inputs!$E$16*(Inputs!$D$28*NGS_Bacteria_Input!$C$15-R144)))</f>
        <v>1059534.4501780439</v>
      </c>
      <c r="T144" s="21">
        <f>IF(S144="","",S144+Inputs!$B$5/Inputs!$B$16*(Inputs!$C$16*(Inputs!$C$28*NGS_Bacteria_Input!$B$15-S144)+Inputs!$D$16*(S15-S144)+Inputs!$E$16*(Inputs!$D$28*NGS_Bacteria_Input!$C$15-S144)))</f>
        <v>1039249.6671459676</v>
      </c>
      <c r="U144" s="21">
        <f>IF(T144="","",T144+Inputs!$B$5/Inputs!$B$16*(Inputs!$C$16*(Inputs!$C$28*NGS_Bacteria_Input!$B$15-T144)+Inputs!$D$16*(T15-T144)+Inputs!$E$16*(Inputs!$D$28*NGS_Bacteria_Input!$C$15-T144)))</f>
        <v>1019321.8920385164</v>
      </c>
      <c r="V144" s="21">
        <f>IF(U144="","",U144+Inputs!$B$5/Inputs!$B$16*(Inputs!$C$16*(Inputs!$C$28*NGS_Bacteria_Input!$B$15-U144)+Inputs!$D$16*(U15-U144)+Inputs!$E$16*(Inputs!$D$28*NGS_Bacteria_Input!$C$15-U144)))</f>
        <v>999747.17995246721</v>
      </c>
      <c r="W144" s="21">
        <f>IF(V144="","",V144+Inputs!$B$5/Inputs!$B$16*(Inputs!$C$16*(Inputs!$C$28*NGS_Bacteria_Input!$B$15-V144)+Inputs!$D$16*(V15-V144)+Inputs!$E$16*(Inputs!$D$28*NGS_Bacteria_Input!$C$15-V144)))</f>
        <v>980521.4874007504</v>
      </c>
    </row>
    <row r="145" spans="1:23" ht="18" customHeight="1" x14ac:dyDescent="0.25"/>
    <row r="146" spans="1:23" ht="18" customHeight="1" x14ac:dyDescent="0.25">
      <c r="A146" s="25" t="s">
        <v>162</v>
      </c>
    </row>
    <row r="147" spans="1:23" ht="18" customHeight="1" x14ac:dyDescent="0.25">
      <c r="A147" s="11" t="str">
        <f>NGS_Bacteria_Input!A5</f>
        <v>Bac_taxon_1</v>
      </c>
      <c r="B147" s="14">
        <f>IF(BAC_ARC_Daily!AD5&lt;&gt;0,B134/BAC_ARC_Daily!AD5,"")</f>
        <v>0</v>
      </c>
      <c r="C147" s="14">
        <f>IF(BAC_ARC_Daily!AD6&lt;&gt;0,C134/BAC_ARC_Daily!AD6,"")</f>
        <v>0</v>
      </c>
      <c r="D147" s="14">
        <f>IF(BAC_ARC_Daily!AD7&lt;&gt;0,D134/BAC_ARC_Daily!AD7,"")</f>
        <v>0</v>
      </c>
      <c r="E147" s="14">
        <f>IF(BAC_ARC_Daily!AD8&lt;&gt;0,E134/BAC_ARC_Daily!AD8,"")</f>
        <v>0</v>
      </c>
      <c r="F147" s="14">
        <f>IF(BAC_ARC_Daily!AD9&lt;&gt;0,F134/BAC_ARC_Daily!AD9,"")</f>
        <v>0</v>
      </c>
      <c r="G147" s="14">
        <f>IF(BAC_ARC_Daily!AD10&lt;&gt;0,G134/BAC_ARC_Daily!AD10,"")</f>
        <v>0</v>
      </c>
      <c r="H147" s="14">
        <f>IF(BAC_ARC_Daily!AD11&lt;&gt;0,H134/BAC_ARC_Daily!AD11,"")</f>
        <v>0</v>
      </c>
      <c r="I147" s="14">
        <f>IF(BAC_ARC_Daily!AD12&lt;&gt;0,I134/BAC_ARC_Daily!AD12,"")</f>
        <v>0</v>
      </c>
      <c r="J147" s="14">
        <f>IF(BAC_ARC_Daily!AD13&lt;&gt;0,J134/BAC_ARC_Daily!AD13,"")</f>
        <v>0</v>
      </c>
      <c r="K147" s="14">
        <f>IF(BAC_ARC_Daily!AD14&lt;&gt;0,K134/BAC_ARC_Daily!AD14,"")</f>
        <v>0</v>
      </c>
      <c r="L147" s="14">
        <f>IF(BAC_ARC_Daily!AD15&lt;&gt;0,L134/BAC_ARC_Daily!AD15,"")</f>
        <v>0</v>
      </c>
      <c r="M147" s="14">
        <f>IF(BAC_ARC_Daily!AD16&lt;&gt;0,M134/BAC_ARC_Daily!AD16,"")</f>
        <v>0</v>
      </c>
      <c r="N147" s="14">
        <f>IF(BAC_ARC_Daily!AD17&lt;&gt;0,N134/BAC_ARC_Daily!AD17,"")</f>
        <v>0</v>
      </c>
      <c r="O147" s="14">
        <f>IF(BAC_ARC_Daily!AD18&lt;&gt;0,O134/BAC_ARC_Daily!AD18,"")</f>
        <v>0</v>
      </c>
      <c r="P147" s="14">
        <f>IF(BAC_ARC_Daily!AD19&lt;&gt;0,P134/BAC_ARC_Daily!AD19,"")</f>
        <v>0</v>
      </c>
      <c r="Q147" s="14">
        <f>IF(BAC_ARC_Daily!AD20&lt;&gt;0,Q134/BAC_ARC_Daily!AD20,"")</f>
        <v>0</v>
      </c>
      <c r="R147" s="14">
        <f>IF(BAC_ARC_Daily!AD21&lt;&gt;0,R134/BAC_ARC_Daily!AD21,"")</f>
        <v>0</v>
      </c>
      <c r="S147" s="14">
        <f>IF(BAC_ARC_Daily!AD22&lt;&gt;0,S134/BAC_ARC_Daily!AD22,"")</f>
        <v>0</v>
      </c>
      <c r="T147" s="14">
        <f>IF(BAC_ARC_Daily!AD23&lt;&gt;0,T134/BAC_ARC_Daily!AD23,"")</f>
        <v>0</v>
      </c>
      <c r="U147" s="14">
        <f>IF(BAC_ARC_Daily!AD24&lt;&gt;0,U134/BAC_ARC_Daily!AD24,"")</f>
        <v>0</v>
      </c>
      <c r="V147" s="14">
        <f>IF(BAC_ARC_Daily!AD25&lt;&gt;0,V134/BAC_ARC_Daily!AD25,"")</f>
        <v>0</v>
      </c>
      <c r="W147" s="14">
        <f>IF(BAC_ARC_Daily!AD26&lt;&gt;0,W134/BAC_ARC_Daily!AD26,"")</f>
        <v>0</v>
      </c>
    </row>
    <row r="148" spans="1:23" ht="18" customHeight="1" x14ac:dyDescent="0.25">
      <c r="A148" s="11" t="str">
        <f>NGS_Bacteria_Input!A6</f>
        <v>Bac_taxon_2</v>
      </c>
      <c r="B148" s="14">
        <f>IF(BAC_ARC_Daily!AD5&lt;&gt;0,B135/BAC_ARC_Daily!AD5,"")</f>
        <v>0</v>
      </c>
      <c r="C148" s="14">
        <f>IF(BAC_ARC_Daily!AD6&lt;&gt;0,C135/BAC_ARC_Daily!AD6,"")</f>
        <v>0</v>
      </c>
      <c r="D148" s="14">
        <f>IF(BAC_ARC_Daily!AD7&lt;&gt;0,D135/BAC_ARC_Daily!AD7,"")</f>
        <v>0</v>
      </c>
      <c r="E148" s="14">
        <f>IF(BAC_ARC_Daily!AD8&lt;&gt;0,E135/BAC_ARC_Daily!AD8,"")</f>
        <v>0</v>
      </c>
      <c r="F148" s="14">
        <f>IF(BAC_ARC_Daily!AD9&lt;&gt;0,F135/BAC_ARC_Daily!AD9,"")</f>
        <v>0</v>
      </c>
      <c r="G148" s="14">
        <f>IF(BAC_ARC_Daily!AD10&lt;&gt;0,G135/BAC_ARC_Daily!AD10,"")</f>
        <v>0</v>
      </c>
      <c r="H148" s="14">
        <f>IF(BAC_ARC_Daily!AD11&lt;&gt;0,H135/BAC_ARC_Daily!AD11,"")</f>
        <v>0</v>
      </c>
      <c r="I148" s="14">
        <f>IF(BAC_ARC_Daily!AD12&lt;&gt;0,I135/BAC_ARC_Daily!AD12,"")</f>
        <v>0</v>
      </c>
      <c r="J148" s="14">
        <f>IF(BAC_ARC_Daily!AD13&lt;&gt;0,J135/BAC_ARC_Daily!AD13,"")</f>
        <v>0</v>
      </c>
      <c r="K148" s="14">
        <f>IF(BAC_ARC_Daily!AD14&lt;&gt;0,K135/BAC_ARC_Daily!AD14,"")</f>
        <v>0</v>
      </c>
      <c r="L148" s="14">
        <f>IF(BAC_ARC_Daily!AD15&lt;&gt;0,L135/BAC_ARC_Daily!AD15,"")</f>
        <v>0</v>
      </c>
      <c r="M148" s="14">
        <f>IF(BAC_ARC_Daily!AD16&lt;&gt;0,M135/BAC_ARC_Daily!AD16,"")</f>
        <v>0</v>
      </c>
      <c r="N148" s="14">
        <f>IF(BAC_ARC_Daily!AD17&lt;&gt;0,N135/BAC_ARC_Daily!AD17,"")</f>
        <v>0</v>
      </c>
      <c r="O148" s="14">
        <f>IF(BAC_ARC_Daily!AD18&lt;&gt;0,O135/BAC_ARC_Daily!AD18,"")</f>
        <v>0</v>
      </c>
      <c r="P148" s="14">
        <f>IF(BAC_ARC_Daily!AD19&lt;&gt;0,P135/BAC_ARC_Daily!AD19,"")</f>
        <v>0</v>
      </c>
      <c r="Q148" s="14">
        <f>IF(BAC_ARC_Daily!AD20&lt;&gt;0,Q135/BAC_ARC_Daily!AD20,"")</f>
        <v>0</v>
      </c>
      <c r="R148" s="14">
        <f>IF(BAC_ARC_Daily!AD21&lt;&gt;0,R135/BAC_ARC_Daily!AD21,"")</f>
        <v>0</v>
      </c>
      <c r="S148" s="14">
        <f>IF(BAC_ARC_Daily!AD22&lt;&gt;0,S135/BAC_ARC_Daily!AD22,"")</f>
        <v>0</v>
      </c>
      <c r="T148" s="14">
        <f>IF(BAC_ARC_Daily!AD23&lt;&gt;0,T135/BAC_ARC_Daily!AD23,"")</f>
        <v>0</v>
      </c>
      <c r="U148" s="14">
        <f>IF(BAC_ARC_Daily!AD24&lt;&gt;0,U135/BAC_ARC_Daily!AD24,"")</f>
        <v>0</v>
      </c>
      <c r="V148" s="14">
        <f>IF(BAC_ARC_Daily!AD25&lt;&gt;0,V135/BAC_ARC_Daily!AD25,"")</f>
        <v>0</v>
      </c>
      <c r="W148" s="14">
        <f>IF(BAC_ARC_Daily!AD26&lt;&gt;0,W135/BAC_ARC_Daily!AD26,"")</f>
        <v>0</v>
      </c>
    </row>
    <row r="149" spans="1:23" ht="18" customHeight="1" x14ac:dyDescent="0.25">
      <c r="A149" s="11" t="str">
        <f>NGS_Bacteria_Input!A7</f>
        <v>Bac_taxon_3</v>
      </c>
      <c r="B149" s="14">
        <f>IF(BAC_ARC_Daily!AD5&lt;&gt;0,B136/BAC_ARC_Daily!AD5,"")</f>
        <v>0</v>
      </c>
      <c r="C149" s="14">
        <f>IF(BAC_ARC_Daily!AD6&lt;&gt;0,C136/BAC_ARC_Daily!AD6,"")</f>
        <v>0</v>
      </c>
      <c r="D149" s="14">
        <f>IF(BAC_ARC_Daily!AD7&lt;&gt;0,D136/BAC_ARC_Daily!AD7,"")</f>
        <v>0</v>
      </c>
      <c r="E149" s="14">
        <f>IF(BAC_ARC_Daily!AD8&lt;&gt;0,E136/BAC_ARC_Daily!AD8,"")</f>
        <v>0</v>
      </c>
      <c r="F149" s="14">
        <f>IF(BAC_ARC_Daily!AD9&lt;&gt;0,F136/BAC_ARC_Daily!AD9,"")</f>
        <v>0</v>
      </c>
      <c r="G149" s="14">
        <f>IF(BAC_ARC_Daily!AD10&lt;&gt;0,G136/BAC_ARC_Daily!AD10,"")</f>
        <v>0</v>
      </c>
      <c r="H149" s="14">
        <f>IF(BAC_ARC_Daily!AD11&lt;&gt;0,H136/BAC_ARC_Daily!AD11,"")</f>
        <v>0</v>
      </c>
      <c r="I149" s="14">
        <f>IF(BAC_ARC_Daily!AD12&lt;&gt;0,I136/BAC_ARC_Daily!AD12,"")</f>
        <v>0</v>
      </c>
      <c r="J149" s="14">
        <f>IF(BAC_ARC_Daily!AD13&lt;&gt;0,J136/BAC_ARC_Daily!AD13,"")</f>
        <v>0</v>
      </c>
      <c r="K149" s="14">
        <f>IF(BAC_ARC_Daily!AD14&lt;&gt;0,K136/BAC_ARC_Daily!AD14,"")</f>
        <v>0</v>
      </c>
      <c r="L149" s="14">
        <f>IF(BAC_ARC_Daily!AD15&lt;&gt;0,L136/BAC_ARC_Daily!AD15,"")</f>
        <v>0</v>
      </c>
      <c r="M149" s="14">
        <f>IF(BAC_ARC_Daily!AD16&lt;&gt;0,M136/BAC_ARC_Daily!AD16,"")</f>
        <v>0</v>
      </c>
      <c r="N149" s="14">
        <f>IF(BAC_ARC_Daily!AD17&lt;&gt;0,N136/BAC_ARC_Daily!AD17,"")</f>
        <v>0</v>
      </c>
      <c r="O149" s="14">
        <f>IF(BAC_ARC_Daily!AD18&lt;&gt;0,O136/BAC_ARC_Daily!AD18,"")</f>
        <v>0</v>
      </c>
      <c r="P149" s="14">
        <f>IF(BAC_ARC_Daily!AD19&lt;&gt;0,P136/BAC_ARC_Daily!AD19,"")</f>
        <v>0</v>
      </c>
      <c r="Q149" s="14">
        <f>IF(BAC_ARC_Daily!AD20&lt;&gt;0,Q136/BAC_ARC_Daily!AD20,"")</f>
        <v>0</v>
      </c>
      <c r="R149" s="14">
        <f>IF(BAC_ARC_Daily!AD21&lt;&gt;0,R136/BAC_ARC_Daily!AD21,"")</f>
        <v>0</v>
      </c>
      <c r="S149" s="14">
        <f>IF(BAC_ARC_Daily!AD22&lt;&gt;0,S136/BAC_ARC_Daily!AD22,"")</f>
        <v>0</v>
      </c>
      <c r="T149" s="14">
        <f>IF(BAC_ARC_Daily!AD23&lt;&gt;0,T136/BAC_ARC_Daily!AD23,"")</f>
        <v>0</v>
      </c>
      <c r="U149" s="14">
        <f>IF(BAC_ARC_Daily!AD24&lt;&gt;0,U136/BAC_ARC_Daily!AD24,"")</f>
        <v>0</v>
      </c>
      <c r="V149" s="14">
        <f>IF(BAC_ARC_Daily!AD25&lt;&gt;0,V136/BAC_ARC_Daily!AD25,"")</f>
        <v>0</v>
      </c>
      <c r="W149" s="14">
        <f>IF(BAC_ARC_Daily!AD26&lt;&gt;0,W136/BAC_ARC_Daily!AD26,"")</f>
        <v>0</v>
      </c>
    </row>
    <row r="150" spans="1:23" ht="18" customHeight="1" x14ac:dyDescent="0.25">
      <c r="A150" s="11" t="str">
        <f>NGS_Bacteria_Input!A8</f>
        <v>Bac_taxon_4</v>
      </c>
      <c r="B150" s="14">
        <f>IF(BAC_ARC_Daily!AD5&lt;&gt;0,B137/BAC_ARC_Daily!AD5,"")</f>
        <v>0</v>
      </c>
      <c r="C150" s="14">
        <f>IF(BAC_ARC_Daily!AD6&lt;&gt;0,C137/BAC_ARC_Daily!AD6,"")</f>
        <v>0</v>
      </c>
      <c r="D150" s="14">
        <f>IF(BAC_ARC_Daily!AD7&lt;&gt;0,D137/BAC_ARC_Daily!AD7,"")</f>
        <v>0</v>
      </c>
      <c r="E150" s="14">
        <f>IF(BAC_ARC_Daily!AD8&lt;&gt;0,E137/BAC_ARC_Daily!AD8,"")</f>
        <v>0</v>
      </c>
      <c r="F150" s="14">
        <f>IF(BAC_ARC_Daily!AD9&lt;&gt;0,F137/BAC_ARC_Daily!AD9,"")</f>
        <v>0</v>
      </c>
      <c r="G150" s="14">
        <f>IF(BAC_ARC_Daily!AD10&lt;&gt;0,G137/BAC_ARC_Daily!AD10,"")</f>
        <v>0</v>
      </c>
      <c r="H150" s="14">
        <f>IF(BAC_ARC_Daily!AD11&lt;&gt;0,H137/BAC_ARC_Daily!AD11,"")</f>
        <v>0</v>
      </c>
      <c r="I150" s="14">
        <f>IF(BAC_ARC_Daily!AD12&lt;&gt;0,I137/BAC_ARC_Daily!AD12,"")</f>
        <v>0</v>
      </c>
      <c r="J150" s="14">
        <f>IF(BAC_ARC_Daily!AD13&lt;&gt;0,J137/BAC_ARC_Daily!AD13,"")</f>
        <v>0</v>
      </c>
      <c r="K150" s="14">
        <f>IF(BAC_ARC_Daily!AD14&lt;&gt;0,K137/BAC_ARC_Daily!AD14,"")</f>
        <v>0</v>
      </c>
      <c r="L150" s="14">
        <f>IF(BAC_ARC_Daily!AD15&lt;&gt;0,L137/BAC_ARC_Daily!AD15,"")</f>
        <v>0</v>
      </c>
      <c r="M150" s="14">
        <f>IF(BAC_ARC_Daily!AD16&lt;&gt;0,M137/BAC_ARC_Daily!AD16,"")</f>
        <v>0</v>
      </c>
      <c r="N150" s="14">
        <f>IF(BAC_ARC_Daily!AD17&lt;&gt;0,N137/BAC_ARC_Daily!AD17,"")</f>
        <v>0</v>
      </c>
      <c r="O150" s="14">
        <f>IF(BAC_ARC_Daily!AD18&lt;&gt;0,O137/BAC_ARC_Daily!AD18,"")</f>
        <v>0</v>
      </c>
      <c r="P150" s="14">
        <f>IF(BAC_ARC_Daily!AD19&lt;&gt;0,P137/BAC_ARC_Daily!AD19,"")</f>
        <v>0</v>
      </c>
      <c r="Q150" s="14">
        <f>IF(BAC_ARC_Daily!AD20&lt;&gt;0,Q137/BAC_ARC_Daily!AD20,"")</f>
        <v>0</v>
      </c>
      <c r="R150" s="14">
        <f>IF(BAC_ARC_Daily!AD21&lt;&gt;0,R137/BAC_ARC_Daily!AD21,"")</f>
        <v>0</v>
      </c>
      <c r="S150" s="14">
        <f>IF(BAC_ARC_Daily!AD22&lt;&gt;0,S137/BAC_ARC_Daily!AD22,"")</f>
        <v>0</v>
      </c>
      <c r="T150" s="14">
        <f>IF(BAC_ARC_Daily!AD23&lt;&gt;0,T137/BAC_ARC_Daily!AD23,"")</f>
        <v>0</v>
      </c>
      <c r="U150" s="14">
        <f>IF(BAC_ARC_Daily!AD24&lt;&gt;0,U137/BAC_ARC_Daily!AD24,"")</f>
        <v>0</v>
      </c>
      <c r="V150" s="14">
        <f>IF(BAC_ARC_Daily!AD25&lt;&gt;0,V137/BAC_ARC_Daily!AD25,"")</f>
        <v>0</v>
      </c>
      <c r="W150" s="14">
        <f>IF(BAC_ARC_Daily!AD26&lt;&gt;0,W137/BAC_ARC_Daily!AD26,"")</f>
        <v>0</v>
      </c>
    </row>
    <row r="151" spans="1:23" ht="18" customHeight="1" x14ac:dyDescent="0.25">
      <c r="A151" s="11" t="str">
        <f>NGS_Bacteria_Input!A9</f>
        <v>Bac_taxon_5</v>
      </c>
      <c r="B151" s="14">
        <f>IF(BAC_ARC_Daily!AD5&lt;&gt;0,B138/BAC_ARC_Daily!AD5,"")</f>
        <v>0</v>
      </c>
      <c r="C151" s="14">
        <f>IF(BAC_ARC_Daily!AD6&lt;&gt;0,C138/BAC_ARC_Daily!AD6,"")</f>
        <v>0</v>
      </c>
      <c r="D151" s="14">
        <f>IF(BAC_ARC_Daily!AD7&lt;&gt;0,D138/BAC_ARC_Daily!AD7,"")</f>
        <v>0</v>
      </c>
      <c r="E151" s="14">
        <f>IF(BAC_ARC_Daily!AD8&lt;&gt;0,E138/BAC_ARC_Daily!AD8,"")</f>
        <v>0</v>
      </c>
      <c r="F151" s="14">
        <f>IF(BAC_ARC_Daily!AD9&lt;&gt;0,F138/BAC_ARC_Daily!AD9,"")</f>
        <v>0</v>
      </c>
      <c r="G151" s="14">
        <f>IF(BAC_ARC_Daily!AD10&lt;&gt;0,G138/BAC_ARC_Daily!AD10,"")</f>
        <v>0</v>
      </c>
      <c r="H151" s="14">
        <f>IF(BAC_ARC_Daily!AD11&lt;&gt;0,H138/BAC_ARC_Daily!AD11,"")</f>
        <v>0</v>
      </c>
      <c r="I151" s="14">
        <f>IF(BAC_ARC_Daily!AD12&lt;&gt;0,I138/BAC_ARC_Daily!AD12,"")</f>
        <v>0</v>
      </c>
      <c r="J151" s="14">
        <f>IF(BAC_ARC_Daily!AD13&lt;&gt;0,J138/BAC_ARC_Daily!AD13,"")</f>
        <v>0</v>
      </c>
      <c r="K151" s="14">
        <f>IF(BAC_ARC_Daily!AD14&lt;&gt;0,K138/BAC_ARC_Daily!AD14,"")</f>
        <v>0</v>
      </c>
      <c r="L151" s="14">
        <f>IF(BAC_ARC_Daily!AD15&lt;&gt;0,L138/BAC_ARC_Daily!AD15,"")</f>
        <v>0</v>
      </c>
      <c r="M151" s="14">
        <f>IF(BAC_ARC_Daily!AD16&lt;&gt;0,M138/BAC_ARC_Daily!AD16,"")</f>
        <v>0</v>
      </c>
      <c r="N151" s="14">
        <f>IF(BAC_ARC_Daily!AD17&lt;&gt;0,N138/BAC_ARC_Daily!AD17,"")</f>
        <v>0</v>
      </c>
      <c r="O151" s="14">
        <f>IF(BAC_ARC_Daily!AD18&lt;&gt;0,O138/BAC_ARC_Daily!AD18,"")</f>
        <v>0</v>
      </c>
      <c r="P151" s="14">
        <f>IF(BAC_ARC_Daily!AD19&lt;&gt;0,P138/BAC_ARC_Daily!AD19,"")</f>
        <v>0</v>
      </c>
      <c r="Q151" s="14">
        <f>IF(BAC_ARC_Daily!AD20&lt;&gt;0,Q138/BAC_ARC_Daily!AD20,"")</f>
        <v>0</v>
      </c>
      <c r="R151" s="14">
        <f>IF(BAC_ARC_Daily!AD21&lt;&gt;0,R138/BAC_ARC_Daily!AD21,"")</f>
        <v>0</v>
      </c>
      <c r="S151" s="14">
        <f>IF(BAC_ARC_Daily!AD22&lt;&gt;0,S138/BAC_ARC_Daily!AD22,"")</f>
        <v>0</v>
      </c>
      <c r="T151" s="14">
        <f>IF(BAC_ARC_Daily!AD23&lt;&gt;0,T138/BAC_ARC_Daily!AD23,"")</f>
        <v>0</v>
      </c>
      <c r="U151" s="14">
        <f>IF(BAC_ARC_Daily!AD24&lt;&gt;0,U138/BAC_ARC_Daily!AD24,"")</f>
        <v>0</v>
      </c>
      <c r="V151" s="14">
        <f>IF(BAC_ARC_Daily!AD25&lt;&gt;0,V138/BAC_ARC_Daily!AD25,"")</f>
        <v>0</v>
      </c>
      <c r="W151" s="14">
        <f>IF(BAC_ARC_Daily!AD26&lt;&gt;0,W138/BAC_ARC_Daily!AD26,"")</f>
        <v>0</v>
      </c>
    </row>
    <row r="152" spans="1:23" ht="18" customHeight="1" x14ac:dyDescent="0.25">
      <c r="A152" s="11" t="str">
        <f>NGS_Bacteria_Input!A10</f>
        <v>Bac_taxon_6</v>
      </c>
      <c r="B152" s="14">
        <f>IF(BAC_ARC_Daily!AD5&lt;&gt;0,B139/BAC_ARC_Daily!AD5,"")</f>
        <v>0</v>
      </c>
      <c r="C152" s="14">
        <f>IF(BAC_ARC_Daily!AD6&lt;&gt;0,C139/BAC_ARC_Daily!AD6,"")</f>
        <v>0</v>
      </c>
      <c r="D152" s="14">
        <f>IF(BAC_ARC_Daily!AD7&lt;&gt;0,D139/BAC_ARC_Daily!AD7,"")</f>
        <v>0</v>
      </c>
      <c r="E152" s="14">
        <f>IF(BAC_ARC_Daily!AD8&lt;&gt;0,E139/BAC_ARC_Daily!AD8,"")</f>
        <v>0</v>
      </c>
      <c r="F152" s="14">
        <f>IF(BAC_ARC_Daily!AD9&lt;&gt;0,F139/BAC_ARC_Daily!AD9,"")</f>
        <v>0</v>
      </c>
      <c r="G152" s="14">
        <f>IF(BAC_ARC_Daily!AD10&lt;&gt;0,G139/BAC_ARC_Daily!AD10,"")</f>
        <v>0</v>
      </c>
      <c r="H152" s="14">
        <f>IF(BAC_ARC_Daily!AD11&lt;&gt;0,H139/BAC_ARC_Daily!AD11,"")</f>
        <v>0</v>
      </c>
      <c r="I152" s="14">
        <f>IF(BAC_ARC_Daily!AD12&lt;&gt;0,I139/BAC_ARC_Daily!AD12,"")</f>
        <v>0</v>
      </c>
      <c r="J152" s="14">
        <f>IF(BAC_ARC_Daily!AD13&lt;&gt;0,J139/BAC_ARC_Daily!AD13,"")</f>
        <v>0</v>
      </c>
      <c r="K152" s="14">
        <f>IF(BAC_ARC_Daily!AD14&lt;&gt;0,K139/BAC_ARC_Daily!AD14,"")</f>
        <v>0</v>
      </c>
      <c r="L152" s="14">
        <f>IF(BAC_ARC_Daily!AD15&lt;&gt;0,L139/BAC_ARC_Daily!AD15,"")</f>
        <v>0</v>
      </c>
      <c r="M152" s="14">
        <f>IF(BAC_ARC_Daily!AD16&lt;&gt;0,M139/BAC_ARC_Daily!AD16,"")</f>
        <v>0</v>
      </c>
      <c r="N152" s="14">
        <f>IF(BAC_ARC_Daily!AD17&lt;&gt;0,N139/BAC_ARC_Daily!AD17,"")</f>
        <v>0</v>
      </c>
      <c r="O152" s="14">
        <f>IF(BAC_ARC_Daily!AD18&lt;&gt;0,O139/BAC_ARC_Daily!AD18,"")</f>
        <v>0</v>
      </c>
      <c r="P152" s="14">
        <f>IF(BAC_ARC_Daily!AD19&lt;&gt;0,P139/BAC_ARC_Daily!AD19,"")</f>
        <v>0</v>
      </c>
      <c r="Q152" s="14">
        <f>IF(BAC_ARC_Daily!AD20&lt;&gt;0,Q139/BAC_ARC_Daily!AD20,"")</f>
        <v>0</v>
      </c>
      <c r="R152" s="14">
        <f>IF(BAC_ARC_Daily!AD21&lt;&gt;0,R139/BAC_ARC_Daily!AD21,"")</f>
        <v>0</v>
      </c>
      <c r="S152" s="14">
        <f>IF(BAC_ARC_Daily!AD22&lt;&gt;0,S139/BAC_ARC_Daily!AD22,"")</f>
        <v>0</v>
      </c>
      <c r="T152" s="14">
        <f>IF(BAC_ARC_Daily!AD23&lt;&gt;0,T139/BAC_ARC_Daily!AD23,"")</f>
        <v>0</v>
      </c>
      <c r="U152" s="14">
        <f>IF(BAC_ARC_Daily!AD24&lt;&gt;0,U139/BAC_ARC_Daily!AD24,"")</f>
        <v>0</v>
      </c>
      <c r="V152" s="14">
        <f>IF(BAC_ARC_Daily!AD25&lt;&gt;0,V139/BAC_ARC_Daily!AD25,"")</f>
        <v>0</v>
      </c>
      <c r="W152" s="14">
        <f>IF(BAC_ARC_Daily!AD26&lt;&gt;0,W139/BAC_ARC_Daily!AD26,"")</f>
        <v>0</v>
      </c>
    </row>
    <row r="153" spans="1:23" ht="18" customHeight="1" x14ac:dyDescent="0.25">
      <c r="A153" s="11" t="str">
        <f>NGS_Bacteria_Input!A11</f>
        <v>Bac_taxon_7</v>
      </c>
      <c r="B153" s="14">
        <f>IF(BAC_ARC_Daily!AD5&lt;&gt;0,B140/BAC_ARC_Daily!AD5,"")</f>
        <v>0</v>
      </c>
      <c r="C153" s="14">
        <f>IF(BAC_ARC_Daily!AD6&lt;&gt;0,C140/BAC_ARC_Daily!AD6,"")</f>
        <v>0</v>
      </c>
      <c r="D153" s="14">
        <f>IF(BAC_ARC_Daily!AD7&lt;&gt;0,D140/BAC_ARC_Daily!AD7,"")</f>
        <v>0</v>
      </c>
      <c r="E153" s="14">
        <f>IF(BAC_ARC_Daily!AD8&lt;&gt;0,E140/BAC_ARC_Daily!AD8,"")</f>
        <v>0</v>
      </c>
      <c r="F153" s="14">
        <f>IF(BAC_ARC_Daily!AD9&lt;&gt;0,F140/BAC_ARC_Daily!AD9,"")</f>
        <v>0</v>
      </c>
      <c r="G153" s="14">
        <f>IF(BAC_ARC_Daily!AD10&lt;&gt;0,G140/BAC_ARC_Daily!AD10,"")</f>
        <v>0</v>
      </c>
      <c r="H153" s="14">
        <f>IF(BAC_ARC_Daily!AD11&lt;&gt;0,H140/BAC_ARC_Daily!AD11,"")</f>
        <v>0</v>
      </c>
      <c r="I153" s="14">
        <f>IF(BAC_ARC_Daily!AD12&lt;&gt;0,I140/BAC_ARC_Daily!AD12,"")</f>
        <v>0</v>
      </c>
      <c r="J153" s="14">
        <f>IF(BAC_ARC_Daily!AD13&lt;&gt;0,J140/BAC_ARC_Daily!AD13,"")</f>
        <v>0</v>
      </c>
      <c r="K153" s="14">
        <f>IF(BAC_ARC_Daily!AD14&lt;&gt;0,K140/BAC_ARC_Daily!AD14,"")</f>
        <v>0</v>
      </c>
      <c r="L153" s="14">
        <f>IF(BAC_ARC_Daily!AD15&lt;&gt;0,L140/BAC_ARC_Daily!AD15,"")</f>
        <v>0</v>
      </c>
      <c r="M153" s="14">
        <f>IF(BAC_ARC_Daily!AD16&lt;&gt;0,M140/BAC_ARC_Daily!AD16,"")</f>
        <v>0</v>
      </c>
      <c r="N153" s="14">
        <f>IF(BAC_ARC_Daily!AD17&lt;&gt;0,N140/BAC_ARC_Daily!AD17,"")</f>
        <v>0</v>
      </c>
      <c r="O153" s="14">
        <f>IF(BAC_ARC_Daily!AD18&lt;&gt;0,O140/BAC_ARC_Daily!AD18,"")</f>
        <v>0</v>
      </c>
      <c r="P153" s="14">
        <f>IF(BAC_ARC_Daily!AD19&lt;&gt;0,P140/BAC_ARC_Daily!AD19,"")</f>
        <v>0</v>
      </c>
      <c r="Q153" s="14">
        <f>IF(BAC_ARC_Daily!AD20&lt;&gt;0,Q140/BAC_ARC_Daily!AD20,"")</f>
        <v>0</v>
      </c>
      <c r="R153" s="14">
        <f>IF(BAC_ARC_Daily!AD21&lt;&gt;0,R140/BAC_ARC_Daily!AD21,"")</f>
        <v>0</v>
      </c>
      <c r="S153" s="14">
        <f>IF(BAC_ARC_Daily!AD22&lt;&gt;0,S140/BAC_ARC_Daily!AD22,"")</f>
        <v>0</v>
      </c>
      <c r="T153" s="14">
        <f>IF(BAC_ARC_Daily!AD23&lt;&gt;0,T140/BAC_ARC_Daily!AD23,"")</f>
        <v>0</v>
      </c>
      <c r="U153" s="14">
        <f>IF(BAC_ARC_Daily!AD24&lt;&gt;0,U140/BAC_ARC_Daily!AD24,"")</f>
        <v>0</v>
      </c>
      <c r="V153" s="14">
        <f>IF(BAC_ARC_Daily!AD25&lt;&gt;0,V140/BAC_ARC_Daily!AD25,"")</f>
        <v>0</v>
      </c>
      <c r="W153" s="14">
        <f>IF(BAC_ARC_Daily!AD26&lt;&gt;0,W140/BAC_ARC_Daily!AD26,"")</f>
        <v>0</v>
      </c>
    </row>
    <row r="154" spans="1:23" ht="18" customHeight="1" x14ac:dyDescent="0.25">
      <c r="A154" s="11" t="str">
        <f>NGS_Bacteria_Input!A12</f>
        <v>Bac_taxon_8</v>
      </c>
      <c r="B154" s="14">
        <f>IF(BAC_ARC_Daily!AD5&lt;&gt;0,B141/BAC_ARC_Daily!AD5,"")</f>
        <v>0</v>
      </c>
      <c r="C154" s="14">
        <f>IF(BAC_ARC_Daily!AD6&lt;&gt;0,C141/BAC_ARC_Daily!AD6,"")</f>
        <v>0</v>
      </c>
      <c r="D154" s="14">
        <f>IF(BAC_ARC_Daily!AD7&lt;&gt;0,D141/BAC_ARC_Daily!AD7,"")</f>
        <v>0</v>
      </c>
      <c r="E154" s="14">
        <f>IF(BAC_ARC_Daily!AD8&lt;&gt;0,E141/BAC_ARC_Daily!AD8,"")</f>
        <v>0</v>
      </c>
      <c r="F154" s="14">
        <f>IF(BAC_ARC_Daily!AD9&lt;&gt;0,F141/BAC_ARC_Daily!AD9,"")</f>
        <v>0</v>
      </c>
      <c r="G154" s="14">
        <f>IF(BAC_ARC_Daily!AD10&lt;&gt;0,G141/BAC_ARC_Daily!AD10,"")</f>
        <v>0</v>
      </c>
      <c r="H154" s="14">
        <f>IF(BAC_ARC_Daily!AD11&lt;&gt;0,H141/BAC_ARC_Daily!AD11,"")</f>
        <v>0</v>
      </c>
      <c r="I154" s="14">
        <f>IF(BAC_ARC_Daily!AD12&lt;&gt;0,I141/BAC_ARC_Daily!AD12,"")</f>
        <v>0</v>
      </c>
      <c r="J154" s="14">
        <f>IF(BAC_ARC_Daily!AD13&lt;&gt;0,J141/BAC_ARC_Daily!AD13,"")</f>
        <v>0</v>
      </c>
      <c r="K154" s="14">
        <f>IF(BAC_ARC_Daily!AD14&lt;&gt;0,K141/BAC_ARC_Daily!AD14,"")</f>
        <v>0</v>
      </c>
      <c r="L154" s="14">
        <f>IF(BAC_ARC_Daily!AD15&lt;&gt;0,L141/BAC_ARC_Daily!AD15,"")</f>
        <v>0</v>
      </c>
      <c r="M154" s="14">
        <f>IF(BAC_ARC_Daily!AD16&lt;&gt;0,M141/BAC_ARC_Daily!AD16,"")</f>
        <v>0</v>
      </c>
      <c r="N154" s="14">
        <f>IF(BAC_ARC_Daily!AD17&lt;&gt;0,N141/BAC_ARC_Daily!AD17,"")</f>
        <v>0</v>
      </c>
      <c r="O154" s="14">
        <f>IF(BAC_ARC_Daily!AD18&lt;&gt;0,O141/BAC_ARC_Daily!AD18,"")</f>
        <v>0</v>
      </c>
      <c r="P154" s="14">
        <f>IF(BAC_ARC_Daily!AD19&lt;&gt;0,P141/BAC_ARC_Daily!AD19,"")</f>
        <v>0</v>
      </c>
      <c r="Q154" s="14">
        <f>IF(BAC_ARC_Daily!AD20&lt;&gt;0,Q141/BAC_ARC_Daily!AD20,"")</f>
        <v>0</v>
      </c>
      <c r="R154" s="14">
        <f>IF(BAC_ARC_Daily!AD21&lt;&gt;0,R141/BAC_ARC_Daily!AD21,"")</f>
        <v>0</v>
      </c>
      <c r="S154" s="14">
        <f>IF(BAC_ARC_Daily!AD22&lt;&gt;0,S141/BAC_ARC_Daily!AD22,"")</f>
        <v>0</v>
      </c>
      <c r="T154" s="14">
        <f>IF(BAC_ARC_Daily!AD23&lt;&gt;0,T141/BAC_ARC_Daily!AD23,"")</f>
        <v>0</v>
      </c>
      <c r="U154" s="14">
        <f>IF(BAC_ARC_Daily!AD24&lt;&gt;0,U141/BAC_ARC_Daily!AD24,"")</f>
        <v>0</v>
      </c>
      <c r="V154" s="14">
        <f>IF(BAC_ARC_Daily!AD25&lt;&gt;0,V141/BAC_ARC_Daily!AD25,"")</f>
        <v>0</v>
      </c>
      <c r="W154" s="14">
        <f>IF(BAC_ARC_Daily!AD26&lt;&gt;0,W141/BAC_ARC_Daily!AD26,"")</f>
        <v>0</v>
      </c>
    </row>
    <row r="155" spans="1:23" ht="18" customHeight="1" x14ac:dyDescent="0.25">
      <c r="A155" s="11" t="str">
        <f>NGS_Bacteria_Input!A13</f>
        <v>Bac_taxon_9</v>
      </c>
      <c r="B155" s="14">
        <f>IF(BAC_ARC_Daily!AD5&lt;&gt;0,B142/BAC_ARC_Daily!AD5,"")</f>
        <v>0</v>
      </c>
      <c r="C155" s="14">
        <f>IF(BAC_ARC_Daily!AD6&lt;&gt;0,C142/BAC_ARC_Daily!AD6,"")</f>
        <v>0</v>
      </c>
      <c r="D155" s="14">
        <f>IF(BAC_ARC_Daily!AD7&lt;&gt;0,D142/BAC_ARC_Daily!AD7,"")</f>
        <v>0</v>
      </c>
      <c r="E155" s="14">
        <f>IF(BAC_ARC_Daily!AD8&lt;&gt;0,E142/BAC_ARC_Daily!AD8,"")</f>
        <v>0</v>
      </c>
      <c r="F155" s="14">
        <f>IF(BAC_ARC_Daily!AD9&lt;&gt;0,F142/BAC_ARC_Daily!AD9,"")</f>
        <v>0</v>
      </c>
      <c r="G155" s="14">
        <f>IF(BAC_ARC_Daily!AD10&lt;&gt;0,G142/BAC_ARC_Daily!AD10,"")</f>
        <v>0</v>
      </c>
      <c r="H155" s="14">
        <f>IF(BAC_ARC_Daily!AD11&lt;&gt;0,H142/BAC_ARC_Daily!AD11,"")</f>
        <v>0</v>
      </c>
      <c r="I155" s="14">
        <f>IF(BAC_ARC_Daily!AD12&lt;&gt;0,I142/BAC_ARC_Daily!AD12,"")</f>
        <v>0</v>
      </c>
      <c r="J155" s="14">
        <f>IF(BAC_ARC_Daily!AD13&lt;&gt;0,J142/BAC_ARC_Daily!AD13,"")</f>
        <v>0</v>
      </c>
      <c r="K155" s="14">
        <f>IF(BAC_ARC_Daily!AD14&lt;&gt;0,K142/BAC_ARC_Daily!AD14,"")</f>
        <v>0</v>
      </c>
      <c r="L155" s="14">
        <f>IF(BAC_ARC_Daily!AD15&lt;&gt;0,L142/BAC_ARC_Daily!AD15,"")</f>
        <v>0</v>
      </c>
      <c r="M155" s="14">
        <f>IF(BAC_ARC_Daily!AD16&lt;&gt;0,M142/BAC_ARC_Daily!AD16,"")</f>
        <v>0</v>
      </c>
      <c r="N155" s="14">
        <f>IF(BAC_ARC_Daily!AD17&lt;&gt;0,N142/BAC_ARC_Daily!AD17,"")</f>
        <v>0</v>
      </c>
      <c r="O155" s="14">
        <f>IF(BAC_ARC_Daily!AD18&lt;&gt;0,O142/BAC_ARC_Daily!AD18,"")</f>
        <v>0</v>
      </c>
      <c r="P155" s="14">
        <f>IF(BAC_ARC_Daily!AD19&lt;&gt;0,P142/BAC_ARC_Daily!AD19,"")</f>
        <v>0</v>
      </c>
      <c r="Q155" s="14">
        <f>IF(BAC_ARC_Daily!AD20&lt;&gt;0,Q142/BAC_ARC_Daily!AD20,"")</f>
        <v>0</v>
      </c>
      <c r="R155" s="14">
        <f>IF(BAC_ARC_Daily!AD21&lt;&gt;0,R142/BAC_ARC_Daily!AD21,"")</f>
        <v>0</v>
      </c>
      <c r="S155" s="14">
        <f>IF(BAC_ARC_Daily!AD22&lt;&gt;0,S142/BAC_ARC_Daily!AD22,"")</f>
        <v>0</v>
      </c>
      <c r="T155" s="14">
        <f>IF(BAC_ARC_Daily!AD23&lt;&gt;0,T142/BAC_ARC_Daily!AD23,"")</f>
        <v>0</v>
      </c>
      <c r="U155" s="14">
        <f>IF(BAC_ARC_Daily!AD24&lt;&gt;0,U142/BAC_ARC_Daily!AD24,"")</f>
        <v>0</v>
      </c>
      <c r="V155" s="14">
        <f>IF(BAC_ARC_Daily!AD25&lt;&gt;0,V142/BAC_ARC_Daily!AD25,"")</f>
        <v>0</v>
      </c>
      <c r="W155" s="14">
        <f>IF(BAC_ARC_Daily!AD26&lt;&gt;0,W142/BAC_ARC_Daily!AD26,"")</f>
        <v>0</v>
      </c>
    </row>
    <row r="156" spans="1:23" ht="18" customHeight="1" x14ac:dyDescent="0.25">
      <c r="A156" s="11" t="str">
        <f>NGS_Bacteria_Input!A14</f>
        <v>Bac_taxon_10</v>
      </c>
      <c r="B156" s="14">
        <f>IF(BAC_ARC_Daily!AD5&lt;&gt;0,B143/BAC_ARC_Daily!AD5,"")</f>
        <v>0</v>
      </c>
      <c r="C156" s="14">
        <f>IF(BAC_ARC_Daily!AD6&lt;&gt;0,C143/BAC_ARC_Daily!AD6,"")</f>
        <v>0</v>
      </c>
      <c r="D156" s="14">
        <f>IF(BAC_ARC_Daily!AD7&lt;&gt;0,D143/BAC_ARC_Daily!AD7,"")</f>
        <v>0</v>
      </c>
      <c r="E156" s="14">
        <f>IF(BAC_ARC_Daily!AD8&lt;&gt;0,E143/BAC_ARC_Daily!AD8,"")</f>
        <v>0</v>
      </c>
      <c r="F156" s="14">
        <f>IF(BAC_ARC_Daily!AD9&lt;&gt;0,F143/BAC_ARC_Daily!AD9,"")</f>
        <v>0</v>
      </c>
      <c r="G156" s="14">
        <f>IF(BAC_ARC_Daily!AD10&lt;&gt;0,G143/BAC_ARC_Daily!AD10,"")</f>
        <v>0</v>
      </c>
      <c r="H156" s="14">
        <f>IF(BAC_ARC_Daily!AD11&lt;&gt;0,H143/BAC_ARC_Daily!AD11,"")</f>
        <v>0</v>
      </c>
      <c r="I156" s="14">
        <f>IF(BAC_ARC_Daily!AD12&lt;&gt;0,I143/BAC_ARC_Daily!AD12,"")</f>
        <v>0</v>
      </c>
      <c r="J156" s="14">
        <f>IF(BAC_ARC_Daily!AD13&lt;&gt;0,J143/BAC_ARC_Daily!AD13,"")</f>
        <v>0</v>
      </c>
      <c r="K156" s="14">
        <f>IF(BAC_ARC_Daily!AD14&lt;&gt;0,K143/BAC_ARC_Daily!AD14,"")</f>
        <v>0</v>
      </c>
      <c r="L156" s="14">
        <f>IF(BAC_ARC_Daily!AD15&lt;&gt;0,L143/BAC_ARC_Daily!AD15,"")</f>
        <v>0</v>
      </c>
      <c r="M156" s="14">
        <f>IF(BAC_ARC_Daily!AD16&lt;&gt;0,M143/BAC_ARC_Daily!AD16,"")</f>
        <v>0</v>
      </c>
      <c r="N156" s="14">
        <f>IF(BAC_ARC_Daily!AD17&lt;&gt;0,N143/BAC_ARC_Daily!AD17,"")</f>
        <v>0</v>
      </c>
      <c r="O156" s="14">
        <f>IF(BAC_ARC_Daily!AD18&lt;&gt;0,O143/BAC_ARC_Daily!AD18,"")</f>
        <v>0</v>
      </c>
      <c r="P156" s="14">
        <f>IF(BAC_ARC_Daily!AD19&lt;&gt;0,P143/BAC_ARC_Daily!AD19,"")</f>
        <v>0</v>
      </c>
      <c r="Q156" s="14">
        <f>IF(BAC_ARC_Daily!AD20&lt;&gt;0,Q143/BAC_ARC_Daily!AD20,"")</f>
        <v>0</v>
      </c>
      <c r="R156" s="14">
        <f>IF(BAC_ARC_Daily!AD21&lt;&gt;0,R143/BAC_ARC_Daily!AD21,"")</f>
        <v>0</v>
      </c>
      <c r="S156" s="14">
        <f>IF(BAC_ARC_Daily!AD22&lt;&gt;0,S143/BAC_ARC_Daily!AD22,"")</f>
        <v>0</v>
      </c>
      <c r="T156" s="14">
        <f>IF(BAC_ARC_Daily!AD23&lt;&gt;0,T143/BAC_ARC_Daily!AD23,"")</f>
        <v>0</v>
      </c>
      <c r="U156" s="14">
        <f>IF(BAC_ARC_Daily!AD24&lt;&gt;0,U143/BAC_ARC_Daily!AD24,"")</f>
        <v>0</v>
      </c>
      <c r="V156" s="14">
        <f>IF(BAC_ARC_Daily!AD25&lt;&gt;0,V143/BAC_ARC_Daily!AD25,"")</f>
        <v>0</v>
      </c>
      <c r="W156" s="14">
        <f>IF(BAC_ARC_Daily!AD26&lt;&gt;0,W143/BAC_ARC_Daily!AD26,"")</f>
        <v>0</v>
      </c>
    </row>
    <row r="157" spans="1:23" ht="18" customHeight="1" x14ac:dyDescent="0.25">
      <c r="A157" s="11" t="str">
        <f>NGS_Bacteria_Input!A15</f>
        <v>Others</v>
      </c>
      <c r="B157" s="14">
        <f>IF(BAC_ARC_Daily!AD5&lt;&gt;0,B144/BAC_ARC_Daily!AD5,"")</f>
        <v>1</v>
      </c>
      <c r="C157" s="14">
        <f>IF(BAC_ARC_Daily!AD6&lt;&gt;0,C144/BAC_ARC_Daily!AD6,"")</f>
        <v>1</v>
      </c>
      <c r="D157" s="14">
        <f>IF(BAC_ARC_Daily!AD7&lt;&gt;0,D144/BAC_ARC_Daily!AD7,"")</f>
        <v>1</v>
      </c>
      <c r="E157" s="14">
        <f>IF(BAC_ARC_Daily!AD8&lt;&gt;0,E144/BAC_ARC_Daily!AD8,"")</f>
        <v>1</v>
      </c>
      <c r="F157" s="14">
        <f>IF(BAC_ARC_Daily!AD9&lt;&gt;0,F144/BAC_ARC_Daily!AD9,"")</f>
        <v>1</v>
      </c>
      <c r="G157" s="14">
        <f>IF(BAC_ARC_Daily!AD10&lt;&gt;0,G144/BAC_ARC_Daily!AD10,"")</f>
        <v>1</v>
      </c>
      <c r="H157" s="14">
        <f>IF(BAC_ARC_Daily!AD11&lt;&gt;0,H144/BAC_ARC_Daily!AD11,"")</f>
        <v>1</v>
      </c>
      <c r="I157" s="14">
        <f>IF(BAC_ARC_Daily!AD12&lt;&gt;0,I144/BAC_ARC_Daily!AD12,"")</f>
        <v>1</v>
      </c>
      <c r="J157" s="14">
        <f>IF(BAC_ARC_Daily!AD13&lt;&gt;0,J144/BAC_ARC_Daily!AD13,"")</f>
        <v>1</v>
      </c>
      <c r="K157" s="14">
        <f>IF(BAC_ARC_Daily!AD14&lt;&gt;0,K144/BAC_ARC_Daily!AD14,"")</f>
        <v>1</v>
      </c>
      <c r="L157" s="14">
        <f>IF(BAC_ARC_Daily!AD15&lt;&gt;0,L144/BAC_ARC_Daily!AD15,"")</f>
        <v>1</v>
      </c>
      <c r="M157" s="14">
        <f>IF(BAC_ARC_Daily!AD16&lt;&gt;0,M144/BAC_ARC_Daily!AD16,"")</f>
        <v>1</v>
      </c>
      <c r="N157" s="14">
        <f>IF(BAC_ARC_Daily!AD17&lt;&gt;0,N144/BAC_ARC_Daily!AD17,"")</f>
        <v>1</v>
      </c>
      <c r="O157" s="14">
        <f>IF(BAC_ARC_Daily!AD18&lt;&gt;0,O144/BAC_ARC_Daily!AD18,"")</f>
        <v>1</v>
      </c>
      <c r="P157" s="14">
        <f>IF(BAC_ARC_Daily!AD19&lt;&gt;0,P144/BAC_ARC_Daily!AD19,"")</f>
        <v>1</v>
      </c>
      <c r="Q157" s="14">
        <f>IF(BAC_ARC_Daily!AD20&lt;&gt;0,Q144/BAC_ARC_Daily!AD20,"")</f>
        <v>1</v>
      </c>
      <c r="R157" s="14">
        <f>IF(BAC_ARC_Daily!AD21&lt;&gt;0,R144/BAC_ARC_Daily!AD21,"")</f>
        <v>1</v>
      </c>
      <c r="S157" s="14">
        <f>IF(BAC_ARC_Daily!AD22&lt;&gt;0,S144/BAC_ARC_Daily!AD22,"")</f>
        <v>1</v>
      </c>
      <c r="T157" s="14">
        <f>IF(BAC_ARC_Daily!AD23&lt;&gt;0,T144/BAC_ARC_Daily!AD23,"")</f>
        <v>1</v>
      </c>
      <c r="U157" s="14">
        <f>IF(BAC_ARC_Daily!AD24&lt;&gt;0,U144/BAC_ARC_Daily!AD24,"")</f>
        <v>1</v>
      </c>
      <c r="V157" s="14">
        <f>IF(BAC_ARC_Daily!AD25&lt;&gt;0,V144/BAC_ARC_Daily!AD25,"")</f>
        <v>1</v>
      </c>
      <c r="W157" s="14">
        <f>IF(BAC_ARC_Daily!AD26&lt;&gt;0,W144/BAC_ARC_Daily!AD26,"")</f>
        <v>1</v>
      </c>
    </row>
  </sheetData>
  <mergeCells count="7">
    <mergeCell ref="A1:W1"/>
    <mergeCell ref="A132:W132"/>
    <mergeCell ref="A48:W48"/>
    <mergeCell ref="A3:W3"/>
    <mergeCell ref="A20:W20"/>
    <mergeCell ref="A104:W104"/>
    <mergeCell ref="A76:W76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57"/>
  <sheetViews>
    <sheetView showGridLines="0" workbookViewId="0">
      <selection sqref="A1:W1"/>
    </sheetView>
  </sheetViews>
  <sheetFormatPr defaultRowHeight="15" x14ac:dyDescent="0.25"/>
  <cols>
    <col min="1" max="1" width="22" customWidth="1"/>
    <col min="2" max="23" width="10" customWidth="1"/>
  </cols>
  <sheetData>
    <row r="1" spans="1:23" ht="18" customHeight="1" x14ac:dyDescent="0.25">
      <c r="A1" s="31" t="s">
        <v>163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ht="18" customHeight="1" x14ac:dyDescent="0.25">
      <c r="A2" s="4" t="s">
        <v>136</v>
      </c>
    </row>
    <row r="3" spans="1:23" ht="18" customHeight="1" x14ac:dyDescent="0.25">
      <c r="A3" s="29" t="s">
        <v>137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18" customHeight="1" x14ac:dyDescent="0.25">
      <c r="A4" s="10" t="s">
        <v>138</v>
      </c>
      <c r="B4" s="10" t="s">
        <v>139</v>
      </c>
      <c r="C4" s="10" t="s">
        <v>140</v>
      </c>
      <c r="D4" s="10" t="s">
        <v>141</v>
      </c>
      <c r="E4" s="10" t="s">
        <v>142</v>
      </c>
      <c r="F4" s="10" t="s">
        <v>143</v>
      </c>
      <c r="G4" s="10" t="s">
        <v>144</v>
      </c>
      <c r="H4" s="10" t="s">
        <v>145</v>
      </c>
      <c r="I4" s="10" t="s">
        <v>146</v>
      </c>
      <c r="J4" s="10" t="s">
        <v>147</v>
      </c>
      <c r="K4" s="10" t="s">
        <v>148</v>
      </c>
      <c r="L4" s="10" t="s">
        <v>149</v>
      </c>
      <c r="M4" s="10" t="s">
        <v>150</v>
      </c>
      <c r="N4" s="10" t="s">
        <v>151</v>
      </c>
      <c r="O4" s="10" t="s">
        <v>152</v>
      </c>
      <c r="P4" s="10" t="s">
        <v>153</v>
      </c>
      <c r="Q4" s="10" t="s">
        <v>154</v>
      </c>
      <c r="R4" s="10" t="s">
        <v>155</v>
      </c>
      <c r="S4" s="10" t="s">
        <v>156</v>
      </c>
      <c r="T4" s="10" t="s">
        <v>157</v>
      </c>
      <c r="U4" s="10" t="s">
        <v>158</v>
      </c>
      <c r="V4" s="10" t="s">
        <v>159</v>
      </c>
      <c r="W4" s="10" t="s">
        <v>160</v>
      </c>
    </row>
    <row r="5" spans="1:23" ht="18" customHeight="1" x14ac:dyDescent="0.25">
      <c r="A5" s="11" t="str">
        <f>NGS_Archaea_Input!A5</f>
        <v>Arc_taxon_1</v>
      </c>
      <c r="B5" s="21">
        <f>(Inputs!$D$12*Inputs!$I$12*B22+Inputs!$D$13*Inputs!$I$13*B50+Inputs!$D$14*Inputs!$I$14*B78+Inputs!$D$15*Inputs!$I$15*B106+Inputs!$D$16*Inputs!$I$16*B134)/(Inputs!$D$12*Inputs!$I$12+Inputs!$D$13*Inputs!$I$13+Inputs!$D$14*Inputs!$I$14+Inputs!$D$15*Inputs!$I$15+Inputs!$D$16*Inputs!$I$16)</f>
        <v>0</v>
      </c>
      <c r="C5" s="21">
        <f>(Inputs!$D$12*Inputs!$I$12*C22+Inputs!$D$13*Inputs!$I$13*C50+Inputs!$D$14*Inputs!$I$14*C78+Inputs!$D$15*Inputs!$I$15*C106+Inputs!$D$16*Inputs!$I$16*C134)/(Inputs!$D$12*Inputs!$I$12+Inputs!$D$13*Inputs!$I$13+Inputs!$D$14*Inputs!$I$14+Inputs!$D$15*Inputs!$I$15+Inputs!$D$16*Inputs!$I$16)</f>
        <v>0</v>
      </c>
      <c r="D5" s="21">
        <f>(Inputs!$D$12*Inputs!$I$12*D22+Inputs!$D$13*Inputs!$I$13*D50+Inputs!$D$14*Inputs!$I$14*D78+Inputs!$D$15*Inputs!$I$15*D106+Inputs!$D$16*Inputs!$I$16*D134)/(Inputs!$D$12*Inputs!$I$12+Inputs!$D$13*Inputs!$I$13+Inputs!$D$14*Inputs!$I$14+Inputs!$D$15*Inputs!$I$15+Inputs!$D$16*Inputs!$I$16)</f>
        <v>0</v>
      </c>
      <c r="E5" s="21">
        <f>(Inputs!$D$12*Inputs!$I$12*E22+Inputs!$D$13*Inputs!$I$13*E50+Inputs!$D$14*Inputs!$I$14*E78+Inputs!$D$15*Inputs!$I$15*E106+Inputs!$D$16*Inputs!$I$16*E134)/(Inputs!$D$12*Inputs!$I$12+Inputs!$D$13*Inputs!$I$13+Inputs!$D$14*Inputs!$I$14+Inputs!$D$15*Inputs!$I$15+Inputs!$D$16*Inputs!$I$16)</f>
        <v>0</v>
      </c>
      <c r="F5" s="21">
        <f>(Inputs!$D$12*Inputs!$I$12*F22+Inputs!$D$13*Inputs!$I$13*F50+Inputs!$D$14*Inputs!$I$14*F78+Inputs!$D$15*Inputs!$I$15*F106+Inputs!$D$16*Inputs!$I$16*F134)/(Inputs!$D$12*Inputs!$I$12+Inputs!$D$13*Inputs!$I$13+Inputs!$D$14*Inputs!$I$14+Inputs!$D$15*Inputs!$I$15+Inputs!$D$16*Inputs!$I$16)</f>
        <v>0</v>
      </c>
      <c r="G5" s="21">
        <f>(Inputs!$D$12*Inputs!$I$12*G22+Inputs!$D$13*Inputs!$I$13*G50+Inputs!$D$14*Inputs!$I$14*G78+Inputs!$D$15*Inputs!$I$15*G106+Inputs!$D$16*Inputs!$I$16*G134)/(Inputs!$D$12*Inputs!$I$12+Inputs!$D$13*Inputs!$I$13+Inputs!$D$14*Inputs!$I$14+Inputs!$D$15*Inputs!$I$15+Inputs!$D$16*Inputs!$I$16)</f>
        <v>0</v>
      </c>
      <c r="H5" s="21">
        <f>(Inputs!$D$12*Inputs!$I$12*H22+Inputs!$D$13*Inputs!$I$13*H50+Inputs!$D$14*Inputs!$I$14*H78+Inputs!$D$15*Inputs!$I$15*H106+Inputs!$D$16*Inputs!$I$16*H134)/(Inputs!$D$12*Inputs!$I$12+Inputs!$D$13*Inputs!$I$13+Inputs!$D$14*Inputs!$I$14+Inputs!$D$15*Inputs!$I$15+Inputs!$D$16*Inputs!$I$16)</f>
        <v>0</v>
      </c>
      <c r="I5" s="21">
        <f>(Inputs!$D$12*Inputs!$I$12*I22+Inputs!$D$13*Inputs!$I$13*I50+Inputs!$D$14*Inputs!$I$14*I78+Inputs!$D$15*Inputs!$I$15*I106+Inputs!$D$16*Inputs!$I$16*I134)/(Inputs!$D$12*Inputs!$I$12+Inputs!$D$13*Inputs!$I$13+Inputs!$D$14*Inputs!$I$14+Inputs!$D$15*Inputs!$I$15+Inputs!$D$16*Inputs!$I$16)</f>
        <v>0</v>
      </c>
      <c r="J5" s="21">
        <f>(Inputs!$D$12*Inputs!$I$12*J22+Inputs!$D$13*Inputs!$I$13*J50+Inputs!$D$14*Inputs!$I$14*J78+Inputs!$D$15*Inputs!$I$15*J106+Inputs!$D$16*Inputs!$I$16*J134)/(Inputs!$D$12*Inputs!$I$12+Inputs!$D$13*Inputs!$I$13+Inputs!$D$14*Inputs!$I$14+Inputs!$D$15*Inputs!$I$15+Inputs!$D$16*Inputs!$I$16)</f>
        <v>0</v>
      </c>
      <c r="K5" s="21">
        <f>(Inputs!$D$12*Inputs!$I$12*K22+Inputs!$D$13*Inputs!$I$13*K50+Inputs!$D$14*Inputs!$I$14*K78+Inputs!$D$15*Inputs!$I$15*K106+Inputs!$D$16*Inputs!$I$16*K134)/(Inputs!$D$12*Inputs!$I$12+Inputs!$D$13*Inputs!$I$13+Inputs!$D$14*Inputs!$I$14+Inputs!$D$15*Inputs!$I$15+Inputs!$D$16*Inputs!$I$16)</f>
        <v>0</v>
      </c>
      <c r="L5" s="21">
        <f>(Inputs!$D$12*Inputs!$I$12*L22+Inputs!$D$13*Inputs!$I$13*L50+Inputs!$D$14*Inputs!$I$14*L78+Inputs!$D$15*Inputs!$I$15*L106+Inputs!$D$16*Inputs!$I$16*L134)/(Inputs!$D$12*Inputs!$I$12+Inputs!$D$13*Inputs!$I$13+Inputs!$D$14*Inputs!$I$14+Inputs!$D$15*Inputs!$I$15+Inputs!$D$16*Inputs!$I$16)</f>
        <v>0</v>
      </c>
      <c r="M5" s="21">
        <f>(Inputs!$D$12*Inputs!$I$12*M22+Inputs!$D$13*Inputs!$I$13*M50+Inputs!$D$14*Inputs!$I$14*M78+Inputs!$D$15*Inputs!$I$15*M106+Inputs!$D$16*Inputs!$I$16*M134)/(Inputs!$D$12*Inputs!$I$12+Inputs!$D$13*Inputs!$I$13+Inputs!$D$14*Inputs!$I$14+Inputs!$D$15*Inputs!$I$15+Inputs!$D$16*Inputs!$I$16)</f>
        <v>0</v>
      </c>
      <c r="N5" s="21">
        <f>(Inputs!$D$12*Inputs!$I$12*N22+Inputs!$D$13*Inputs!$I$13*N50+Inputs!$D$14*Inputs!$I$14*N78+Inputs!$D$15*Inputs!$I$15*N106+Inputs!$D$16*Inputs!$I$16*N134)/(Inputs!$D$12*Inputs!$I$12+Inputs!$D$13*Inputs!$I$13+Inputs!$D$14*Inputs!$I$14+Inputs!$D$15*Inputs!$I$15+Inputs!$D$16*Inputs!$I$16)</f>
        <v>0</v>
      </c>
      <c r="O5" s="21">
        <f>(Inputs!$D$12*Inputs!$I$12*O22+Inputs!$D$13*Inputs!$I$13*O50+Inputs!$D$14*Inputs!$I$14*O78+Inputs!$D$15*Inputs!$I$15*O106+Inputs!$D$16*Inputs!$I$16*O134)/(Inputs!$D$12*Inputs!$I$12+Inputs!$D$13*Inputs!$I$13+Inputs!$D$14*Inputs!$I$14+Inputs!$D$15*Inputs!$I$15+Inputs!$D$16*Inputs!$I$16)</f>
        <v>0</v>
      </c>
      <c r="P5" s="21">
        <f>(Inputs!$D$12*Inputs!$I$12*P22+Inputs!$D$13*Inputs!$I$13*P50+Inputs!$D$14*Inputs!$I$14*P78+Inputs!$D$15*Inputs!$I$15*P106+Inputs!$D$16*Inputs!$I$16*P134)/(Inputs!$D$12*Inputs!$I$12+Inputs!$D$13*Inputs!$I$13+Inputs!$D$14*Inputs!$I$14+Inputs!$D$15*Inputs!$I$15+Inputs!$D$16*Inputs!$I$16)</f>
        <v>0</v>
      </c>
      <c r="Q5" s="21">
        <f>(Inputs!$D$12*Inputs!$I$12*Q22+Inputs!$D$13*Inputs!$I$13*Q50+Inputs!$D$14*Inputs!$I$14*Q78+Inputs!$D$15*Inputs!$I$15*Q106+Inputs!$D$16*Inputs!$I$16*Q134)/(Inputs!$D$12*Inputs!$I$12+Inputs!$D$13*Inputs!$I$13+Inputs!$D$14*Inputs!$I$14+Inputs!$D$15*Inputs!$I$15+Inputs!$D$16*Inputs!$I$16)</f>
        <v>0</v>
      </c>
      <c r="R5" s="21">
        <f>(Inputs!$D$12*Inputs!$I$12*R22+Inputs!$D$13*Inputs!$I$13*R50+Inputs!$D$14*Inputs!$I$14*R78+Inputs!$D$15*Inputs!$I$15*R106+Inputs!$D$16*Inputs!$I$16*R134)/(Inputs!$D$12*Inputs!$I$12+Inputs!$D$13*Inputs!$I$13+Inputs!$D$14*Inputs!$I$14+Inputs!$D$15*Inputs!$I$15+Inputs!$D$16*Inputs!$I$16)</f>
        <v>0</v>
      </c>
      <c r="S5" s="21">
        <f>(Inputs!$D$12*Inputs!$I$12*S22+Inputs!$D$13*Inputs!$I$13*S50+Inputs!$D$14*Inputs!$I$14*S78+Inputs!$D$15*Inputs!$I$15*S106+Inputs!$D$16*Inputs!$I$16*S134)/(Inputs!$D$12*Inputs!$I$12+Inputs!$D$13*Inputs!$I$13+Inputs!$D$14*Inputs!$I$14+Inputs!$D$15*Inputs!$I$15+Inputs!$D$16*Inputs!$I$16)</f>
        <v>0</v>
      </c>
      <c r="T5" s="21">
        <f>(Inputs!$D$12*Inputs!$I$12*T22+Inputs!$D$13*Inputs!$I$13*T50+Inputs!$D$14*Inputs!$I$14*T78+Inputs!$D$15*Inputs!$I$15*T106+Inputs!$D$16*Inputs!$I$16*T134)/(Inputs!$D$12*Inputs!$I$12+Inputs!$D$13*Inputs!$I$13+Inputs!$D$14*Inputs!$I$14+Inputs!$D$15*Inputs!$I$15+Inputs!$D$16*Inputs!$I$16)</f>
        <v>0</v>
      </c>
      <c r="U5" s="21">
        <f>(Inputs!$D$12*Inputs!$I$12*U22+Inputs!$D$13*Inputs!$I$13*U50+Inputs!$D$14*Inputs!$I$14*U78+Inputs!$D$15*Inputs!$I$15*U106+Inputs!$D$16*Inputs!$I$16*U134)/(Inputs!$D$12*Inputs!$I$12+Inputs!$D$13*Inputs!$I$13+Inputs!$D$14*Inputs!$I$14+Inputs!$D$15*Inputs!$I$15+Inputs!$D$16*Inputs!$I$16)</f>
        <v>0</v>
      </c>
      <c r="V5" s="21">
        <f>(Inputs!$D$12*Inputs!$I$12*V22+Inputs!$D$13*Inputs!$I$13*V50+Inputs!$D$14*Inputs!$I$14*V78+Inputs!$D$15*Inputs!$I$15*V106+Inputs!$D$16*Inputs!$I$16*V134)/(Inputs!$D$12*Inputs!$I$12+Inputs!$D$13*Inputs!$I$13+Inputs!$D$14*Inputs!$I$14+Inputs!$D$15*Inputs!$I$15+Inputs!$D$16*Inputs!$I$16)</f>
        <v>0</v>
      </c>
      <c r="W5" s="21">
        <f>(Inputs!$D$12*Inputs!$I$12*W22+Inputs!$D$13*Inputs!$I$13*W50+Inputs!$D$14*Inputs!$I$14*W78+Inputs!$D$15*Inputs!$I$15*W106+Inputs!$D$16*Inputs!$I$16*W134)/(Inputs!$D$12*Inputs!$I$12+Inputs!$D$13*Inputs!$I$13+Inputs!$D$14*Inputs!$I$14+Inputs!$D$15*Inputs!$I$15+Inputs!$D$16*Inputs!$I$16)</f>
        <v>0</v>
      </c>
    </row>
    <row r="6" spans="1:23" ht="18" customHeight="1" x14ac:dyDescent="0.25">
      <c r="A6" s="11" t="str">
        <f>NGS_Archaea_Input!A6</f>
        <v>Arc_taxon_2</v>
      </c>
      <c r="B6" s="21">
        <f>(Inputs!$D$12*Inputs!$I$12*B23+Inputs!$D$13*Inputs!$I$13*B51+Inputs!$D$14*Inputs!$I$14*B79+Inputs!$D$15*Inputs!$I$15*B107+Inputs!$D$16*Inputs!$I$16*B135)/(Inputs!$D$12*Inputs!$I$12+Inputs!$D$13*Inputs!$I$13+Inputs!$D$14*Inputs!$I$14+Inputs!$D$15*Inputs!$I$15+Inputs!$D$16*Inputs!$I$16)</f>
        <v>0</v>
      </c>
      <c r="C6" s="21">
        <f>(Inputs!$D$12*Inputs!$I$12*C23+Inputs!$D$13*Inputs!$I$13*C51+Inputs!$D$14*Inputs!$I$14*C79+Inputs!$D$15*Inputs!$I$15*C107+Inputs!$D$16*Inputs!$I$16*C135)/(Inputs!$D$12*Inputs!$I$12+Inputs!$D$13*Inputs!$I$13+Inputs!$D$14*Inputs!$I$14+Inputs!$D$15*Inputs!$I$15+Inputs!$D$16*Inputs!$I$16)</f>
        <v>0</v>
      </c>
      <c r="D6" s="21">
        <f>(Inputs!$D$12*Inputs!$I$12*D23+Inputs!$D$13*Inputs!$I$13*D51+Inputs!$D$14*Inputs!$I$14*D79+Inputs!$D$15*Inputs!$I$15*D107+Inputs!$D$16*Inputs!$I$16*D135)/(Inputs!$D$12*Inputs!$I$12+Inputs!$D$13*Inputs!$I$13+Inputs!$D$14*Inputs!$I$14+Inputs!$D$15*Inputs!$I$15+Inputs!$D$16*Inputs!$I$16)</f>
        <v>0</v>
      </c>
      <c r="E6" s="21">
        <f>(Inputs!$D$12*Inputs!$I$12*E23+Inputs!$D$13*Inputs!$I$13*E51+Inputs!$D$14*Inputs!$I$14*E79+Inputs!$D$15*Inputs!$I$15*E107+Inputs!$D$16*Inputs!$I$16*E135)/(Inputs!$D$12*Inputs!$I$12+Inputs!$D$13*Inputs!$I$13+Inputs!$D$14*Inputs!$I$14+Inputs!$D$15*Inputs!$I$15+Inputs!$D$16*Inputs!$I$16)</f>
        <v>0</v>
      </c>
      <c r="F6" s="21">
        <f>(Inputs!$D$12*Inputs!$I$12*F23+Inputs!$D$13*Inputs!$I$13*F51+Inputs!$D$14*Inputs!$I$14*F79+Inputs!$D$15*Inputs!$I$15*F107+Inputs!$D$16*Inputs!$I$16*F135)/(Inputs!$D$12*Inputs!$I$12+Inputs!$D$13*Inputs!$I$13+Inputs!$D$14*Inputs!$I$14+Inputs!$D$15*Inputs!$I$15+Inputs!$D$16*Inputs!$I$16)</f>
        <v>0</v>
      </c>
      <c r="G6" s="21">
        <f>(Inputs!$D$12*Inputs!$I$12*G23+Inputs!$D$13*Inputs!$I$13*G51+Inputs!$D$14*Inputs!$I$14*G79+Inputs!$D$15*Inputs!$I$15*G107+Inputs!$D$16*Inputs!$I$16*G135)/(Inputs!$D$12*Inputs!$I$12+Inputs!$D$13*Inputs!$I$13+Inputs!$D$14*Inputs!$I$14+Inputs!$D$15*Inputs!$I$15+Inputs!$D$16*Inputs!$I$16)</f>
        <v>0</v>
      </c>
      <c r="H6" s="21">
        <f>(Inputs!$D$12*Inputs!$I$12*H23+Inputs!$D$13*Inputs!$I$13*H51+Inputs!$D$14*Inputs!$I$14*H79+Inputs!$D$15*Inputs!$I$15*H107+Inputs!$D$16*Inputs!$I$16*H135)/(Inputs!$D$12*Inputs!$I$12+Inputs!$D$13*Inputs!$I$13+Inputs!$D$14*Inputs!$I$14+Inputs!$D$15*Inputs!$I$15+Inputs!$D$16*Inputs!$I$16)</f>
        <v>0</v>
      </c>
      <c r="I6" s="21">
        <f>(Inputs!$D$12*Inputs!$I$12*I23+Inputs!$D$13*Inputs!$I$13*I51+Inputs!$D$14*Inputs!$I$14*I79+Inputs!$D$15*Inputs!$I$15*I107+Inputs!$D$16*Inputs!$I$16*I135)/(Inputs!$D$12*Inputs!$I$12+Inputs!$D$13*Inputs!$I$13+Inputs!$D$14*Inputs!$I$14+Inputs!$D$15*Inputs!$I$15+Inputs!$D$16*Inputs!$I$16)</f>
        <v>0</v>
      </c>
      <c r="J6" s="21">
        <f>(Inputs!$D$12*Inputs!$I$12*J23+Inputs!$D$13*Inputs!$I$13*J51+Inputs!$D$14*Inputs!$I$14*J79+Inputs!$D$15*Inputs!$I$15*J107+Inputs!$D$16*Inputs!$I$16*J135)/(Inputs!$D$12*Inputs!$I$12+Inputs!$D$13*Inputs!$I$13+Inputs!$D$14*Inputs!$I$14+Inputs!$D$15*Inputs!$I$15+Inputs!$D$16*Inputs!$I$16)</f>
        <v>0</v>
      </c>
      <c r="K6" s="21">
        <f>(Inputs!$D$12*Inputs!$I$12*K23+Inputs!$D$13*Inputs!$I$13*K51+Inputs!$D$14*Inputs!$I$14*K79+Inputs!$D$15*Inputs!$I$15*K107+Inputs!$D$16*Inputs!$I$16*K135)/(Inputs!$D$12*Inputs!$I$12+Inputs!$D$13*Inputs!$I$13+Inputs!$D$14*Inputs!$I$14+Inputs!$D$15*Inputs!$I$15+Inputs!$D$16*Inputs!$I$16)</f>
        <v>0</v>
      </c>
      <c r="L6" s="21">
        <f>(Inputs!$D$12*Inputs!$I$12*L23+Inputs!$D$13*Inputs!$I$13*L51+Inputs!$D$14*Inputs!$I$14*L79+Inputs!$D$15*Inputs!$I$15*L107+Inputs!$D$16*Inputs!$I$16*L135)/(Inputs!$D$12*Inputs!$I$12+Inputs!$D$13*Inputs!$I$13+Inputs!$D$14*Inputs!$I$14+Inputs!$D$15*Inputs!$I$15+Inputs!$D$16*Inputs!$I$16)</f>
        <v>0</v>
      </c>
      <c r="M6" s="21">
        <f>(Inputs!$D$12*Inputs!$I$12*M23+Inputs!$D$13*Inputs!$I$13*M51+Inputs!$D$14*Inputs!$I$14*M79+Inputs!$D$15*Inputs!$I$15*M107+Inputs!$D$16*Inputs!$I$16*M135)/(Inputs!$D$12*Inputs!$I$12+Inputs!$D$13*Inputs!$I$13+Inputs!$D$14*Inputs!$I$14+Inputs!$D$15*Inputs!$I$15+Inputs!$D$16*Inputs!$I$16)</f>
        <v>0</v>
      </c>
      <c r="N6" s="21">
        <f>(Inputs!$D$12*Inputs!$I$12*N23+Inputs!$D$13*Inputs!$I$13*N51+Inputs!$D$14*Inputs!$I$14*N79+Inputs!$D$15*Inputs!$I$15*N107+Inputs!$D$16*Inputs!$I$16*N135)/(Inputs!$D$12*Inputs!$I$12+Inputs!$D$13*Inputs!$I$13+Inputs!$D$14*Inputs!$I$14+Inputs!$D$15*Inputs!$I$15+Inputs!$D$16*Inputs!$I$16)</f>
        <v>0</v>
      </c>
      <c r="O6" s="21">
        <f>(Inputs!$D$12*Inputs!$I$12*O23+Inputs!$D$13*Inputs!$I$13*O51+Inputs!$D$14*Inputs!$I$14*O79+Inputs!$D$15*Inputs!$I$15*O107+Inputs!$D$16*Inputs!$I$16*O135)/(Inputs!$D$12*Inputs!$I$12+Inputs!$D$13*Inputs!$I$13+Inputs!$D$14*Inputs!$I$14+Inputs!$D$15*Inputs!$I$15+Inputs!$D$16*Inputs!$I$16)</f>
        <v>0</v>
      </c>
      <c r="P6" s="21">
        <f>(Inputs!$D$12*Inputs!$I$12*P23+Inputs!$D$13*Inputs!$I$13*P51+Inputs!$D$14*Inputs!$I$14*P79+Inputs!$D$15*Inputs!$I$15*P107+Inputs!$D$16*Inputs!$I$16*P135)/(Inputs!$D$12*Inputs!$I$12+Inputs!$D$13*Inputs!$I$13+Inputs!$D$14*Inputs!$I$14+Inputs!$D$15*Inputs!$I$15+Inputs!$D$16*Inputs!$I$16)</f>
        <v>0</v>
      </c>
      <c r="Q6" s="21">
        <f>(Inputs!$D$12*Inputs!$I$12*Q23+Inputs!$D$13*Inputs!$I$13*Q51+Inputs!$D$14*Inputs!$I$14*Q79+Inputs!$D$15*Inputs!$I$15*Q107+Inputs!$D$16*Inputs!$I$16*Q135)/(Inputs!$D$12*Inputs!$I$12+Inputs!$D$13*Inputs!$I$13+Inputs!$D$14*Inputs!$I$14+Inputs!$D$15*Inputs!$I$15+Inputs!$D$16*Inputs!$I$16)</f>
        <v>0</v>
      </c>
      <c r="R6" s="21">
        <f>(Inputs!$D$12*Inputs!$I$12*R23+Inputs!$D$13*Inputs!$I$13*R51+Inputs!$D$14*Inputs!$I$14*R79+Inputs!$D$15*Inputs!$I$15*R107+Inputs!$D$16*Inputs!$I$16*R135)/(Inputs!$D$12*Inputs!$I$12+Inputs!$D$13*Inputs!$I$13+Inputs!$D$14*Inputs!$I$14+Inputs!$D$15*Inputs!$I$15+Inputs!$D$16*Inputs!$I$16)</f>
        <v>0</v>
      </c>
      <c r="S6" s="21">
        <f>(Inputs!$D$12*Inputs!$I$12*S23+Inputs!$D$13*Inputs!$I$13*S51+Inputs!$D$14*Inputs!$I$14*S79+Inputs!$D$15*Inputs!$I$15*S107+Inputs!$D$16*Inputs!$I$16*S135)/(Inputs!$D$12*Inputs!$I$12+Inputs!$D$13*Inputs!$I$13+Inputs!$D$14*Inputs!$I$14+Inputs!$D$15*Inputs!$I$15+Inputs!$D$16*Inputs!$I$16)</f>
        <v>0</v>
      </c>
      <c r="T6" s="21">
        <f>(Inputs!$D$12*Inputs!$I$12*T23+Inputs!$D$13*Inputs!$I$13*T51+Inputs!$D$14*Inputs!$I$14*T79+Inputs!$D$15*Inputs!$I$15*T107+Inputs!$D$16*Inputs!$I$16*T135)/(Inputs!$D$12*Inputs!$I$12+Inputs!$D$13*Inputs!$I$13+Inputs!$D$14*Inputs!$I$14+Inputs!$D$15*Inputs!$I$15+Inputs!$D$16*Inputs!$I$16)</f>
        <v>0</v>
      </c>
      <c r="U6" s="21">
        <f>(Inputs!$D$12*Inputs!$I$12*U23+Inputs!$D$13*Inputs!$I$13*U51+Inputs!$D$14*Inputs!$I$14*U79+Inputs!$D$15*Inputs!$I$15*U107+Inputs!$D$16*Inputs!$I$16*U135)/(Inputs!$D$12*Inputs!$I$12+Inputs!$D$13*Inputs!$I$13+Inputs!$D$14*Inputs!$I$14+Inputs!$D$15*Inputs!$I$15+Inputs!$D$16*Inputs!$I$16)</f>
        <v>0</v>
      </c>
      <c r="V6" s="21">
        <f>(Inputs!$D$12*Inputs!$I$12*V23+Inputs!$D$13*Inputs!$I$13*V51+Inputs!$D$14*Inputs!$I$14*V79+Inputs!$D$15*Inputs!$I$15*V107+Inputs!$D$16*Inputs!$I$16*V135)/(Inputs!$D$12*Inputs!$I$12+Inputs!$D$13*Inputs!$I$13+Inputs!$D$14*Inputs!$I$14+Inputs!$D$15*Inputs!$I$15+Inputs!$D$16*Inputs!$I$16)</f>
        <v>0</v>
      </c>
      <c r="W6" s="21">
        <f>(Inputs!$D$12*Inputs!$I$12*W23+Inputs!$D$13*Inputs!$I$13*W51+Inputs!$D$14*Inputs!$I$14*W79+Inputs!$D$15*Inputs!$I$15*W107+Inputs!$D$16*Inputs!$I$16*W135)/(Inputs!$D$12*Inputs!$I$12+Inputs!$D$13*Inputs!$I$13+Inputs!$D$14*Inputs!$I$14+Inputs!$D$15*Inputs!$I$15+Inputs!$D$16*Inputs!$I$16)</f>
        <v>0</v>
      </c>
    </row>
    <row r="7" spans="1:23" ht="18" customHeight="1" x14ac:dyDescent="0.25">
      <c r="A7" s="11" t="str">
        <f>NGS_Archaea_Input!A7</f>
        <v>Arc_taxon_3</v>
      </c>
      <c r="B7" s="21">
        <f>(Inputs!$D$12*Inputs!$I$12*B24+Inputs!$D$13*Inputs!$I$13*B52+Inputs!$D$14*Inputs!$I$14*B80+Inputs!$D$15*Inputs!$I$15*B108+Inputs!$D$16*Inputs!$I$16*B136)/(Inputs!$D$12*Inputs!$I$12+Inputs!$D$13*Inputs!$I$13+Inputs!$D$14*Inputs!$I$14+Inputs!$D$15*Inputs!$I$15+Inputs!$D$16*Inputs!$I$16)</f>
        <v>0</v>
      </c>
      <c r="C7" s="21">
        <f>(Inputs!$D$12*Inputs!$I$12*C24+Inputs!$D$13*Inputs!$I$13*C52+Inputs!$D$14*Inputs!$I$14*C80+Inputs!$D$15*Inputs!$I$15*C108+Inputs!$D$16*Inputs!$I$16*C136)/(Inputs!$D$12*Inputs!$I$12+Inputs!$D$13*Inputs!$I$13+Inputs!$D$14*Inputs!$I$14+Inputs!$D$15*Inputs!$I$15+Inputs!$D$16*Inputs!$I$16)</f>
        <v>0</v>
      </c>
      <c r="D7" s="21">
        <f>(Inputs!$D$12*Inputs!$I$12*D24+Inputs!$D$13*Inputs!$I$13*D52+Inputs!$D$14*Inputs!$I$14*D80+Inputs!$D$15*Inputs!$I$15*D108+Inputs!$D$16*Inputs!$I$16*D136)/(Inputs!$D$12*Inputs!$I$12+Inputs!$D$13*Inputs!$I$13+Inputs!$D$14*Inputs!$I$14+Inputs!$D$15*Inputs!$I$15+Inputs!$D$16*Inputs!$I$16)</f>
        <v>0</v>
      </c>
      <c r="E7" s="21">
        <f>(Inputs!$D$12*Inputs!$I$12*E24+Inputs!$D$13*Inputs!$I$13*E52+Inputs!$D$14*Inputs!$I$14*E80+Inputs!$D$15*Inputs!$I$15*E108+Inputs!$D$16*Inputs!$I$16*E136)/(Inputs!$D$12*Inputs!$I$12+Inputs!$D$13*Inputs!$I$13+Inputs!$D$14*Inputs!$I$14+Inputs!$D$15*Inputs!$I$15+Inputs!$D$16*Inputs!$I$16)</f>
        <v>0</v>
      </c>
      <c r="F7" s="21">
        <f>(Inputs!$D$12*Inputs!$I$12*F24+Inputs!$D$13*Inputs!$I$13*F52+Inputs!$D$14*Inputs!$I$14*F80+Inputs!$D$15*Inputs!$I$15*F108+Inputs!$D$16*Inputs!$I$16*F136)/(Inputs!$D$12*Inputs!$I$12+Inputs!$D$13*Inputs!$I$13+Inputs!$D$14*Inputs!$I$14+Inputs!$D$15*Inputs!$I$15+Inputs!$D$16*Inputs!$I$16)</f>
        <v>0</v>
      </c>
      <c r="G7" s="21">
        <f>(Inputs!$D$12*Inputs!$I$12*G24+Inputs!$D$13*Inputs!$I$13*G52+Inputs!$D$14*Inputs!$I$14*G80+Inputs!$D$15*Inputs!$I$15*G108+Inputs!$D$16*Inputs!$I$16*G136)/(Inputs!$D$12*Inputs!$I$12+Inputs!$D$13*Inputs!$I$13+Inputs!$D$14*Inputs!$I$14+Inputs!$D$15*Inputs!$I$15+Inputs!$D$16*Inputs!$I$16)</f>
        <v>0</v>
      </c>
      <c r="H7" s="21">
        <f>(Inputs!$D$12*Inputs!$I$12*H24+Inputs!$D$13*Inputs!$I$13*H52+Inputs!$D$14*Inputs!$I$14*H80+Inputs!$D$15*Inputs!$I$15*H108+Inputs!$D$16*Inputs!$I$16*H136)/(Inputs!$D$12*Inputs!$I$12+Inputs!$D$13*Inputs!$I$13+Inputs!$D$14*Inputs!$I$14+Inputs!$D$15*Inputs!$I$15+Inputs!$D$16*Inputs!$I$16)</f>
        <v>0</v>
      </c>
      <c r="I7" s="21">
        <f>(Inputs!$D$12*Inputs!$I$12*I24+Inputs!$D$13*Inputs!$I$13*I52+Inputs!$D$14*Inputs!$I$14*I80+Inputs!$D$15*Inputs!$I$15*I108+Inputs!$D$16*Inputs!$I$16*I136)/(Inputs!$D$12*Inputs!$I$12+Inputs!$D$13*Inputs!$I$13+Inputs!$D$14*Inputs!$I$14+Inputs!$D$15*Inputs!$I$15+Inputs!$D$16*Inputs!$I$16)</f>
        <v>0</v>
      </c>
      <c r="J7" s="21">
        <f>(Inputs!$D$12*Inputs!$I$12*J24+Inputs!$D$13*Inputs!$I$13*J52+Inputs!$D$14*Inputs!$I$14*J80+Inputs!$D$15*Inputs!$I$15*J108+Inputs!$D$16*Inputs!$I$16*J136)/(Inputs!$D$12*Inputs!$I$12+Inputs!$D$13*Inputs!$I$13+Inputs!$D$14*Inputs!$I$14+Inputs!$D$15*Inputs!$I$15+Inputs!$D$16*Inputs!$I$16)</f>
        <v>0</v>
      </c>
      <c r="K7" s="21">
        <f>(Inputs!$D$12*Inputs!$I$12*K24+Inputs!$D$13*Inputs!$I$13*K52+Inputs!$D$14*Inputs!$I$14*K80+Inputs!$D$15*Inputs!$I$15*K108+Inputs!$D$16*Inputs!$I$16*K136)/(Inputs!$D$12*Inputs!$I$12+Inputs!$D$13*Inputs!$I$13+Inputs!$D$14*Inputs!$I$14+Inputs!$D$15*Inputs!$I$15+Inputs!$D$16*Inputs!$I$16)</f>
        <v>0</v>
      </c>
      <c r="L7" s="21">
        <f>(Inputs!$D$12*Inputs!$I$12*L24+Inputs!$D$13*Inputs!$I$13*L52+Inputs!$D$14*Inputs!$I$14*L80+Inputs!$D$15*Inputs!$I$15*L108+Inputs!$D$16*Inputs!$I$16*L136)/(Inputs!$D$12*Inputs!$I$12+Inputs!$D$13*Inputs!$I$13+Inputs!$D$14*Inputs!$I$14+Inputs!$D$15*Inputs!$I$15+Inputs!$D$16*Inputs!$I$16)</f>
        <v>0</v>
      </c>
      <c r="M7" s="21">
        <f>(Inputs!$D$12*Inputs!$I$12*M24+Inputs!$D$13*Inputs!$I$13*M52+Inputs!$D$14*Inputs!$I$14*M80+Inputs!$D$15*Inputs!$I$15*M108+Inputs!$D$16*Inputs!$I$16*M136)/(Inputs!$D$12*Inputs!$I$12+Inputs!$D$13*Inputs!$I$13+Inputs!$D$14*Inputs!$I$14+Inputs!$D$15*Inputs!$I$15+Inputs!$D$16*Inputs!$I$16)</f>
        <v>0</v>
      </c>
      <c r="N7" s="21">
        <f>(Inputs!$D$12*Inputs!$I$12*N24+Inputs!$D$13*Inputs!$I$13*N52+Inputs!$D$14*Inputs!$I$14*N80+Inputs!$D$15*Inputs!$I$15*N108+Inputs!$D$16*Inputs!$I$16*N136)/(Inputs!$D$12*Inputs!$I$12+Inputs!$D$13*Inputs!$I$13+Inputs!$D$14*Inputs!$I$14+Inputs!$D$15*Inputs!$I$15+Inputs!$D$16*Inputs!$I$16)</f>
        <v>0</v>
      </c>
      <c r="O7" s="21">
        <f>(Inputs!$D$12*Inputs!$I$12*O24+Inputs!$D$13*Inputs!$I$13*O52+Inputs!$D$14*Inputs!$I$14*O80+Inputs!$D$15*Inputs!$I$15*O108+Inputs!$D$16*Inputs!$I$16*O136)/(Inputs!$D$12*Inputs!$I$12+Inputs!$D$13*Inputs!$I$13+Inputs!$D$14*Inputs!$I$14+Inputs!$D$15*Inputs!$I$15+Inputs!$D$16*Inputs!$I$16)</f>
        <v>0</v>
      </c>
      <c r="P7" s="21">
        <f>(Inputs!$D$12*Inputs!$I$12*P24+Inputs!$D$13*Inputs!$I$13*P52+Inputs!$D$14*Inputs!$I$14*P80+Inputs!$D$15*Inputs!$I$15*P108+Inputs!$D$16*Inputs!$I$16*P136)/(Inputs!$D$12*Inputs!$I$12+Inputs!$D$13*Inputs!$I$13+Inputs!$D$14*Inputs!$I$14+Inputs!$D$15*Inputs!$I$15+Inputs!$D$16*Inputs!$I$16)</f>
        <v>0</v>
      </c>
      <c r="Q7" s="21">
        <f>(Inputs!$D$12*Inputs!$I$12*Q24+Inputs!$D$13*Inputs!$I$13*Q52+Inputs!$D$14*Inputs!$I$14*Q80+Inputs!$D$15*Inputs!$I$15*Q108+Inputs!$D$16*Inputs!$I$16*Q136)/(Inputs!$D$12*Inputs!$I$12+Inputs!$D$13*Inputs!$I$13+Inputs!$D$14*Inputs!$I$14+Inputs!$D$15*Inputs!$I$15+Inputs!$D$16*Inputs!$I$16)</f>
        <v>0</v>
      </c>
      <c r="R7" s="21">
        <f>(Inputs!$D$12*Inputs!$I$12*R24+Inputs!$D$13*Inputs!$I$13*R52+Inputs!$D$14*Inputs!$I$14*R80+Inputs!$D$15*Inputs!$I$15*R108+Inputs!$D$16*Inputs!$I$16*R136)/(Inputs!$D$12*Inputs!$I$12+Inputs!$D$13*Inputs!$I$13+Inputs!$D$14*Inputs!$I$14+Inputs!$D$15*Inputs!$I$15+Inputs!$D$16*Inputs!$I$16)</f>
        <v>0</v>
      </c>
      <c r="S7" s="21">
        <f>(Inputs!$D$12*Inputs!$I$12*S24+Inputs!$D$13*Inputs!$I$13*S52+Inputs!$D$14*Inputs!$I$14*S80+Inputs!$D$15*Inputs!$I$15*S108+Inputs!$D$16*Inputs!$I$16*S136)/(Inputs!$D$12*Inputs!$I$12+Inputs!$D$13*Inputs!$I$13+Inputs!$D$14*Inputs!$I$14+Inputs!$D$15*Inputs!$I$15+Inputs!$D$16*Inputs!$I$16)</f>
        <v>0</v>
      </c>
      <c r="T7" s="21">
        <f>(Inputs!$D$12*Inputs!$I$12*T24+Inputs!$D$13*Inputs!$I$13*T52+Inputs!$D$14*Inputs!$I$14*T80+Inputs!$D$15*Inputs!$I$15*T108+Inputs!$D$16*Inputs!$I$16*T136)/(Inputs!$D$12*Inputs!$I$12+Inputs!$D$13*Inputs!$I$13+Inputs!$D$14*Inputs!$I$14+Inputs!$D$15*Inputs!$I$15+Inputs!$D$16*Inputs!$I$16)</f>
        <v>0</v>
      </c>
      <c r="U7" s="21">
        <f>(Inputs!$D$12*Inputs!$I$12*U24+Inputs!$D$13*Inputs!$I$13*U52+Inputs!$D$14*Inputs!$I$14*U80+Inputs!$D$15*Inputs!$I$15*U108+Inputs!$D$16*Inputs!$I$16*U136)/(Inputs!$D$12*Inputs!$I$12+Inputs!$D$13*Inputs!$I$13+Inputs!$D$14*Inputs!$I$14+Inputs!$D$15*Inputs!$I$15+Inputs!$D$16*Inputs!$I$16)</f>
        <v>0</v>
      </c>
      <c r="V7" s="21">
        <f>(Inputs!$D$12*Inputs!$I$12*V24+Inputs!$D$13*Inputs!$I$13*V52+Inputs!$D$14*Inputs!$I$14*V80+Inputs!$D$15*Inputs!$I$15*V108+Inputs!$D$16*Inputs!$I$16*V136)/(Inputs!$D$12*Inputs!$I$12+Inputs!$D$13*Inputs!$I$13+Inputs!$D$14*Inputs!$I$14+Inputs!$D$15*Inputs!$I$15+Inputs!$D$16*Inputs!$I$16)</f>
        <v>0</v>
      </c>
      <c r="W7" s="21">
        <f>(Inputs!$D$12*Inputs!$I$12*W24+Inputs!$D$13*Inputs!$I$13*W52+Inputs!$D$14*Inputs!$I$14*W80+Inputs!$D$15*Inputs!$I$15*W108+Inputs!$D$16*Inputs!$I$16*W136)/(Inputs!$D$12*Inputs!$I$12+Inputs!$D$13*Inputs!$I$13+Inputs!$D$14*Inputs!$I$14+Inputs!$D$15*Inputs!$I$15+Inputs!$D$16*Inputs!$I$16)</f>
        <v>0</v>
      </c>
    </row>
    <row r="8" spans="1:23" ht="18" customHeight="1" x14ac:dyDescent="0.25">
      <c r="A8" s="11" t="str">
        <f>NGS_Archaea_Input!A8</f>
        <v>Arc_taxon_4</v>
      </c>
      <c r="B8" s="21">
        <f>(Inputs!$D$12*Inputs!$I$12*B25+Inputs!$D$13*Inputs!$I$13*B53+Inputs!$D$14*Inputs!$I$14*B81+Inputs!$D$15*Inputs!$I$15*B109+Inputs!$D$16*Inputs!$I$16*B137)/(Inputs!$D$12*Inputs!$I$12+Inputs!$D$13*Inputs!$I$13+Inputs!$D$14*Inputs!$I$14+Inputs!$D$15*Inputs!$I$15+Inputs!$D$16*Inputs!$I$16)</f>
        <v>0</v>
      </c>
      <c r="C8" s="21">
        <f>(Inputs!$D$12*Inputs!$I$12*C25+Inputs!$D$13*Inputs!$I$13*C53+Inputs!$D$14*Inputs!$I$14*C81+Inputs!$D$15*Inputs!$I$15*C109+Inputs!$D$16*Inputs!$I$16*C137)/(Inputs!$D$12*Inputs!$I$12+Inputs!$D$13*Inputs!$I$13+Inputs!$D$14*Inputs!$I$14+Inputs!$D$15*Inputs!$I$15+Inputs!$D$16*Inputs!$I$16)</f>
        <v>0</v>
      </c>
      <c r="D8" s="21">
        <f>(Inputs!$D$12*Inputs!$I$12*D25+Inputs!$D$13*Inputs!$I$13*D53+Inputs!$D$14*Inputs!$I$14*D81+Inputs!$D$15*Inputs!$I$15*D109+Inputs!$D$16*Inputs!$I$16*D137)/(Inputs!$D$12*Inputs!$I$12+Inputs!$D$13*Inputs!$I$13+Inputs!$D$14*Inputs!$I$14+Inputs!$D$15*Inputs!$I$15+Inputs!$D$16*Inputs!$I$16)</f>
        <v>0</v>
      </c>
      <c r="E8" s="21">
        <f>(Inputs!$D$12*Inputs!$I$12*E25+Inputs!$D$13*Inputs!$I$13*E53+Inputs!$D$14*Inputs!$I$14*E81+Inputs!$D$15*Inputs!$I$15*E109+Inputs!$D$16*Inputs!$I$16*E137)/(Inputs!$D$12*Inputs!$I$12+Inputs!$D$13*Inputs!$I$13+Inputs!$D$14*Inputs!$I$14+Inputs!$D$15*Inputs!$I$15+Inputs!$D$16*Inputs!$I$16)</f>
        <v>0</v>
      </c>
      <c r="F8" s="21">
        <f>(Inputs!$D$12*Inputs!$I$12*F25+Inputs!$D$13*Inputs!$I$13*F53+Inputs!$D$14*Inputs!$I$14*F81+Inputs!$D$15*Inputs!$I$15*F109+Inputs!$D$16*Inputs!$I$16*F137)/(Inputs!$D$12*Inputs!$I$12+Inputs!$D$13*Inputs!$I$13+Inputs!$D$14*Inputs!$I$14+Inputs!$D$15*Inputs!$I$15+Inputs!$D$16*Inputs!$I$16)</f>
        <v>0</v>
      </c>
      <c r="G8" s="21">
        <f>(Inputs!$D$12*Inputs!$I$12*G25+Inputs!$D$13*Inputs!$I$13*G53+Inputs!$D$14*Inputs!$I$14*G81+Inputs!$D$15*Inputs!$I$15*G109+Inputs!$D$16*Inputs!$I$16*G137)/(Inputs!$D$12*Inputs!$I$12+Inputs!$D$13*Inputs!$I$13+Inputs!$D$14*Inputs!$I$14+Inputs!$D$15*Inputs!$I$15+Inputs!$D$16*Inputs!$I$16)</f>
        <v>0</v>
      </c>
      <c r="H8" s="21">
        <f>(Inputs!$D$12*Inputs!$I$12*H25+Inputs!$D$13*Inputs!$I$13*H53+Inputs!$D$14*Inputs!$I$14*H81+Inputs!$D$15*Inputs!$I$15*H109+Inputs!$D$16*Inputs!$I$16*H137)/(Inputs!$D$12*Inputs!$I$12+Inputs!$D$13*Inputs!$I$13+Inputs!$D$14*Inputs!$I$14+Inputs!$D$15*Inputs!$I$15+Inputs!$D$16*Inputs!$I$16)</f>
        <v>0</v>
      </c>
      <c r="I8" s="21">
        <f>(Inputs!$D$12*Inputs!$I$12*I25+Inputs!$D$13*Inputs!$I$13*I53+Inputs!$D$14*Inputs!$I$14*I81+Inputs!$D$15*Inputs!$I$15*I109+Inputs!$D$16*Inputs!$I$16*I137)/(Inputs!$D$12*Inputs!$I$12+Inputs!$D$13*Inputs!$I$13+Inputs!$D$14*Inputs!$I$14+Inputs!$D$15*Inputs!$I$15+Inputs!$D$16*Inputs!$I$16)</f>
        <v>0</v>
      </c>
      <c r="J8" s="21">
        <f>(Inputs!$D$12*Inputs!$I$12*J25+Inputs!$D$13*Inputs!$I$13*J53+Inputs!$D$14*Inputs!$I$14*J81+Inputs!$D$15*Inputs!$I$15*J109+Inputs!$D$16*Inputs!$I$16*J137)/(Inputs!$D$12*Inputs!$I$12+Inputs!$D$13*Inputs!$I$13+Inputs!$D$14*Inputs!$I$14+Inputs!$D$15*Inputs!$I$15+Inputs!$D$16*Inputs!$I$16)</f>
        <v>0</v>
      </c>
      <c r="K8" s="21">
        <f>(Inputs!$D$12*Inputs!$I$12*K25+Inputs!$D$13*Inputs!$I$13*K53+Inputs!$D$14*Inputs!$I$14*K81+Inputs!$D$15*Inputs!$I$15*K109+Inputs!$D$16*Inputs!$I$16*K137)/(Inputs!$D$12*Inputs!$I$12+Inputs!$D$13*Inputs!$I$13+Inputs!$D$14*Inputs!$I$14+Inputs!$D$15*Inputs!$I$15+Inputs!$D$16*Inputs!$I$16)</f>
        <v>0</v>
      </c>
      <c r="L8" s="21">
        <f>(Inputs!$D$12*Inputs!$I$12*L25+Inputs!$D$13*Inputs!$I$13*L53+Inputs!$D$14*Inputs!$I$14*L81+Inputs!$D$15*Inputs!$I$15*L109+Inputs!$D$16*Inputs!$I$16*L137)/(Inputs!$D$12*Inputs!$I$12+Inputs!$D$13*Inputs!$I$13+Inputs!$D$14*Inputs!$I$14+Inputs!$D$15*Inputs!$I$15+Inputs!$D$16*Inputs!$I$16)</f>
        <v>0</v>
      </c>
      <c r="M8" s="21">
        <f>(Inputs!$D$12*Inputs!$I$12*M25+Inputs!$D$13*Inputs!$I$13*M53+Inputs!$D$14*Inputs!$I$14*M81+Inputs!$D$15*Inputs!$I$15*M109+Inputs!$D$16*Inputs!$I$16*M137)/(Inputs!$D$12*Inputs!$I$12+Inputs!$D$13*Inputs!$I$13+Inputs!$D$14*Inputs!$I$14+Inputs!$D$15*Inputs!$I$15+Inputs!$D$16*Inputs!$I$16)</f>
        <v>0</v>
      </c>
      <c r="N8" s="21">
        <f>(Inputs!$D$12*Inputs!$I$12*N25+Inputs!$D$13*Inputs!$I$13*N53+Inputs!$D$14*Inputs!$I$14*N81+Inputs!$D$15*Inputs!$I$15*N109+Inputs!$D$16*Inputs!$I$16*N137)/(Inputs!$D$12*Inputs!$I$12+Inputs!$D$13*Inputs!$I$13+Inputs!$D$14*Inputs!$I$14+Inputs!$D$15*Inputs!$I$15+Inputs!$D$16*Inputs!$I$16)</f>
        <v>0</v>
      </c>
      <c r="O8" s="21">
        <f>(Inputs!$D$12*Inputs!$I$12*O25+Inputs!$D$13*Inputs!$I$13*O53+Inputs!$D$14*Inputs!$I$14*O81+Inputs!$D$15*Inputs!$I$15*O109+Inputs!$D$16*Inputs!$I$16*O137)/(Inputs!$D$12*Inputs!$I$12+Inputs!$D$13*Inputs!$I$13+Inputs!$D$14*Inputs!$I$14+Inputs!$D$15*Inputs!$I$15+Inputs!$D$16*Inputs!$I$16)</f>
        <v>0</v>
      </c>
      <c r="P8" s="21">
        <f>(Inputs!$D$12*Inputs!$I$12*P25+Inputs!$D$13*Inputs!$I$13*P53+Inputs!$D$14*Inputs!$I$14*P81+Inputs!$D$15*Inputs!$I$15*P109+Inputs!$D$16*Inputs!$I$16*P137)/(Inputs!$D$12*Inputs!$I$12+Inputs!$D$13*Inputs!$I$13+Inputs!$D$14*Inputs!$I$14+Inputs!$D$15*Inputs!$I$15+Inputs!$D$16*Inputs!$I$16)</f>
        <v>0</v>
      </c>
      <c r="Q8" s="21">
        <f>(Inputs!$D$12*Inputs!$I$12*Q25+Inputs!$D$13*Inputs!$I$13*Q53+Inputs!$D$14*Inputs!$I$14*Q81+Inputs!$D$15*Inputs!$I$15*Q109+Inputs!$D$16*Inputs!$I$16*Q137)/(Inputs!$D$12*Inputs!$I$12+Inputs!$D$13*Inputs!$I$13+Inputs!$D$14*Inputs!$I$14+Inputs!$D$15*Inputs!$I$15+Inputs!$D$16*Inputs!$I$16)</f>
        <v>0</v>
      </c>
      <c r="R8" s="21">
        <f>(Inputs!$D$12*Inputs!$I$12*R25+Inputs!$D$13*Inputs!$I$13*R53+Inputs!$D$14*Inputs!$I$14*R81+Inputs!$D$15*Inputs!$I$15*R109+Inputs!$D$16*Inputs!$I$16*R137)/(Inputs!$D$12*Inputs!$I$12+Inputs!$D$13*Inputs!$I$13+Inputs!$D$14*Inputs!$I$14+Inputs!$D$15*Inputs!$I$15+Inputs!$D$16*Inputs!$I$16)</f>
        <v>0</v>
      </c>
      <c r="S8" s="21">
        <f>(Inputs!$D$12*Inputs!$I$12*S25+Inputs!$D$13*Inputs!$I$13*S53+Inputs!$D$14*Inputs!$I$14*S81+Inputs!$D$15*Inputs!$I$15*S109+Inputs!$D$16*Inputs!$I$16*S137)/(Inputs!$D$12*Inputs!$I$12+Inputs!$D$13*Inputs!$I$13+Inputs!$D$14*Inputs!$I$14+Inputs!$D$15*Inputs!$I$15+Inputs!$D$16*Inputs!$I$16)</f>
        <v>0</v>
      </c>
      <c r="T8" s="21">
        <f>(Inputs!$D$12*Inputs!$I$12*T25+Inputs!$D$13*Inputs!$I$13*T53+Inputs!$D$14*Inputs!$I$14*T81+Inputs!$D$15*Inputs!$I$15*T109+Inputs!$D$16*Inputs!$I$16*T137)/(Inputs!$D$12*Inputs!$I$12+Inputs!$D$13*Inputs!$I$13+Inputs!$D$14*Inputs!$I$14+Inputs!$D$15*Inputs!$I$15+Inputs!$D$16*Inputs!$I$16)</f>
        <v>0</v>
      </c>
      <c r="U8" s="21">
        <f>(Inputs!$D$12*Inputs!$I$12*U25+Inputs!$D$13*Inputs!$I$13*U53+Inputs!$D$14*Inputs!$I$14*U81+Inputs!$D$15*Inputs!$I$15*U109+Inputs!$D$16*Inputs!$I$16*U137)/(Inputs!$D$12*Inputs!$I$12+Inputs!$D$13*Inputs!$I$13+Inputs!$D$14*Inputs!$I$14+Inputs!$D$15*Inputs!$I$15+Inputs!$D$16*Inputs!$I$16)</f>
        <v>0</v>
      </c>
      <c r="V8" s="21">
        <f>(Inputs!$D$12*Inputs!$I$12*V25+Inputs!$D$13*Inputs!$I$13*V53+Inputs!$D$14*Inputs!$I$14*V81+Inputs!$D$15*Inputs!$I$15*V109+Inputs!$D$16*Inputs!$I$16*V137)/(Inputs!$D$12*Inputs!$I$12+Inputs!$D$13*Inputs!$I$13+Inputs!$D$14*Inputs!$I$14+Inputs!$D$15*Inputs!$I$15+Inputs!$D$16*Inputs!$I$16)</f>
        <v>0</v>
      </c>
      <c r="W8" s="21">
        <f>(Inputs!$D$12*Inputs!$I$12*W25+Inputs!$D$13*Inputs!$I$13*W53+Inputs!$D$14*Inputs!$I$14*W81+Inputs!$D$15*Inputs!$I$15*W109+Inputs!$D$16*Inputs!$I$16*W137)/(Inputs!$D$12*Inputs!$I$12+Inputs!$D$13*Inputs!$I$13+Inputs!$D$14*Inputs!$I$14+Inputs!$D$15*Inputs!$I$15+Inputs!$D$16*Inputs!$I$16)</f>
        <v>0</v>
      </c>
    </row>
    <row r="9" spans="1:23" ht="18" customHeight="1" x14ac:dyDescent="0.25">
      <c r="A9" s="11" t="str">
        <f>NGS_Archaea_Input!A9</f>
        <v>Arc_taxon_5</v>
      </c>
      <c r="B9" s="21">
        <f>(Inputs!$D$12*Inputs!$I$12*B26+Inputs!$D$13*Inputs!$I$13*B54+Inputs!$D$14*Inputs!$I$14*B82+Inputs!$D$15*Inputs!$I$15*B110+Inputs!$D$16*Inputs!$I$16*B138)/(Inputs!$D$12*Inputs!$I$12+Inputs!$D$13*Inputs!$I$13+Inputs!$D$14*Inputs!$I$14+Inputs!$D$15*Inputs!$I$15+Inputs!$D$16*Inputs!$I$16)</f>
        <v>0</v>
      </c>
      <c r="C9" s="21">
        <f>(Inputs!$D$12*Inputs!$I$12*C26+Inputs!$D$13*Inputs!$I$13*C54+Inputs!$D$14*Inputs!$I$14*C82+Inputs!$D$15*Inputs!$I$15*C110+Inputs!$D$16*Inputs!$I$16*C138)/(Inputs!$D$12*Inputs!$I$12+Inputs!$D$13*Inputs!$I$13+Inputs!$D$14*Inputs!$I$14+Inputs!$D$15*Inputs!$I$15+Inputs!$D$16*Inputs!$I$16)</f>
        <v>0</v>
      </c>
      <c r="D9" s="21">
        <f>(Inputs!$D$12*Inputs!$I$12*D26+Inputs!$D$13*Inputs!$I$13*D54+Inputs!$D$14*Inputs!$I$14*D82+Inputs!$D$15*Inputs!$I$15*D110+Inputs!$D$16*Inputs!$I$16*D138)/(Inputs!$D$12*Inputs!$I$12+Inputs!$D$13*Inputs!$I$13+Inputs!$D$14*Inputs!$I$14+Inputs!$D$15*Inputs!$I$15+Inputs!$D$16*Inputs!$I$16)</f>
        <v>0</v>
      </c>
      <c r="E9" s="21">
        <f>(Inputs!$D$12*Inputs!$I$12*E26+Inputs!$D$13*Inputs!$I$13*E54+Inputs!$D$14*Inputs!$I$14*E82+Inputs!$D$15*Inputs!$I$15*E110+Inputs!$D$16*Inputs!$I$16*E138)/(Inputs!$D$12*Inputs!$I$12+Inputs!$D$13*Inputs!$I$13+Inputs!$D$14*Inputs!$I$14+Inputs!$D$15*Inputs!$I$15+Inputs!$D$16*Inputs!$I$16)</f>
        <v>0</v>
      </c>
      <c r="F9" s="21">
        <f>(Inputs!$D$12*Inputs!$I$12*F26+Inputs!$D$13*Inputs!$I$13*F54+Inputs!$D$14*Inputs!$I$14*F82+Inputs!$D$15*Inputs!$I$15*F110+Inputs!$D$16*Inputs!$I$16*F138)/(Inputs!$D$12*Inputs!$I$12+Inputs!$D$13*Inputs!$I$13+Inputs!$D$14*Inputs!$I$14+Inputs!$D$15*Inputs!$I$15+Inputs!$D$16*Inputs!$I$16)</f>
        <v>0</v>
      </c>
      <c r="G9" s="21">
        <f>(Inputs!$D$12*Inputs!$I$12*G26+Inputs!$D$13*Inputs!$I$13*G54+Inputs!$D$14*Inputs!$I$14*G82+Inputs!$D$15*Inputs!$I$15*G110+Inputs!$D$16*Inputs!$I$16*G138)/(Inputs!$D$12*Inputs!$I$12+Inputs!$D$13*Inputs!$I$13+Inputs!$D$14*Inputs!$I$14+Inputs!$D$15*Inputs!$I$15+Inputs!$D$16*Inputs!$I$16)</f>
        <v>0</v>
      </c>
      <c r="H9" s="21">
        <f>(Inputs!$D$12*Inputs!$I$12*H26+Inputs!$D$13*Inputs!$I$13*H54+Inputs!$D$14*Inputs!$I$14*H82+Inputs!$D$15*Inputs!$I$15*H110+Inputs!$D$16*Inputs!$I$16*H138)/(Inputs!$D$12*Inputs!$I$12+Inputs!$D$13*Inputs!$I$13+Inputs!$D$14*Inputs!$I$14+Inputs!$D$15*Inputs!$I$15+Inputs!$D$16*Inputs!$I$16)</f>
        <v>0</v>
      </c>
      <c r="I9" s="21">
        <f>(Inputs!$D$12*Inputs!$I$12*I26+Inputs!$D$13*Inputs!$I$13*I54+Inputs!$D$14*Inputs!$I$14*I82+Inputs!$D$15*Inputs!$I$15*I110+Inputs!$D$16*Inputs!$I$16*I138)/(Inputs!$D$12*Inputs!$I$12+Inputs!$D$13*Inputs!$I$13+Inputs!$D$14*Inputs!$I$14+Inputs!$D$15*Inputs!$I$15+Inputs!$D$16*Inputs!$I$16)</f>
        <v>0</v>
      </c>
      <c r="J9" s="21">
        <f>(Inputs!$D$12*Inputs!$I$12*J26+Inputs!$D$13*Inputs!$I$13*J54+Inputs!$D$14*Inputs!$I$14*J82+Inputs!$D$15*Inputs!$I$15*J110+Inputs!$D$16*Inputs!$I$16*J138)/(Inputs!$D$12*Inputs!$I$12+Inputs!$D$13*Inputs!$I$13+Inputs!$D$14*Inputs!$I$14+Inputs!$D$15*Inputs!$I$15+Inputs!$D$16*Inputs!$I$16)</f>
        <v>0</v>
      </c>
      <c r="K9" s="21">
        <f>(Inputs!$D$12*Inputs!$I$12*K26+Inputs!$D$13*Inputs!$I$13*K54+Inputs!$D$14*Inputs!$I$14*K82+Inputs!$D$15*Inputs!$I$15*K110+Inputs!$D$16*Inputs!$I$16*K138)/(Inputs!$D$12*Inputs!$I$12+Inputs!$D$13*Inputs!$I$13+Inputs!$D$14*Inputs!$I$14+Inputs!$D$15*Inputs!$I$15+Inputs!$D$16*Inputs!$I$16)</f>
        <v>0</v>
      </c>
      <c r="L9" s="21">
        <f>(Inputs!$D$12*Inputs!$I$12*L26+Inputs!$D$13*Inputs!$I$13*L54+Inputs!$D$14*Inputs!$I$14*L82+Inputs!$D$15*Inputs!$I$15*L110+Inputs!$D$16*Inputs!$I$16*L138)/(Inputs!$D$12*Inputs!$I$12+Inputs!$D$13*Inputs!$I$13+Inputs!$D$14*Inputs!$I$14+Inputs!$D$15*Inputs!$I$15+Inputs!$D$16*Inputs!$I$16)</f>
        <v>0</v>
      </c>
      <c r="M9" s="21">
        <f>(Inputs!$D$12*Inputs!$I$12*M26+Inputs!$D$13*Inputs!$I$13*M54+Inputs!$D$14*Inputs!$I$14*M82+Inputs!$D$15*Inputs!$I$15*M110+Inputs!$D$16*Inputs!$I$16*M138)/(Inputs!$D$12*Inputs!$I$12+Inputs!$D$13*Inputs!$I$13+Inputs!$D$14*Inputs!$I$14+Inputs!$D$15*Inputs!$I$15+Inputs!$D$16*Inputs!$I$16)</f>
        <v>0</v>
      </c>
      <c r="N9" s="21">
        <f>(Inputs!$D$12*Inputs!$I$12*N26+Inputs!$D$13*Inputs!$I$13*N54+Inputs!$D$14*Inputs!$I$14*N82+Inputs!$D$15*Inputs!$I$15*N110+Inputs!$D$16*Inputs!$I$16*N138)/(Inputs!$D$12*Inputs!$I$12+Inputs!$D$13*Inputs!$I$13+Inputs!$D$14*Inputs!$I$14+Inputs!$D$15*Inputs!$I$15+Inputs!$D$16*Inputs!$I$16)</f>
        <v>0</v>
      </c>
      <c r="O9" s="21">
        <f>(Inputs!$D$12*Inputs!$I$12*O26+Inputs!$D$13*Inputs!$I$13*O54+Inputs!$D$14*Inputs!$I$14*O82+Inputs!$D$15*Inputs!$I$15*O110+Inputs!$D$16*Inputs!$I$16*O138)/(Inputs!$D$12*Inputs!$I$12+Inputs!$D$13*Inputs!$I$13+Inputs!$D$14*Inputs!$I$14+Inputs!$D$15*Inputs!$I$15+Inputs!$D$16*Inputs!$I$16)</f>
        <v>0</v>
      </c>
      <c r="P9" s="21">
        <f>(Inputs!$D$12*Inputs!$I$12*P26+Inputs!$D$13*Inputs!$I$13*P54+Inputs!$D$14*Inputs!$I$14*P82+Inputs!$D$15*Inputs!$I$15*P110+Inputs!$D$16*Inputs!$I$16*P138)/(Inputs!$D$12*Inputs!$I$12+Inputs!$D$13*Inputs!$I$13+Inputs!$D$14*Inputs!$I$14+Inputs!$D$15*Inputs!$I$15+Inputs!$D$16*Inputs!$I$16)</f>
        <v>0</v>
      </c>
      <c r="Q9" s="21">
        <f>(Inputs!$D$12*Inputs!$I$12*Q26+Inputs!$D$13*Inputs!$I$13*Q54+Inputs!$D$14*Inputs!$I$14*Q82+Inputs!$D$15*Inputs!$I$15*Q110+Inputs!$D$16*Inputs!$I$16*Q138)/(Inputs!$D$12*Inputs!$I$12+Inputs!$D$13*Inputs!$I$13+Inputs!$D$14*Inputs!$I$14+Inputs!$D$15*Inputs!$I$15+Inputs!$D$16*Inputs!$I$16)</f>
        <v>0</v>
      </c>
      <c r="R9" s="21">
        <f>(Inputs!$D$12*Inputs!$I$12*R26+Inputs!$D$13*Inputs!$I$13*R54+Inputs!$D$14*Inputs!$I$14*R82+Inputs!$D$15*Inputs!$I$15*R110+Inputs!$D$16*Inputs!$I$16*R138)/(Inputs!$D$12*Inputs!$I$12+Inputs!$D$13*Inputs!$I$13+Inputs!$D$14*Inputs!$I$14+Inputs!$D$15*Inputs!$I$15+Inputs!$D$16*Inputs!$I$16)</f>
        <v>0</v>
      </c>
      <c r="S9" s="21">
        <f>(Inputs!$D$12*Inputs!$I$12*S26+Inputs!$D$13*Inputs!$I$13*S54+Inputs!$D$14*Inputs!$I$14*S82+Inputs!$D$15*Inputs!$I$15*S110+Inputs!$D$16*Inputs!$I$16*S138)/(Inputs!$D$12*Inputs!$I$12+Inputs!$D$13*Inputs!$I$13+Inputs!$D$14*Inputs!$I$14+Inputs!$D$15*Inputs!$I$15+Inputs!$D$16*Inputs!$I$16)</f>
        <v>0</v>
      </c>
      <c r="T9" s="21">
        <f>(Inputs!$D$12*Inputs!$I$12*T26+Inputs!$D$13*Inputs!$I$13*T54+Inputs!$D$14*Inputs!$I$14*T82+Inputs!$D$15*Inputs!$I$15*T110+Inputs!$D$16*Inputs!$I$16*T138)/(Inputs!$D$12*Inputs!$I$12+Inputs!$D$13*Inputs!$I$13+Inputs!$D$14*Inputs!$I$14+Inputs!$D$15*Inputs!$I$15+Inputs!$D$16*Inputs!$I$16)</f>
        <v>0</v>
      </c>
      <c r="U9" s="21">
        <f>(Inputs!$D$12*Inputs!$I$12*U26+Inputs!$D$13*Inputs!$I$13*U54+Inputs!$D$14*Inputs!$I$14*U82+Inputs!$D$15*Inputs!$I$15*U110+Inputs!$D$16*Inputs!$I$16*U138)/(Inputs!$D$12*Inputs!$I$12+Inputs!$D$13*Inputs!$I$13+Inputs!$D$14*Inputs!$I$14+Inputs!$D$15*Inputs!$I$15+Inputs!$D$16*Inputs!$I$16)</f>
        <v>0</v>
      </c>
      <c r="V9" s="21">
        <f>(Inputs!$D$12*Inputs!$I$12*V26+Inputs!$D$13*Inputs!$I$13*V54+Inputs!$D$14*Inputs!$I$14*V82+Inputs!$D$15*Inputs!$I$15*V110+Inputs!$D$16*Inputs!$I$16*V138)/(Inputs!$D$12*Inputs!$I$12+Inputs!$D$13*Inputs!$I$13+Inputs!$D$14*Inputs!$I$14+Inputs!$D$15*Inputs!$I$15+Inputs!$D$16*Inputs!$I$16)</f>
        <v>0</v>
      </c>
      <c r="W9" s="21">
        <f>(Inputs!$D$12*Inputs!$I$12*W26+Inputs!$D$13*Inputs!$I$13*W54+Inputs!$D$14*Inputs!$I$14*W82+Inputs!$D$15*Inputs!$I$15*W110+Inputs!$D$16*Inputs!$I$16*W138)/(Inputs!$D$12*Inputs!$I$12+Inputs!$D$13*Inputs!$I$13+Inputs!$D$14*Inputs!$I$14+Inputs!$D$15*Inputs!$I$15+Inputs!$D$16*Inputs!$I$16)</f>
        <v>0</v>
      </c>
    </row>
    <row r="10" spans="1:23" ht="18" customHeight="1" x14ac:dyDescent="0.25">
      <c r="A10" s="11" t="str">
        <f>NGS_Archaea_Input!A10</f>
        <v>Arc_taxon_6</v>
      </c>
      <c r="B10" s="21">
        <f>(Inputs!$D$12*Inputs!$I$12*B27+Inputs!$D$13*Inputs!$I$13*B55+Inputs!$D$14*Inputs!$I$14*B83+Inputs!$D$15*Inputs!$I$15*B111+Inputs!$D$16*Inputs!$I$16*B139)/(Inputs!$D$12*Inputs!$I$12+Inputs!$D$13*Inputs!$I$13+Inputs!$D$14*Inputs!$I$14+Inputs!$D$15*Inputs!$I$15+Inputs!$D$16*Inputs!$I$16)</f>
        <v>0</v>
      </c>
      <c r="C10" s="21">
        <f>(Inputs!$D$12*Inputs!$I$12*C27+Inputs!$D$13*Inputs!$I$13*C55+Inputs!$D$14*Inputs!$I$14*C83+Inputs!$D$15*Inputs!$I$15*C111+Inputs!$D$16*Inputs!$I$16*C139)/(Inputs!$D$12*Inputs!$I$12+Inputs!$D$13*Inputs!$I$13+Inputs!$D$14*Inputs!$I$14+Inputs!$D$15*Inputs!$I$15+Inputs!$D$16*Inputs!$I$16)</f>
        <v>0</v>
      </c>
      <c r="D10" s="21">
        <f>(Inputs!$D$12*Inputs!$I$12*D27+Inputs!$D$13*Inputs!$I$13*D55+Inputs!$D$14*Inputs!$I$14*D83+Inputs!$D$15*Inputs!$I$15*D111+Inputs!$D$16*Inputs!$I$16*D139)/(Inputs!$D$12*Inputs!$I$12+Inputs!$D$13*Inputs!$I$13+Inputs!$D$14*Inputs!$I$14+Inputs!$D$15*Inputs!$I$15+Inputs!$D$16*Inputs!$I$16)</f>
        <v>0</v>
      </c>
      <c r="E10" s="21">
        <f>(Inputs!$D$12*Inputs!$I$12*E27+Inputs!$D$13*Inputs!$I$13*E55+Inputs!$D$14*Inputs!$I$14*E83+Inputs!$D$15*Inputs!$I$15*E111+Inputs!$D$16*Inputs!$I$16*E139)/(Inputs!$D$12*Inputs!$I$12+Inputs!$D$13*Inputs!$I$13+Inputs!$D$14*Inputs!$I$14+Inputs!$D$15*Inputs!$I$15+Inputs!$D$16*Inputs!$I$16)</f>
        <v>0</v>
      </c>
      <c r="F10" s="21">
        <f>(Inputs!$D$12*Inputs!$I$12*F27+Inputs!$D$13*Inputs!$I$13*F55+Inputs!$D$14*Inputs!$I$14*F83+Inputs!$D$15*Inputs!$I$15*F111+Inputs!$D$16*Inputs!$I$16*F139)/(Inputs!$D$12*Inputs!$I$12+Inputs!$D$13*Inputs!$I$13+Inputs!$D$14*Inputs!$I$14+Inputs!$D$15*Inputs!$I$15+Inputs!$D$16*Inputs!$I$16)</f>
        <v>0</v>
      </c>
      <c r="G10" s="21">
        <f>(Inputs!$D$12*Inputs!$I$12*G27+Inputs!$D$13*Inputs!$I$13*G55+Inputs!$D$14*Inputs!$I$14*G83+Inputs!$D$15*Inputs!$I$15*G111+Inputs!$D$16*Inputs!$I$16*G139)/(Inputs!$D$12*Inputs!$I$12+Inputs!$D$13*Inputs!$I$13+Inputs!$D$14*Inputs!$I$14+Inputs!$D$15*Inputs!$I$15+Inputs!$D$16*Inputs!$I$16)</f>
        <v>0</v>
      </c>
      <c r="H10" s="21">
        <f>(Inputs!$D$12*Inputs!$I$12*H27+Inputs!$D$13*Inputs!$I$13*H55+Inputs!$D$14*Inputs!$I$14*H83+Inputs!$D$15*Inputs!$I$15*H111+Inputs!$D$16*Inputs!$I$16*H139)/(Inputs!$D$12*Inputs!$I$12+Inputs!$D$13*Inputs!$I$13+Inputs!$D$14*Inputs!$I$14+Inputs!$D$15*Inputs!$I$15+Inputs!$D$16*Inputs!$I$16)</f>
        <v>0</v>
      </c>
      <c r="I10" s="21">
        <f>(Inputs!$D$12*Inputs!$I$12*I27+Inputs!$D$13*Inputs!$I$13*I55+Inputs!$D$14*Inputs!$I$14*I83+Inputs!$D$15*Inputs!$I$15*I111+Inputs!$D$16*Inputs!$I$16*I139)/(Inputs!$D$12*Inputs!$I$12+Inputs!$D$13*Inputs!$I$13+Inputs!$D$14*Inputs!$I$14+Inputs!$D$15*Inputs!$I$15+Inputs!$D$16*Inputs!$I$16)</f>
        <v>0</v>
      </c>
      <c r="J10" s="21">
        <f>(Inputs!$D$12*Inputs!$I$12*J27+Inputs!$D$13*Inputs!$I$13*J55+Inputs!$D$14*Inputs!$I$14*J83+Inputs!$D$15*Inputs!$I$15*J111+Inputs!$D$16*Inputs!$I$16*J139)/(Inputs!$D$12*Inputs!$I$12+Inputs!$D$13*Inputs!$I$13+Inputs!$D$14*Inputs!$I$14+Inputs!$D$15*Inputs!$I$15+Inputs!$D$16*Inputs!$I$16)</f>
        <v>0</v>
      </c>
      <c r="K10" s="21">
        <f>(Inputs!$D$12*Inputs!$I$12*K27+Inputs!$D$13*Inputs!$I$13*K55+Inputs!$D$14*Inputs!$I$14*K83+Inputs!$D$15*Inputs!$I$15*K111+Inputs!$D$16*Inputs!$I$16*K139)/(Inputs!$D$12*Inputs!$I$12+Inputs!$D$13*Inputs!$I$13+Inputs!$D$14*Inputs!$I$14+Inputs!$D$15*Inputs!$I$15+Inputs!$D$16*Inputs!$I$16)</f>
        <v>0</v>
      </c>
      <c r="L10" s="21">
        <f>(Inputs!$D$12*Inputs!$I$12*L27+Inputs!$D$13*Inputs!$I$13*L55+Inputs!$D$14*Inputs!$I$14*L83+Inputs!$D$15*Inputs!$I$15*L111+Inputs!$D$16*Inputs!$I$16*L139)/(Inputs!$D$12*Inputs!$I$12+Inputs!$D$13*Inputs!$I$13+Inputs!$D$14*Inputs!$I$14+Inputs!$D$15*Inputs!$I$15+Inputs!$D$16*Inputs!$I$16)</f>
        <v>0</v>
      </c>
      <c r="M10" s="21">
        <f>(Inputs!$D$12*Inputs!$I$12*M27+Inputs!$D$13*Inputs!$I$13*M55+Inputs!$D$14*Inputs!$I$14*M83+Inputs!$D$15*Inputs!$I$15*M111+Inputs!$D$16*Inputs!$I$16*M139)/(Inputs!$D$12*Inputs!$I$12+Inputs!$D$13*Inputs!$I$13+Inputs!$D$14*Inputs!$I$14+Inputs!$D$15*Inputs!$I$15+Inputs!$D$16*Inputs!$I$16)</f>
        <v>0</v>
      </c>
      <c r="N10" s="21">
        <f>(Inputs!$D$12*Inputs!$I$12*N27+Inputs!$D$13*Inputs!$I$13*N55+Inputs!$D$14*Inputs!$I$14*N83+Inputs!$D$15*Inputs!$I$15*N111+Inputs!$D$16*Inputs!$I$16*N139)/(Inputs!$D$12*Inputs!$I$12+Inputs!$D$13*Inputs!$I$13+Inputs!$D$14*Inputs!$I$14+Inputs!$D$15*Inputs!$I$15+Inputs!$D$16*Inputs!$I$16)</f>
        <v>0</v>
      </c>
      <c r="O10" s="21">
        <f>(Inputs!$D$12*Inputs!$I$12*O27+Inputs!$D$13*Inputs!$I$13*O55+Inputs!$D$14*Inputs!$I$14*O83+Inputs!$D$15*Inputs!$I$15*O111+Inputs!$D$16*Inputs!$I$16*O139)/(Inputs!$D$12*Inputs!$I$12+Inputs!$D$13*Inputs!$I$13+Inputs!$D$14*Inputs!$I$14+Inputs!$D$15*Inputs!$I$15+Inputs!$D$16*Inputs!$I$16)</f>
        <v>0</v>
      </c>
      <c r="P10" s="21">
        <f>(Inputs!$D$12*Inputs!$I$12*P27+Inputs!$D$13*Inputs!$I$13*P55+Inputs!$D$14*Inputs!$I$14*P83+Inputs!$D$15*Inputs!$I$15*P111+Inputs!$D$16*Inputs!$I$16*P139)/(Inputs!$D$12*Inputs!$I$12+Inputs!$D$13*Inputs!$I$13+Inputs!$D$14*Inputs!$I$14+Inputs!$D$15*Inputs!$I$15+Inputs!$D$16*Inputs!$I$16)</f>
        <v>0</v>
      </c>
      <c r="Q10" s="21">
        <f>(Inputs!$D$12*Inputs!$I$12*Q27+Inputs!$D$13*Inputs!$I$13*Q55+Inputs!$D$14*Inputs!$I$14*Q83+Inputs!$D$15*Inputs!$I$15*Q111+Inputs!$D$16*Inputs!$I$16*Q139)/(Inputs!$D$12*Inputs!$I$12+Inputs!$D$13*Inputs!$I$13+Inputs!$D$14*Inputs!$I$14+Inputs!$D$15*Inputs!$I$15+Inputs!$D$16*Inputs!$I$16)</f>
        <v>0</v>
      </c>
      <c r="R10" s="21">
        <f>(Inputs!$D$12*Inputs!$I$12*R27+Inputs!$D$13*Inputs!$I$13*R55+Inputs!$D$14*Inputs!$I$14*R83+Inputs!$D$15*Inputs!$I$15*R111+Inputs!$D$16*Inputs!$I$16*R139)/(Inputs!$D$12*Inputs!$I$12+Inputs!$D$13*Inputs!$I$13+Inputs!$D$14*Inputs!$I$14+Inputs!$D$15*Inputs!$I$15+Inputs!$D$16*Inputs!$I$16)</f>
        <v>0</v>
      </c>
      <c r="S10" s="21">
        <f>(Inputs!$D$12*Inputs!$I$12*S27+Inputs!$D$13*Inputs!$I$13*S55+Inputs!$D$14*Inputs!$I$14*S83+Inputs!$D$15*Inputs!$I$15*S111+Inputs!$D$16*Inputs!$I$16*S139)/(Inputs!$D$12*Inputs!$I$12+Inputs!$D$13*Inputs!$I$13+Inputs!$D$14*Inputs!$I$14+Inputs!$D$15*Inputs!$I$15+Inputs!$D$16*Inputs!$I$16)</f>
        <v>0</v>
      </c>
      <c r="T10" s="21">
        <f>(Inputs!$D$12*Inputs!$I$12*T27+Inputs!$D$13*Inputs!$I$13*T55+Inputs!$D$14*Inputs!$I$14*T83+Inputs!$D$15*Inputs!$I$15*T111+Inputs!$D$16*Inputs!$I$16*T139)/(Inputs!$D$12*Inputs!$I$12+Inputs!$D$13*Inputs!$I$13+Inputs!$D$14*Inputs!$I$14+Inputs!$D$15*Inputs!$I$15+Inputs!$D$16*Inputs!$I$16)</f>
        <v>0</v>
      </c>
      <c r="U10" s="21">
        <f>(Inputs!$D$12*Inputs!$I$12*U27+Inputs!$D$13*Inputs!$I$13*U55+Inputs!$D$14*Inputs!$I$14*U83+Inputs!$D$15*Inputs!$I$15*U111+Inputs!$D$16*Inputs!$I$16*U139)/(Inputs!$D$12*Inputs!$I$12+Inputs!$D$13*Inputs!$I$13+Inputs!$D$14*Inputs!$I$14+Inputs!$D$15*Inputs!$I$15+Inputs!$D$16*Inputs!$I$16)</f>
        <v>0</v>
      </c>
      <c r="V10" s="21">
        <f>(Inputs!$D$12*Inputs!$I$12*V27+Inputs!$D$13*Inputs!$I$13*V55+Inputs!$D$14*Inputs!$I$14*V83+Inputs!$D$15*Inputs!$I$15*V111+Inputs!$D$16*Inputs!$I$16*V139)/(Inputs!$D$12*Inputs!$I$12+Inputs!$D$13*Inputs!$I$13+Inputs!$D$14*Inputs!$I$14+Inputs!$D$15*Inputs!$I$15+Inputs!$D$16*Inputs!$I$16)</f>
        <v>0</v>
      </c>
      <c r="W10" s="21">
        <f>(Inputs!$D$12*Inputs!$I$12*W27+Inputs!$D$13*Inputs!$I$13*W55+Inputs!$D$14*Inputs!$I$14*W83+Inputs!$D$15*Inputs!$I$15*W111+Inputs!$D$16*Inputs!$I$16*W139)/(Inputs!$D$12*Inputs!$I$12+Inputs!$D$13*Inputs!$I$13+Inputs!$D$14*Inputs!$I$14+Inputs!$D$15*Inputs!$I$15+Inputs!$D$16*Inputs!$I$16)</f>
        <v>0</v>
      </c>
    </row>
    <row r="11" spans="1:23" ht="18" customHeight="1" x14ac:dyDescent="0.25">
      <c r="A11" s="11" t="str">
        <f>NGS_Archaea_Input!A11</f>
        <v>Arc_taxon_7</v>
      </c>
      <c r="B11" s="21">
        <f>(Inputs!$D$12*Inputs!$I$12*B28+Inputs!$D$13*Inputs!$I$13*B56+Inputs!$D$14*Inputs!$I$14*B84+Inputs!$D$15*Inputs!$I$15*B112+Inputs!$D$16*Inputs!$I$16*B140)/(Inputs!$D$12*Inputs!$I$12+Inputs!$D$13*Inputs!$I$13+Inputs!$D$14*Inputs!$I$14+Inputs!$D$15*Inputs!$I$15+Inputs!$D$16*Inputs!$I$16)</f>
        <v>0</v>
      </c>
      <c r="C11" s="21">
        <f>(Inputs!$D$12*Inputs!$I$12*C28+Inputs!$D$13*Inputs!$I$13*C56+Inputs!$D$14*Inputs!$I$14*C84+Inputs!$D$15*Inputs!$I$15*C112+Inputs!$D$16*Inputs!$I$16*C140)/(Inputs!$D$12*Inputs!$I$12+Inputs!$D$13*Inputs!$I$13+Inputs!$D$14*Inputs!$I$14+Inputs!$D$15*Inputs!$I$15+Inputs!$D$16*Inputs!$I$16)</f>
        <v>0</v>
      </c>
      <c r="D11" s="21">
        <f>(Inputs!$D$12*Inputs!$I$12*D28+Inputs!$D$13*Inputs!$I$13*D56+Inputs!$D$14*Inputs!$I$14*D84+Inputs!$D$15*Inputs!$I$15*D112+Inputs!$D$16*Inputs!$I$16*D140)/(Inputs!$D$12*Inputs!$I$12+Inputs!$D$13*Inputs!$I$13+Inputs!$D$14*Inputs!$I$14+Inputs!$D$15*Inputs!$I$15+Inputs!$D$16*Inputs!$I$16)</f>
        <v>0</v>
      </c>
      <c r="E11" s="21">
        <f>(Inputs!$D$12*Inputs!$I$12*E28+Inputs!$D$13*Inputs!$I$13*E56+Inputs!$D$14*Inputs!$I$14*E84+Inputs!$D$15*Inputs!$I$15*E112+Inputs!$D$16*Inputs!$I$16*E140)/(Inputs!$D$12*Inputs!$I$12+Inputs!$D$13*Inputs!$I$13+Inputs!$D$14*Inputs!$I$14+Inputs!$D$15*Inputs!$I$15+Inputs!$D$16*Inputs!$I$16)</f>
        <v>0</v>
      </c>
      <c r="F11" s="21">
        <f>(Inputs!$D$12*Inputs!$I$12*F28+Inputs!$D$13*Inputs!$I$13*F56+Inputs!$D$14*Inputs!$I$14*F84+Inputs!$D$15*Inputs!$I$15*F112+Inputs!$D$16*Inputs!$I$16*F140)/(Inputs!$D$12*Inputs!$I$12+Inputs!$D$13*Inputs!$I$13+Inputs!$D$14*Inputs!$I$14+Inputs!$D$15*Inputs!$I$15+Inputs!$D$16*Inputs!$I$16)</f>
        <v>0</v>
      </c>
      <c r="G11" s="21">
        <f>(Inputs!$D$12*Inputs!$I$12*G28+Inputs!$D$13*Inputs!$I$13*G56+Inputs!$D$14*Inputs!$I$14*G84+Inputs!$D$15*Inputs!$I$15*G112+Inputs!$D$16*Inputs!$I$16*G140)/(Inputs!$D$12*Inputs!$I$12+Inputs!$D$13*Inputs!$I$13+Inputs!$D$14*Inputs!$I$14+Inputs!$D$15*Inputs!$I$15+Inputs!$D$16*Inputs!$I$16)</f>
        <v>0</v>
      </c>
      <c r="H11" s="21">
        <f>(Inputs!$D$12*Inputs!$I$12*H28+Inputs!$D$13*Inputs!$I$13*H56+Inputs!$D$14*Inputs!$I$14*H84+Inputs!$D$15*Inputs!$I$15*H112+Inputs!$D$16*Inputs!$I$16*H140)/(Inputs!$D$12*Inputs!$I$12+Inputs!$D$13*Inputs!$I$13+Inputs!$D$14*Inputs!$I$14+Inputs!$D$15*Inputs!$I$15+Inputs!$D$16*Inputs!$I$16)</f>
        <v>0</v>
      </c>
      <c r="I11" s="21">
        <f>(Inputs!$D$12*Inputs!$I$12*I28+Inputs!$D$13*Inputs!$I$13*I56+Inputs!$D$14*Inputs!$I$14*I84+Inputs!$D$15*Inputs!$I$15*I112+Inputs!$D$16*Inputs!$I$16*I140)/(Inputs!$D$12*Inputs!$I$12+Inputs!$D$13*Inputs!$I$13+Inputs!$D$14*Inputs!$I$14+Inputs!$D$15*Inputs!$I$15+Inputs!$D$16*Inputs!$I$16)</f>
        <v>0</v>
      </c>
      <c r="J11" s="21">
        <f>(Inputs!$D$12*Inputs!$I$12*J28+Inputs!$D$13*Inputs!$I$13*J56+Inputs!$D$14*Inputs!$I$14*J84+Inputs!$D$15*Inputs!$I$15*J112+Inputs!$D$16*Inputs!$I$16*J140)/(Inputs!$D$12*Inputs!$I$12+Inputs!$D$13*Inputs!$I$13+Inputs!$D$14*Inputs!$I$14+Inputs!$D$15*Inputs!$I$15+Inputs!$D$16*Inputs!$I$16)</f>
        <v>0</v>
      </c>
      <c r="K11" s="21">
        <f>(Inputs!$D$12*Inputs!$I$12*K28+Inputs!$D$13*Inputs!$I$13*K56+Inputs!$D$14*Inputs!$I$14*K84+Inputs!$D$15*Inputs!$I$15*K112+Inputs!$D$16*Inputs!$I$16*K140)/(Inputs!$D$12*Inputs!$I$12+Inputs!$D$13*Inputs!$I$13+Inputs!$D$14*Inputs!$I$14+Inputs!$D$15*Inputs!$I$15+Inputs!$D$16*Inputs!$I$16)</f>
        <v>0</v>
      </c>
      <c r="L11" s="21">
        <f>(Inputs!$D$12*Inputs!$I$12*L28+Inputs!$D$13*Inputs!$I$13*L56+Inputs!$D$14*Inputs!$I$14*L84+Inputs!$D$15*Inputs!$I$15*L112+Inputs!$D$16*Inputs!$I$16*L140)/(Inputs!$D$12*Inputs!$I$12+Inputs!$D$13*Inputs!$I$13+Inputs!$D$14*Inputs!$I$14+Inputs!$D$15*Inputs!$I$15+Inputs!$D$16*Inputs!$I$16)</f>
        <v>0</v>
      </c>
      <c r="M11" s="21">
        <f>(Inputs!$D$12*Inputs!$I$12*M28+Inputs!$D$13*Inputs!$I$13*M56+Inputs!$D$14*Inputs!$I$14*M84+Inputs!$D$15*Inputs!$I$15*M112+Inputs!$D$16*Inputs!$I$16*M140)/(Inputs!$D$12*Inputs!$I$12+Inputs!$D$13*Inputs!$I$13+Inputs!$D$14*Inputs!$I$14+Inputs!$D$15*Inputs!$I$15+Inputs!$D$16*Inputs!$I$16)</f>
        <v>0</v>
      </c>
      <c r="N11" s="21">
        <f>(Inputs!$D$12*Inputs!$I$12*N28+Inputs!$D$13*Inputs!$I$13*N56+Inputs!$D$14*Inputs!$I$14*N84+Inputs!$D$15*Inputs!$I$15*N112+Inputs!$D$16*Inputs!$I$16*N140)/(Inputs!$D$12*Inputs!$I$12+Inputs!$D$13*Inputs!$I$13+Inputs!$D$14*Inputs!$I$14+Inputs!$D$15*Inputs!$I$15+Inputs!$D$16*Inputs!$I$16)</f>
        <v>0</v>
      </c>
      <c r="O11" s="21">
        <f>(Inputs!$D$12*Inputs!$I$12*O28+Inputs!$D$13*Inputs!$I$13*O56+Inputs!$D$14*Inputs!$I$14*O84+Inputs!$D$15*Inputs!$I$15*O112+Inputs!$D$16*Inputs!$I$16*O140)/(Inputs!$D$12*Inputs!$I$12+Inputs!$D$13*Inputs!$I$13+Inputs!$D$14*Inputs!$I$14+Inputs!$D$15*Inputs!$I$15+Inputs!$D$16*Inputs!$I$16)</f>
        <v>0</v>
      </c>
      <c r="P11" s="21">
        <f>(Inputs!$D$12*Inputs!$I$12*P28+Inputs!$D$13*Inputs!$I$13*P56+Inputs!$D$14*Inputs!$I$14*P84+Inputs!$D$15*Inputs!$I$15*P112+Inputs!$D$16*Inputs!$I$16*P140)/(Inputs!$D$12*Inputs!$I$12+Inputs!$D$13*Inputs!$I$13+Inputs!$D$14*Inputs!$I$14+Inputs!$D$15*Inputs!$I$15+Inputs!$D$16*Inputs!$I$16)</f>
        <v>0</v>
      </c>
      <c r="Q11" s="21">
        <f>(Inputs!$D$12*Inputs!$I$12*Q28+Inputs!$D$13*Inputs!$I$13*Q56+Inputs!$D$14*Inputs!$I$14*Q84+Inputs!$D$15*Inputs!$I$15*Q112+Inputs!$D$16*Inputs!$I$16*Q140)/(Inputs!$D$12*Inputs!$I$12+Inputs!$D$13*Inputs!$I$13+Inputs!$D$14*Inputs!$I$14+Inputs!$D$15*Inputs!$I$15+Inputs!$D$16*Inputs!$I$16)</f>
        <v>0</v>
      </c>
      <c r="R11" s="21">
        <f>(Inputs!$D$12*Inputs!$I$12*R28+Inputs!$D$13*Inputs!$I$13*R56+Inputs!$D$14*Inputs!$I$14*R84+Inputs!$D$15*Inputs!$I$15*R112+Inputs!$D$16*Inputs!$I$16*R140)/(Inputs!$D$12*Inputs!$I$12+Inputs!$D$13*Inputs!$I$13+Inputs!$D$14*Inputs!$I$14+Inputs!$D$15*Inputs!$I$15+Inputs!$D$16*Inputs!$I$16)</f>
        <v>0</v>
      </c>
      <c r="S11" s="21">
        <f>(Inputs!$D$12*Inputs!$I$12*S28+Inputs!$D$13*Inputs!$I$13*S56+Inputs!$D$14*Inputs!$I$14*S84+Inputs!$D$15*Inputs!$I$15*S112+Inputs!$D$16*Inputs!$I$16*S140)/(Inputs!$D$12*Inputs!$I$12+Inputs!$D$13*Inputs!$I$13+Inputs!$D$14*Inputs!$I$14+Inputs!$D$15*Inputs!$I$15+Inputs!$D$16*Inputs!$I$16)</f>
        <v>0</v>
      </c>
      <c r="T11" s="21">
        <f>(Inputs!$D$12*Inputs!$I$12*T28+Inputs!$D$13*Inputs!$I$13*T56+Inputs!$D$14*Inputs!$I$14*T84+Inputs!$D$15*Inputs!$I$15*T112+Inputs!$D$16*Inputs!$I$16*T140)/(Inputs!$D$12*Inputs!$I$12+Inputs!$D$13*Inputs!$I$13+Inputs!$D$14*Inputs!$I$14+Inputs!$D$15*Inputs!$I$15+Inputs!$D$16*Inputs!$I$16)</f>
        <v>0</v>
      </c>
      <c r="U11" s="21">
        <f>(Inputs!$D$12*Inputs!$I$12*U28+Inputs!$D$13*Inputs!$I$13*U56+Inputs!$D$14*Inputs!$I$14*U84+Inputs!$D$15*Inputs!$I$15*U112+Inputs!$D$16*Inputs!$I$16*U140)/(Inputs!$D$12*Inputs!$I$12+Inputs!$D$13*Inputs!$I$13+Inputs!$D$14*Inputs!$I$14+Inputs!$D$15*Inputs!$I$15+Inputs!$D$16*Inputs!$I$16)</f>
        <v>0</v>
      </c>
      <c r="V11" s="21">
        <f>(Inputs!$D$12*Inputs!$I$12*V28+Inputs!$D$13*Inputs!$I$13*V56+Inputs!$D$14*Inputs!$I$14*V84+Inputs!$D$15*Inputs!$I$15*V112+Inputs!$D$16*Inputs!$I$16*V140)/(Inputs!$D$12*Inputs!$I$12+Inputs!$D$13*Inputs!$I$13+Inputs!$D$14*Inputs!$I$14+Inputs!$D$15*Inputs!$I$15+Inputs!$D$16*Inputs!$I$16)</f>
        <v>0</v>
      </c>
      <c r="W11" s="21">
        <f>(Inputs!$D$12*Inputs!$I$12*W28+Inputs!$D$13*Inputs!$I$13*W56+Inputs!$D$14*Inputs!$I$14*W84+Inputs!$D$15*Inputs!$I$15*W112+Inputs!$D$16*Inputs!$I$16*W140)/(Inputs!$D$12*Inputs!$I$12+Inputs!$D$13*Inputs!$I$13+Inputs!$D$14*Inputs!$I$14+Inputs!$D$15*Inputs!$I$15+Inputs!$D$16*Inputs!$I$16)</f>
        <v>0</v>
      </c>
    </row>
    <row r="12" spans="1:23" ht="18" customHeight="1" x14ac:dyDescent="0.25">
      <c r="A12" s="11" t="str">
        <f>NGS_Archaea_Input!A12</f>
        <v>Arc_taxon_8</v>
      </c>
      <c r="B12" s="21">
        <f>(Inputs!$D$12*Inputs!$I$12*B29+Inputs!$D$13*Inputs!$I$13*B57+Inputs!$D$14*Inputs!$I$14*B85+Inputs!$D$15*Inputs!$I$15*B113+Inputs!$D$16*Inputs!$I$16*B141)/(Inputs!$D$12*Inputs!$I$12+Inputs!$D$13*Inputs!$I$13+Inputs!$D$14*Inputs!$I$14+Inputs!$D$15*Inputs!$I$15+Inputs!$D$16*Inputs!$I$16)</f>
        <v>0</v>
      </c>
      <c r="C12" s="21">
        <f>(Inputs!$D$12*Inputs!$I$12*C29+Inputs!$D$13*Inputs!$I$13*C57+Inputs!$D$14*Inputs!$I$14*C85+Inputs!$D$15*Inputs!$I$15*C113+Inputs!$D$16*Inputs!$I$16*C141)/(Inputs!$D$12*Inputs!$I$12+Inputs!$D$13*Inputs!$I$13+Inputs!$D$14*Inputs!$I$14+Inputs!$D$15*Inputs!$I$15+Inputs!$D$16*Inputs!$I$16)</f>
        <v>0</v>
      </c>
      <c r="D12" s="21">
        <f>(Inputs!$D$12*Inputs!$I$12*D29+Inputs!$D$13*Inputs!$I$13*D57+Inputs!$D$14*Inputs!$I$14*D85+Inputs!$D$15*Inputs!$I$15*D113+Inputs!$D$16*Inputs!$I$16*D141)/(Inputs!$D$12*Inputs!$I$12+Inputs!$D$13*Inputs!$I$13+Inputs!$D$14*Inputs!$I$14+Inputs!$D$15*Inputs!$I$15+Inputs!$D$16*Inputs!$I$16)</f>
        <v>0</v>
      </c>
      <c r="E12" s="21">
        <f>(Inputs!$D$12*Inputs!$I$12*E29+Inputs!$D$13*Inputs!$I$13*E57+Inputs!$D$14*Inputs!$I$14*E85+Inputs!$D$15*Inputs!$I$15*E113+Inputs!$D$16*Inputs!$I$16*E141)/(Inputs!$D$12*Inputs!$I$12+Inputs!$D$13*Inputs!$I$13+Inputs!$D$14*Inputs!$I$14+Inputs!$D$15*Inputs!$I$15+Inputs!$D$16*Inputs!$I$16)</f>
        <v>0</v>
      </c>
      <c r="F12" s="21">
        <f>(Inputs!$D$12*Inputs!$I$12*F29+Inputs!$D$13*Inputs!$I$13*F57+Inputs!$D$14*Inputs!$I$14*F85+Inputs!$D$15*Inputs!$I$15*F113+Inputs!$D$16*Inputs!$I$16*F141)/(Inputs!$D$12*Inputs!$I$12+Inputs!$D$13*Inputs!$I$13+Inputs!$D$14*Inputs!$I$14+Inputs!$D$15*Inputs!$I$15+Inputs!$D$16*Inputs!$I$16)</f>
        <v>0</v>
      </c>
      <c r="G12" s="21">
        <f>(Inputs!$D$12*Inputs!$I$12*G29+Inputs!$D$13*Inputs!$I$13*G57+Inputs!$D$14*Inputs!$I$14*G85+Inputs!$D$15*Inputs!$I$15*G113+Inputs!$D$16*Inputs!$I$16*G141)/(Inputs!$D$12*Inputs!$I$12+Inputs!$D$13*Inputs!$I$13+Inputs!$D$14*Inputs!$I$14+Inputs!$D$15*Inputs!$I$15+Inputs!$D$16*Inputs!$I$16)</f>
        <v>0</v>
      </c>
      <c r="H12" s="21">
        <f>(Inputs!$D$12*Inputs!$I$12*H29+Inputs!$D$13*Inputs!$I$13*H57+Inputs!$D$14*Inputs!$I$14*H85+Inputs!$D$15*Inputs!$I$15*H113+Inputs!$D$16*Inputs!$I$16*H141)/(Inputs!$D$12*Inputs!$I$12+Inputs!$D$13*Inputs!$I$13+Inputs!$D$14*Inputs!$I$14+Inputs!$D$15*Inputs!$I$15+Inputs!$D$16*Inputs!$I$16)</f>
        <v>0</v>
      </c>
      <c r="I12" s="21">
        <f>(Inputs!$D$12*Inputs!$I$12*I29+Inputs!$D$13*Inputs!$I$13*I57+Inputs!$D$14*Inputs!$I$14*I85+Inputs!$D$15*Inputs!$I$15*I113+Inputs!$D$16*Inputs!$I$16*I141)/(Inputs!$D$12*Inputs!$I$12+Inputs!$D$13*Inputs!$I$13+Inputs!$D$14*Inputs!$I$14+Inputs!$D$15*Inputs!$I$15+Inputs!$D$16*Inputs!$I$16)</f>
        <v>0</v>
      </c>
      <c r="J12" s="21">
        <f>(Inputs!$D$12*Inputs!$I$12*J29+Inputs!$D$13*Inputs!$I$13*J57+Inputs!$D$14*Inputs!$I$14*J85+Inputs!$D$15*Inputs!$I$15*J113+Inputs!$D$16*Inputs!$I$16*J141)/(Inputs!$D$12*Inputs!$I$12+Inputs!$D$13*Inputs!$I$13+Inputs!$D$14*Inputs!$I$14+Inputs!$D$15*Inputs!$I$15+Inputs!$D$16*Inputs!$I$16)</f>
        <v>0</v>
      </c>
      <c r="K12" s="21">
        <f>(Inputs!$D$12*Inputs!$I$12*K29+Inputs!$D$13*Inputs!$I$13*K57+Inputs!$D$14*Inputs!$I$14*K85+Inputs!$D$15*Inputs!$I$15*K113+Inputs!$D$16*Inputs!$I$16*K141)/(Inputs!$D$12*Inputs!$I$12+Inputs!$D$13*Inputs!$I$13+Inputs!$D$14*Inputs!$I$14+Inputs!$D$15*Inputs!$I$15+Inputs!$D$16*Inputs!$I$16)</f>
        <v>0</v>
      </c>
      <c r="L12" s="21">
        <f>(Inputs!$D$12*Inputs!$I$12*L29+Inputs!$D$13*Inputs!$I$13*L57+Inputs!$D$14*Inputs!$I$14*L85+Inputs!$D$15*Inputs!$I$15*L113+Inputs!$D$16*Inputs!$I$16*L141)/(Inputs!$D$12*Inputs!$I$12+Inputs!$D$13*Inputs!$I$13+Inputs!$D$14*Inputs!$I$14+Inputs!$D$15*Inputs!$I$15+Inputs!$D$16*Inputs!$I$16)</f>
        <v>0</v>
      </c>
      <c r="M12" s="21">
        <f>(Inputs!$D$12*Inputs!$I$12*M29+Inputs!$D$13*Inputs!$I$13*M57+Inputs!$D$14*Inputs!$I$14*M85+Inputs!$D$15*Inputs!$I$15*M113+Inputs!$D$16*Inputs!$I$16*M141)/(Inputs!$D$12*Inputs!$I$12+Inputs!$D$13*Inputs!$I$13+Inputs!$D$14*Inputs!$I$14+Inputs!$D$15*Inputs!$I$15+Inputs!$D$16*Inputs!$I$16)</f>
        <v>0</v>
      </c>
      <c r="N12" s="21">
        <f>(Inputs!$D$12*Inputs!$I$12*N29+Inputs!$D$13*Inputs!$I$13*N57+Inputs!$D$14*Inputs!$I$14*N85+Inputs!$D$15*Inputs!$I$15*N113+Inputs!$D$16*Inputs!$I$16*N141)/(Inputs!$D$12*Inputs!$I$12+Inputs!$D$13*Inputs!$I$13+Inputs!$D$14*Inputs!$I$14+Inputs!$D$15*Inputs!$I$15+Inputs!$D$16*Inputs!$I$16)</f>
        <v>0</v>
      </c>
      <c r="O12" s="21">
        <f>(Inputs!$D$12*Inputs!$I$12*O29+Inputs!$D$13*Inputs!$I$13*O57+Inputs!$D$14*Inputs!$I$14*O85+Inputs!$D$15*Inputs!$I$15*O113+Inputs!$D$16*Inputs!$I$16*O141)/(Inputs!$D$12*Inputs!$I$12+Inputs!$D$13*Inputs!$I$13+Inputs!$D$14*Inputs!$I$14+Inputs!$D$15*Inputs!$I$15+Inputs!$D$16*Inputs!$I$16)</f>
        <v>0</v>
      </c>
      <c r="P12" s="21">
        <f>(Inputs!$D$12*Inputs!$I$12*P29+Inputs!$D$13*Inputs!$I$13*P57+Inputs!$D$14*Inputs!$I$14*P85+Inputs!$D$15*Inputs!$I$15*P113+Inputs!$D$16*Inputs!$I$16*P141)/(Inputs!$D$12*Inputs!$I$12+Inputs!$D$13*Inputs!$I$13+Inputs!$D$14*Inputs!$I$14+Inputs!$D$15*Inputs!$I$15+Inputs!$D$16*Inputs!$I$16)</f>
        <v>0</v>
      </c>
      <c r="Q12" s="21">
        <f>(Inputs!$D$12*Inputs!$I$12*Q29+Inputs!$D$13*Inputs!$I$13*Q57+Inputs!$D$14*Inputs!$I$14*Q85+Inputs!$D$15*Inputs!$I$15*Q113+Inputs!$D$16*Inputs!$I$16*Q141)/(Inputs!$D$12*Inputs!$I$12+Inputs!$D$13*Inputs!$I$13+Inputs!$D$14*Inputs!$I$14+Inputs!$D$15*Inputs!$I$15+Inputs!$D$16*Inputs!$I$16)</f>
        <v>0</v>
      </c>
      <c r="R12" s="21">
        <f>(Inputs!$D$12*Inputs!$I$12*R29+Inputs!$D$13*Inputs!$I$13*R57+Inputs!$D$14*Inputs!$I$14*R85+Inputs!$D$15*Inputs!$I$15*R113+Inputs!$D$16*Inputs!$I$16*R141)/(Inputs!$D$12*Inputs!$I$12+Inputs!$D$13*Inputs!$I$13+Inputs!$D$14*Inputs!$I$14+Inputs!$D$15*Inputs!$I$15+Inputs!$D$16*Inputs!$I$16)</f>
        <v>0</v>
      </c>
      <c r="S12" s="21">
        <f>(Inputs!$D$12*Inputs!$I$12*S29+Inputs!$D$13*Inputs!$I$13*S57+Inputs!$D$14*Inputs!$I$14*S85+Inputs!$D$15*Inputs!$I$15*S113+Inputs!$D$16*Inputs!$I$16*S141)/(Inputs!$D$12*Inputs!$I$12+Inputs!$D$13*Inputs!$I$13+Inputs!$D$14*Inputs!$I$14+Inputs!$D$15*Inputs!$I$15+Inputs!$D$16*Inputs!$I$16)</f>
        <v>0</v>
      </c>
      <c r="T12" s="21">
        <f>(Inputs!$D$12*Inputs!$I$12*T29+Inputs!$D$13*Inputs!$I$13*T57+Inputs!$D$14*Inputs!$I$14*T85+Inputs!$D$15*Inputs!$I$15*T113+Inputs!$D$16*Inputs!$I$16*T141)/(Inputs!$D$12*Inputs!$I$12+Inputs!$D$13*Inputs!$I$13+Inputs!$D$14*Inputs!$I$14+Inputs!$D$15*Inputs!$I$15+Inputs!$D$16*Inputs!$I$16)</f>
        <v>0</v>
      </c>
      <c r="U12" s="21">
        <f>(Inputs!$D$12*Inputs!$I$12*U29+Inputs!$D$13*Inputs!$I$13*U57+Inputs!$D$14*Inputs!$I$14*U85+Inputs!$D$15*Inputs!$I$15*U113+Inputs!$D$16*Inputs!$I$16*U141)/(Inputs!$D$12*Inputs!$I$12+Inputs!$D$13*Inputs!$I$13+Inputs!$D$14*Inputs!$I$14+Inputs!$D$15*Inputs!$I$15+Inputs!$D$16*Inputs!$I$16)</f>
        <v>0</v>
      </c>
      <c r="V12" s="21">
        <f>(Inputs!$D$12*Inputs!$I$12*V29+Inputs!$D$13*Inputs!$I$13*V57+Inputs!$D$14*Inputs!$I$14*V85+Inputs!$D$15*Inputs!$I$15*V113+Inputs!$D$16*Inputs!$I$16*V141)/(Inputs!$D$12*Inputs!$I$12+Inputs!$D$13*Inputs!$I$13+Inputs!$D$14*Inputs!$I$14+Inputs!$D$15*Inputs!$I$15+Inputs!$D$16*Inputs!$I$16)</f>
        <v>0</v>
      </c>
      <c r="W12" s="21">
        <f>(Inputs!$D$12*Inputs!$I$12*W29+Inputs!$D$13*Inputs!$I$13*W57+Inputs!$D$14*Inputs!$I$14*W85+Inputs!$D$15*Inputs!$I$15*W113+Inputs!$D$16*Inputs!$I$16*W141)/(Inputs!$D$12*Inputs!$I$12+Inputs!$D$13*Inputs!$I$13+Inputs!$D$14*Inputs!$I$14+Inputs!$D$15*Inputs!$I$15+Inputs!$D$16*Inputs!$I$16)</f>
        <v>0</v>
      </c>
    </row>
    <row r="13" spans="1:23" ht="18" customHeight="1" x14ac:dyDescent="0.25">
      <c r="A13" s="11" t="str">
        <f>NGS_Archaea_Input!A13</f>
        <v>Arc_taxon_9</v>
      </c>
      <c r="B13" s="21">
        <f>(Inputs!$D$12*Inputs!$I$12*B30+Inputs!$D$13*Inputs!$I$13*B58+Inputs!$D$14*Inputs!$I$14*B86+Inputs!$D$15*Inputs!$I$15*B114+Inputs!$D$16*Inputs!$I$16*B142)/(Inputs!$D$12*Inputs!$I$12+Inputs!$D$13*Inputs!$I$13+Inputs!$D$14*Inputs!$I$14+Inputs!$D$15*Inputs!$I$15+Inputs!$D$16*Inputs!$I$16)</f>
        <v>0</v>
      </c>
      <c r="C13" s="21">
        <f>(Inputs!$D$12*Inputs!$I$12*C30+Inputs!$D$13*Inputs!$I$13*C58+Inputs!$D$14*Inputs!$I$14*C86+Inputs!$D$15*Inputs!$I$15*C114+Inputs!$D$16*Inputs!$I$16*C142)/(Inputs!$D$12*Inputs!$I$12+Inputs!$D$13*Inputs!$I$13+Inputs!$D$14*Inputs!$I$14+Inputs!$D$15*Inputs!$I$15+Inputs!$D$16*Inputs!$I$16)</f>
        <v>0</v>
      </c>
      <c r="D13" s="21">
        <f>(Inputs!$D$12*Inputs!$I$12*D30+Inputs!$D$13*Inputs!$I$13*D58+Inputs!$D$14*Inputs!$I$14*D86+Inputs!$D$15*Inputs!$I$15*D114+Inputs!$D$16*Inputs!$I$16*D142)/(Inputs!$D$12*Inputs!$I$12+Inputs!$D$13*Inputs!$I$13+Inputs!$D$14*Inputs!$I$14+Inputs!$D$15*Inputs!$I$15+Inputs!$D$16*Inputs!$I$16)</f>
        <v>0</v>
      </c>
      <c r="E13" s="21">
        <f>(Inputs!$D$12*Inputs!$I$12*E30+Inputs!$D$13*Inputs!$I$13*E58+Inputs!$D$14*Inputs!$I$14*E86+Inputs!$D$15*Inputs!$I$15*E114+Inputs!$D$16*Inputs!$I$16*E142)/(Inputs!$D$12*Inputs!$I$12+Inputs!$D$13*Inputs!$I$13+Inputs!$D$14*Inputs!$I$14+Inputs!$D$15*Inputs!$I$15+Inputs!$D$16*Inputs!$I$16)</f>
        <v>0</v>
      </c>
      <c r="F13" s="21">
        <f>(Inputs!$D$12*Inputs!$I$12*F30+Inputs!$D$13*Inputs!$I$13*F58+Inputs!$D$14*Inputs!$I$14*F86+Inputs!$D$15*Inputs!$I$15*F114+Inputs!$D$16*Inputs!$I$16*F142)/(Inputs!$D$12*Inputs!$I$12+Inputs!$D$13*Inputs!$I$13+Inputs!$D$14*Inputs!$I$14+Inputs!$D$15*Inputs!$I$15+Inputs!$D$16*Inputs!$I$16)</f>
        <v>0</v>
      </c>
      <c r="G13" s="21">
        <f>(Inputs!$D$12*Inputs!$I$12*G30+Inputs!$D$13*Inputs!$I$13*G58+Inputs!$D$14*Inputs!$I$14*G86+Inputs!$D$15*Inputs!$I$15*G114+Inputs!$D$16*Inputs!$I$16*G142)/(Inputs!$D$12*Inputs!$I$12+Inputs!$D$13*Inputs!$I$13+Inputs!$D$14*Inputs!$I$14+Inputs!$D$15*Inputs!$I$15+Inputs!$D$16*Inputs!$I$16)</f>
        <v>0</v>
      </c>
      <c r="H13" s="21">
        <f>(Inputs!$D$12*Inputs!$I$12*H30+Inputs!$D$13*Inputs!$I$13*H58+Inputs!$D$14*Inputs!$I$14*H86+Inputs!$D$15*Inputs!$I$15*H114+Inputs!$D$16*Inputs!$I$16*H142)/(Inputs!$D$12*Inputs!$I$12+Inputs!$D$13*Inputs!$I$13+Inputs!$D$14*Inputs!$I$14+Inputs!$D$15*Inputs!$I$15+Inputs!$D$16*Inputs!$I$16)</f>
        <v>0</v>
      </c>
      <c r="I13" s="21">
        <f>(Inputs!$D$12*Inputs!$I$12*I30+Inputs!$D$13*Inputs!$I$13*I58+Inputs!$D$14*Inputs!$I$14*I86+Inputs!$D$15*Inputs!$I$15*I114+Inputs!$D$16*Inputs!$I$16*I142)/(Inputs!$D$12*Inputs!$I$12+Inputs!$D$13*Inputs!$I$13+Inputs!$D$14*Inputs!$I$14+Inputs!$D$15*Inputs!$I$15+Inputs!$D$16*Inputs!$I$16)</f>
        <v>0</v>
      </c>
      <c r="J13" s="21">
        <f>(Inputs!$D$12*Inputs!$I$12*J30+Inputs!$D$13*Inputs!$I$13*J58+Inputs!$D$14*Inputs!$I$14*J86+Inputs!$D$15*Inputs!$I$15*J114+Inputs!$D$16*Inputs!$I$16*J142)/(Inputs!$D$12*Inputs!$I$12+Inputs!$D$13*Inputs!$I$13+Inputs!$D$14*Inputs!$I$14+Inputs!$D$15*Inputs!$I$15+Inputs!$D$16*Inputs!$I$16)</f>
        <v>0</v>
      </c>
      <c r="K13" s="21">
        <f>(Inputs!$D$12*Inputs!$I$12*K30+Inputs!$D$13*Inputs!$I$13*K58+Inputs!$D$14*Inputs!$I$14*K86+Inputs!$D$15*Inputs!$I$15*K114+Inputs!$D$16*Inputs!$I$16*K142)/(Inputs!$D$12*Inputs!$I$12+Inputs!$D$13*Inputs!$I$13+Inputs!$D$14*Inputs!$I$14+Inputs!$D$15*Inputs!$I$15+Inputs!$D$16*Inputs!$I$16)</f>
        <v>0</v>
      </c>
      <c r="L13" s="21">
        <f>(Inputs!$D$12*Inputs!$I$12*L30+Inputs!$D$13*Inputs!$I$13*L58+Inputs!$D$14*Inputs!$I$14*L86+Inputs!$D$15*Inputs!$I$15*L114+Inputs!$D$16*Inputs!$I$16*L142)/(Inputs!$D$12*Inputs!$I$12+Inputs!$D$13*Inputs!$I$13+Inputs!$D$14*Inputs!$I$14+Inputs!$D$15*Inputs!$I$15+Inputs!$D$16*Inputs!$I$16)</f>
        <v>0</v>
      </c>
      <c r="M13" s="21">
        <f>(Inputs!$D$12*Inputs!$I$12*M30+Inputs!$D$13*Inputs!$I$13*M58+Inputs!$D$14*Inputs!$I$14*M86+Inputs!$D$15*Inputs!$I$15*M114+Inputs!$D$16*Inputs!$I$16*M142)/(Inputs!$D$12*Inputs!$I$12+Inputs!$D$13*Inputs!$I$13+Inputs!$D$14*Inputs!$I$14+Inputs!$D$15*Inputs!$I$15+Inputs!$D$16*Inputs!$I$16)</f>
        <v>0</v>
      </c>
      <c r="N13" s="21">
        <f>(Inputs!$D$12*Inputs!$I$12*N30+Inputs!$D$13*Inputs!$I$13*N58+Inputs!$D$14*Inputs!$I$14*N86+Inputs!$D$15*Inputs!$I$15*N114+Inputs!$D$16*Inputs!$I$16*N142)/(Inputs!$D$12*Inputs!$I$12+Inputs!$D$13*Inputs!$I$13+Inputs!$D$14*Inputs!$I$14+Inputs!$D$15*Inputs!$I$15+Inputs!$D$16*Inputs!$I$16)</f>
        <v>0</v>
      </c>
      <c r="O13" s="21">
        <f>(Inputs!$D$12*Inputs!$I$12*O30+Inputs!$D$13*Inputs!$I$13*O58+Inputs!$D$14*Inputs!$I$14*O86+Inputs!$D$15*Inputs!$I$15*O114+Inputs!$D$16*Inputs!$I$16*O142)/(Inputs!$D$12*Inputs!$I$12+Inputs!$D$13*Inputs!$I$13+Inputs!$D$14*Inputs!$I$14+Inputs!$D$15*Inputs!$I$15+Inputs!$D$16*Inputs!$I$16)</f>
        <v>0</v>
      </c>
      <c r="P13" s="21">
        <f>(Inputs!$D$12*Inputs!$I$12*P30+Inputs!$D$13*Inputs!$I$13*P58+Inputs!$D$14*Inputs!$I$14*P86+Inputs!$D$15*Inputs!$I$15*P114+Inputs!$D$16*Inputs!$I$16*P142)/(Inputs!$D$12*Inputs!$I$12+Inputs!$D$13*Inputs!$I$13+Inputs!$D$14*Inputs!$I$14+Inputs!$D$15*Inputs!$I$15+Inputs!$D$16*Inputs!$I$16)</f>
        <v>0</v>
      </c>
      <c r="Q13" s="21">
        <f>(Inputs!$D$12*Inputs!$I$12*Q30+Inputs!$D$13*Inputs!$I$13*Q58+Inputs!$D$14*Inputs!$I$14*Q86+Inputs!$D$15*Inputs!$I$15*Q114+Inputs!$D$16*Inputs!$I$16*Q142)/(Inputs!$D$12*Inputs!$I$12+Inputs!$D$13*Inputs!$I$13+Inputs!$D$14*Inputs!$I$14+Inputs!$D$15*Inputs!$I$15+Inputs!$D$16*Inputs!$I$16)</f>
        <v>0</v>
      </c>
      <c r="R13" s="21">
        <f>(Inputs!$D$12*Inputs!$I$12*R30+Inputs!$D$13*Inputs!$I$13*R58+Inputs!$D$14*Inputs!$I$14*R86+Inputs!$D$15*Inputs!$I$15*R114+Inputs!$D$16*Inputs!$I$16*R142)/(Inputs!$D$12*Inputs!$I$12+Inputs!$D$13*Inputs!$I$13+Inputs!$D$14*Inputs!$I$14+Inputs!$D$15*Inputs!$I$15+Inputs!$D$16*Inputs!$I$16)</f>
        <v>0</v>
      </c>
      <c r="S13" s="21">
        <f>(Inputs!$D$12*Inputs!$I$12*S30+Inputs!$D$13*Inputs!$I$13*S58+Inputs!$D$14*Inputs!$I$14*S86+Inputs!$D$15*Inputs!$I$15*S114+Inputs!$D$16*Inputs!$I$16*S142)/(Inputs!$D$12*Inputs!$I$12+Inputs!$D$13*Inputs!$I$13+Inputs!$D$14*Inputs!$I$14+Inputs!$D$15*Inputs!$I$15+Inputs!$D$16*Inputs!$I$16)</f>
        <v>0</v>
      </c>
      <c r="T13" s="21">
        <f>(Inputs!$D$12*Inputs!$I$12*T30+Inputs!$D$13*Inputs!$I$13*T58+Inputs!$D$14*Inputs!$I$14*T86+Inputs!$D$15*Inputs!$I$15*T114+Inputs!$D$16*Inputs!$I$16*T142)/(Inputs!$D$12*Inputs!$I$12+Inputs!$D$13*Inputs!$I$13+Inputs!$D$14*Inputs!$I$14+Inputs!$D$15*Inputs!$I$15+Inputs!$D$16*Inputs!$I$16)</f>
        <v>0</v>
      </c>
      <c r="U13" s="21">
        <f>(Inputs!$D$12*Inputs!$I$12*U30+Inputs!$D$13*Inputs!$I$13*U58+Inputs!$D$14*Inputs!$I$14*U86+Inputs!$D$15*Inputs!$I$15*U114+Inputs!$D$16*Inputs!$I$16*U142)/(Inputs!$D$12*Inputs!$I$12+Inputs!$D$13*Inputs!$I$13+Inputs!$D$14*Inputs!$I$14+Inputs!$D$15*Inputs!$I$15+Inputs!$D$16*Inputs!$I$16)</f>
        <v>0</v>
      </c>
      <c r="V13" s="21">
        <f>(Inputs!$D$12*Inputs!$I$12*V30+Inputs!$D$13*Inputs!$I$13*V58+Inputs!$D$14*Inputs!$I$14*V86+Inputs!$D$15*Inputs!$I$15*V114+Inputs!$D$16*Inputs!$I$16*V142)/(Inputs!$D$12*Inputs!$I$12+Inputs!$D$13*Inputs!$I$13+Inputs!$D$14*Inputs!$I$14+Inputs!$D$15*Inputs!$I$15+Inputs!$D$16*Inputs!$I$16)</f>
        <v>0</v>
      </c>
      <c r="W13" s="21">
        <f>(Inputs!$D$12*Inputs!$I$12*W30+Inputs!$D$13*Inputs!$I$13*W58+Inputs!$D$14*Inputs!$I$14*W86+Inputs!$D$15*Inputs!$I$15*W114+Inputs!$D$16*Inputs!$I$16*W142)/(Inputs!$D$12*Inputs!$I$12+Inputs!$D$13*Inputs!$I$13+Inputs!$D$14*Inputs!$I$14+Inputs!$D$15*Inputs!$I$15+Inputs!$D$16*Inputs!$I$16)</f>
        <v>0</v>
      </c>
    </row>
    <row r="14" spans="1:23" ht="18" customHeight="1" x14ac:dyDescent="0.25">
      <c r="A14" s="11" t="str">
        <f>NGS_Archaea_Input!A14</f>
        <v>Arc_taxon_10</v>
      </c>
      <c r="B14" s="21">
        <f>(Inputs!$D$12*Inputs!$I$12*B31+Inputs!$D$13*Inputs!$I$13*B59+Inputs!$D$14*Inputs!$I$14*B87+Inputs!$D$15*Inputs!$I$15*B115+Inputs!$D$16*Inputs!$I$16*B143)/(Inputs!$D$12*Inputs!$I$12+Inputs!$D$13*Inputs!$I$13+Inputs!$D$14*Inputs!$I$14+Inputs!$D$15*Inputs!$I$15+Inputs!$D$16*Inputs!$I$16)</f>
        <v>0</v>
      </c>
      <c r="C14" s="21">
        <f>(Inputs!$D$12*Inputs!$I$12*C31+Inputs!$D$13*Inputs!$I$13*C59+Inputs!$D$14*Inputs!$I$14*C87+Inputs!$D$15*Inputs!$I$15*C115+Inputs!$D$16*Inputs!$I$16*C143)/(Inputs!$D$12*Inputs!$I$12+Inputs!$D$13*Inputs!$I$13+Inputs!$D$14*Inputs!$I$14+Inputs!$D$15*Inputs!$I$15+Inputs!$D$16*Inputs!$I$16)</f>
        <v>0</v>
      </c>
      <c r="D14" s="21">
        <f>(Inputs!$D$12*Inputs!$I$12*D31+Inputs!$D$13*Inputs!$I$13*D59+Inputs!$D$14*Inputs!$I$14*D87+Inputs!$D$15*Inputs!$I$15*D115+Inputs!$D$16*Inputs!$I$16*D143)/(Inputs!$D$12*Inputs!$I$12+Inputs!$D$13*Inputs!$I$13+Inputs!$D$14*Inputs!$I$14+Inputs!$D$15*Inputs!$I$15+Inputs!$D$16*Inputs!$I$16)</f>
        <v>0</v>
      </c>
      <c r="E14" s="21">
        <f>(Inputs!$D$12*Inputs!$I$12*E31+Inputs!$D$13*Inputs!$I$13*E59+Inputs!$D$14*Inputs!$I$14*E87+Inputs!$D$15*Inputs!$I$15*E115+Inputs!$D$16*Inputs!$I$16*E143)/(Inputs!$D$12*Inputs!$I$12+Inputs!$D$13*Inputs!$I$13+Inputs!$D$14*Inputs!$I$14+Inputs!$D$15*Inputs!$I$15+Inputs!$D$16*Inputs!$I$16)</f>
        <v>0</v>
      </c>
      <c r="F14" s="21">
        <f>(Inputs!$D$12*Inputs!$I$12*F31+Inputs!$D$13*Inputs!$I$13*F59+Inputs!$D$14*Inputs!$I$14*F87+Inputs!$D$15*Inputs!$I$15*F115+Inputs!$D$16*Inputs!$I$16*F143)/(Inputs!$D$12*Inputs!$I$12+Inputs!$D$13*Inputs!$I$13+Inputs!$D$14*Inputs!$I$14+Inputs!$D$15*Inputs!$I$15+Inputs!$D$16*Inputs!$I$16)</f>
        <v>0</v>
      </c>
      <c r="G14" s="21">
        <f>(Inputs!$D$12*Inputs!$I$12*G31+Inputs!$D$13*Inputs!$I$13*G59+Inputs!$D$14*Inputs!$I$14*G87+Inputs!$D$15*Inputs!$I$15*G115+Inputs!$D$16*Inputs!$I$16*G143)/(Inputs!$D$12*Inputs!$I$12+Inputs!$D$13*Inputs!$I$13+Inputs!$D$14*Inputs!$I$14+Inputs!$D$15*Inputs!$I$15+Inputs!$D$16*Inputs!$I$16)</f>
        <v>0</v>
      </c>
      <c r="H14" s="21">
        <f>(Inputs!$D$12*Inputs!$I$12*H31+Inputs!$D$13*Inputs!$I$13*H59+Inputs!$D$14*Inputs!$I$14*H87+Inputs!$D$15*Inputs!$I$15*H115+Inputs!$D$16*Inputs!$I$16*H143)/(Inputs!$D$12*Inputs!$I$12+Inputs!$D$13*Inputs!$I$13+Inputs!$D$14*Inputs!$I$14+Inputs!$D$15*Inputs!$I$15+Inputs!$D$16*Inputs!$I$16)</f>
        <v>0</v>
      </c>
      <c r="I14" s="21">
        <f>(Inputs!$D$12*Inputs!$I$12*I31+Inputs!$D$13*Inputs!$I$13*I59+Inputs!$D$14*Inputs!$I$14*I87+Inputs!$D$15*Inputs!$I$15*I115+Inputs!$D$16*Inputs!$I$16*I143)/(Inputs!$D$12*Inputs!$I$12+Inputs!$D$13*Inputs!$I$13+Inputs!$D$14*Inputs!$I$14+Inputs!$D$15*Inputs!$I$15+Inputs!$D$16*Inputs!$I$16)</f>
        <v>0</v>
      </c>
      <c r="J14" s="21">
        <f>(Inputs!$D$12*Inputs!$I$12*J31+Inputs!$D$13*Inputs!$I$13*J59+Inputs!$D$14*Inputs!$I$14*J87+Inputs!$D$15*Inputs!$I$15*J115+Inputs!$D$16*Inputs!$I$16*J143)/(Inputs!$D$12*Inputs!$I$12+Inputs!$D$13*Inputs!$I$13+Inputs!$D$14*Inputs!$I$14+Inputs!$D$15*Inputs!$I$15+Inputs!$D$16*Inputs!$I$16)</f>
        <v>0</v>
      </c>
      <c r="K14" s="21">
        <f>(Inputs!$D$12*Inputs!$I$12*K31+Inputs!$D$13*Inputs!$I$13*K59+Inputs!$D$14*Inputs!$I$14*K87+Inputs!$D$15*Inputs!$I$15*K115+Inputs!$D$16*Inputs!$I$16*K143)/(Inputs!$D$12*Inputs!$I$12+Inputs!$D$13*Inputs!$I$13+Inputs!$D$14*Inputs!$I$14+Inputs!$D$15*Inputs!$I$15+Inputs!$D$16*Inputs!$I$16)</f>
        <v>0</v>
      </c>
      <c r="L14" s="21">
        <f>(Inputs!$D$12*Inputs!$I$12*L31+Inputs!$D$13*Inputs!$I$13*L59+Inputs!$D$14*Inputs!$I$14*L87+Inputs!$D$15*Inputs!$I$15*L115+Inputs!$D$16*Inputs!$I$16*L143)/(Inputs!$D$12*Inputs!$I$12+Inputs!$D$13*Inputs!$I$13+Inputs!$D$14*Inputs!$I$14+Inputs!$D$15*Inputs!$I$15+Inputs!$D$16*Inputs!$I$16)</f>
        <v>0</v>
      </c>
      <c r="M14" s="21">
        <f>(Inputs!$D$12*Inputs!$I$12*M31+Inputs!$D$13*Inputs!$I$13*M59+Inputs!$D$14*Inputs!$I$14*M87+Inputs!$D$15*Inputs!$I$15*M115+Inputs!$D$16*Inputs!$I$16*M143)/(Inputs!$D$12*Inputs!$I$12+Inputs!$D$13*Inputs!$I$13+Inputs!$D$14*Inputs!$I$14+Inputs!$D$15*Inputs!$I$15+Inputs!$D$16*Inputs!$I$16)</f>
        <v>0</v>
      </c>
      <c r="N14" s="21">
        <f>(Inputs!$D$12*Inputs!$I$12*N31+Inputs!$D$13*Inputs!$I$13*N59+Inputs!$D$14*Inputs!$I$14*N87+Inputs!$D$15*Inputs!$I$15*N115+Inputs!$D$16*Inputs!$I$16*N143)/(Inputs!$D$12*Inputs!$I$12+Inputs!$D$13*Inputs!$I$13+Inputs!$D$14*Inputs!$I$14+Inputs!$D$15*Inputs!$I$15+Inputs!$D$16*Inputs!$I$16)</f>
        <v>0</v>
      </c>
      <c r="O14" s="21">
        <f>(Inputs!$D$12*Inputs!$I$12*O31+Inputs!$D$13*Inputs!$I$13*O59+Inputs!$D$14*Inputs!$I$14*O87+Inputs!$D$15*Inputs!$I$15*O115+Inputs!$D$16*Inputs!$I$16*O143)/(Inputs!$D$12*Inputs!$I$12+Inputs!$D$13*Inputs!$I$13+Inputs!$D$14*Inputs!$I$14+Inputs!$D$15*Inputs!$I$15+Inputs!$D$16*Inputs!$I$16)</f>
        <v>0</v>
      </c>
      <c r="P14" s="21">
        <f>(Inputs!$D$12*Inputs!$I$12*P31+Inputs!$D$13*Inputs!$I$13*P59+Inputs!$D$14*Inputs!$I$14*P87+Inputs!$D$15*Inputs!$I$15*P115+Inputs!$D$16*Inputs!$I$16*P143)/(Inputs!$D$12*Inputs!$I$12+Inputs!$D$13*Inputs!$I$13+Inputs!$D$14*Inputs!$I$14+Inputs!$D$15*Inputs!$I$15+Inputs!$D$16*Inputs!$I$16)</f>
        <v>0</v>
      </c>
      <c r="Q14" s="21">
        <f>(Inputs!$D$12*Inputs!$I$12*Q31+Inputs!$D$13*Inputs!$I$13*Q59+Inputs!$D$14*Inputs!$I$14*Q87+Inputs!$D$15*Inputs!$I$15*Q115+Inputs!$D$16*Inputs!$I$16*Q143)/(Inputs!$D$12*Inputs!$I$12+Inputs!$D$13*Inputs!$I$13+Inputs!$D$14*Inputs!$I$14+Inputs!$D$15*Inputs!$I$15+Inputs!$D$16*Inputs!$I$16)</f>
        <v>0</v>
      </c>
      <c r="R14" s="21">
        <f>(Inputs!$D$12*Inputs!$I$12*R31+Inputs!$D$13*Inputs!$I$13*R59+Inputs!$D$14*Inputs!$I$14*R87+Inputs!$D$15*Inputs!$I$15*R115+Inputs!$D$16*Inputs!$I$16*R143)/(Inputs!$D$12*Inputs!$I$12+Inputs!$D$13*Inputs!$I$13+Inputs!$D$14*Inputs!$I$14+Inputs!$D$15*Inputs!$I$15+Inputs!$D$16*Inputs!$I$16)</f>
        <v>0</v>
      </c>
      <c r="S14" s="21">
        <f>(Inputs!$D$12*Inputs!$I$12*S31+Inputs!$D$13*Inputs!$I$13*S59+Inputs!$D$14*Inputs!$I$14*S87+Inputs!$D$15*Inputs!$I$15*S115+Inputs!$D$16*Inputs!$I$16*S143)/(Inputs!$D$12*Inputs!$I$12+Inputs!$D$13*Inputs!$I$13+Inputs!$D$14*Inputs!$I$14+Inputs!$D$15*Inputs!$I$15+Inputs!$D$16*Inputs!$I$16)</f>
        <v>0</v>
      </c>
      <c r="T14" s="21">
        <f>(Inputs!$D$12*Inputs!$I$12*T31+Inputs!$D$13*Inputs!$I$13*T59+Inputs!$D$14*Inputs!$I$14*T87+Inputs!$D$15*Inputs!$I$15*T115+Inputs!$D$16*Inputs!$I$16*T143)/(Inputs!$D$12*Inputs!$I$12+Inputs!$D$13*Inputs!$I$13+Inputs!$D$14*Inputs!$I$14+Inputs!$D$15*Inputs!$I$15+Inputs!$D$16*Inputs!$I$16)</f>
        <v>0</v>
      </c>
      <c r="U14" s="21">
        <f>(Inputs!$D$12*Inputs!$I$12*U31+Inputs!$D$13*Inputs!$I$13*U59+Inputs!$D$14*Inputs!$I$14*U87+Inputs!$D$15*Inputs!$I$15*U115+Inputs!$D$16*Inputs!$I$16*U143)/(Inputs!$D$12*Inputs!$I$12+Inputs!$D$13*Inputs!$I$13+Inputs!$D$14*Inputs!$I$14+Inputs!$D$15*Inputs!$I$15+Inputs!$D$16*Inputs!$I$16)</f>
        <v>0</v>
      </c>
      <c r="V14" s="21">
        <f>(Inputs!$D$12*Inputs!$I$12*V31+Inputs!$D$13*Inputs!$I$13*V59+Inputs!$D$14*Inputs!$I$14*V87+Inputs!$D$15*Inputs!$I$15*V115+Inputs!$D$16*Inputs!$I$16*V143)/(Inputs!$D$12*Inputs!$I$12+Inputs!$D$13*Inputs!$I$13+Inputs!$D$14*Inputs!$I$14+Inputs!$D$15*Inputs!$I$15+Inputs!$D$16*Inputs!$I$16)</f>
        <v>0</v>
      </c>
      <c r="W14" s="21">
        <f>(Inputs!$D$12*Inputs!$I$12*W31+Inputs!$D$13*Inputs!$I$13*W59+Inputs!$D$14*Inputs!$I$14*W87+Inputs!$D$15*Inputs!$I$15*W115+Inputs!$D$16*Inputs!$I$16*W143)/(Inputs!$D$12*Inputs!$I$12+Inputs!$D$13*Inputs!$I$13+Inputs!$D$14*Inputs!$I$14+Inputs!$D$15*Inputs!$I$15+Inputs!$D$16*Inputs!$I$16)</f>
        <v>0</v>
      </c>
    </row>
    <row r="15" spans="1:23" ht="18" customHeight="1" x14ac:dyDescent="0.25">
      <c r="A15" s="11" t="str">
        <f>NGS_Archaea_Input!A15</f>
        <v>Others</v>
      </c>
      <c r="B15" s="21">
        <f>(Inputs!$D$12*Inputs!$I$12*B32+Inputs!$D$13*Inputs!$I$13*B60+Inputs!$D$14*Inputs!$I$14*B88+Inputs!$D$15*Inputs!$I$15*B116+Inputs!$D$16*Inputs!$I$16*B144)/(Inputs!$D$12*Inputs!$I$12+Inputs!$D$13*Inputs!$I$13+Inputs!$D$14*Inputs!$I$14+Inputs!$D$15*Inputs!$I$15+Inputs!$D$16*Inputs!$I$16)</f>
        <v>12249615.027329383</v>
      </c>
      <c r="C15" s="21">
        <f>(Inputs!$D$12*Inputs!$I$12*C32+Inputs!$D$13*Inputs!$I$13*C60+Inputs!$D$14*Inputs!$I$14*C88+Inputs!$D$15*Inputs!$I$15*C116+Inputs!$D$16*Inputs!$I$16*C144)/(Inputs!$D$12*Inputs!$I$12+Inputs!$D$13*Inputs!$I$13+Inputs!$D$14*Inputs!$I$14+Inputs!$D$15*Inputs!$I$15+Inputs!$D$16*Inputs!$I$16)</f>
        <v>12041520.58402629</v>
      </c>
      <c r="D15" s="21">
        <f>(Inputs!$D$12*Inputs!$I$12*D32+Inputs!$D$13*Inputs!$I$13*D60+Inputs!$D$14*Inputs!$I$14*D88+Inputs!$D$15*Inputs!$I$15*D116+Inputs!$D$16*Inputs!$I$16*D144)/(Inputs!$D$12*Inputs!$I$12+Inputs!$D$13*Inputs!$I$13+Inputs!$D$14*Inputs!$I$14+Inputs!$D$15*Inputs!$I$15+Inputs!$D$16*Inputs!$I$16)</f>
        <v>11838855.447297553</v>
      </c>
      <c r="E15" s="21">
        <f>(Inputs!$D$12*Inputs!$I$12*E32+Inputs!$D$13*Inputs!$I$13*E60+Inputs!$D$14*Inputs!$I$14*E88+Inputs!$D$15*Inputs!$I$15*E116+Inputs!$D$16*Inputs!$I$16*E144)/(Inputs!$D$12*Inputs!$I$12+Inputs!$D$13*Inputs!$I$13+Inputs!$D$14*Inputs!$I$14+Inputs!$D$15*Inputs!$I$15+Inputs!$D$16*Inputs!$I$16)</f>
        <v>11641454.432567682</v>
      </c>
      <c r="F15" s="21">
        <f>(Inputs!$D$12*Inputs!$I$12*F32+Inputs!$D$13*Inputs!$I$13*F60+Inputs!$D$14*Inputs!$I$14*F88+Inputs!$D$15*Inputs!$I$15*F116+Inputs!$D$16*Inputs!$I$16*F144)/(Inputs!$D$12*Inputs!$I$12+Inputs!$D$13*Inputs!$I$13+Inputs!$D$14*Inputs!$I$14+Inputs!$D$15*Inputs!$I$15+Inputs!$D$16*Inputs!$I$16)</f>
        <v>11449158.291768169</v>
      </c>
      <c r="G15" s="21">
        <f>(Inputs!$D$12*Inputs!$I$12*G32+Inputs!$D$13*Inputs!$I$13*G60+Inputs!$D$14*Inputs!$I$14*G88+Inputs!$D$15*Inputs!$I$15*G116+Inputs!$D$16*Inputs!$I$16*G144)/(Inputs!$D$12*Inputs!$I$12+Inputs!$D$13*Inputs!$I$13+Inputs!$D$14*Inputs!$I$14+Inputs!$D$15*Inputs!$I$15+Inputs!$D$16*Inputs!$I$16)</f>
        <v>11261813.469724247</v>
      </c>
      <c r="H15" s="21">
        <f>(Inputs!$D$12*Inputs!$I$12*H32+Inputs!$D$13*Inputs!$I$13*H60+Inputs!$D$14*Inputs!$I$14*H88+Inputs!$D$15*Inputs!$I$15*H116+Inputs!$D$16*Inputs!$I$16*H144)/(Inputs!$D$12*Inputs!$I$12+Inputs!$D$13*Inputs!$I$13+Inputs!$D$14*Inputs!$I$14+Inputs!$D$15*Inputs!$I$15+Inputs!$D$16*Inputs!$I$16)</f>
        <v>11079271.871391218</v>
      </c>
      <c r="I15" s="21">
        <f>(Inputs!$D$12*Inputs!$I$12*I32+Inputs!$D$13*Inputs!$I$13*I60+Inputs!$D$14*Inputs!$I$14*I88+Inputs!$D$15*Inputs!$I$15*I116+Inputs!$D$16*Inputs!$I$16*I144)/(Inputs!$D$12*Inputs!$I$12+Inputs!$D$13*Inputs!$I$13+Inputs!$D$14*Inputs!$I$14+Inputs!$D$15*Inputs!$I$15+Inputs!$D$16*Inputs!$I$16)</f>
        <v>10901390.639436038</v>
      </c>
      <c r="J15" s="21">
        <f>(Inputs!$D$12*Inputs!$I$12*J32+Inputs!$D$13*Inputs!$I$13*J60+Inputs!$D$14*Inputs!$I$14*J88+Inputs!$D$15*Inputs!$I$15*J116+Inputs!$D$16*Inputs!$I$16*J144)/(Inputs!$D$12*Inputs!$I$12+Inputs!$D$13*Inputs!$I$13+Inputs!$D$14*Inputs!$I$14+Inputs!$D$15*Inputs!$I$15+Inputs!$D$16*Inputs!$I$16)</f>
        <v>10728031.941683812</v>
      </c>
      <c r="K15" s="21">
        <f>(Inputs!$D$12*Inputs!$I$12*K32+Inputs!$D$13*Inputs!$I$13*K60+Inputs!$D$14*Inputs!$I$14*K88+Inputs!$D$15*Inputs!$I$15*K116+Inputs!$D$16*Inputs!$I$16*K144)/(Inputs!$D$12*Inputs!$I$12+Inputs!$D$13*Inputs!$I$13+Inputs!$D$14*Inputs!$I$14+Inputs!$D$15*Inputs!$I$15+Inputs!$D$16*Inputs!$I$16)</f>
        <v>10559062.767971635</v>
      </c>
      <c r="L15" s="21">
        <f>(Inputs!$D$12*Inputs!$I$12*L32+Inputs!$D$13*Inputs!$I$13*L60+Inputs!$D$14*Inputs!$I$14*L88+Inputs!$D$15*Inputs!$I$15*L116+Inputs!$D$16*Inputs!$I$16*L144)/(Inputs!$D$12*Inputs!$I$12+Inputs!$D$13*Inputs!$I$13+Inputs!$D$14*Inputs!$I$14+Inputs!$D$15*Inputs!$I$15+Inputs!$D$16*Inputs!$I$16)</f>
        <v>10394354.735973837</v>
      </c>
      <c r="M15" s="21">
        <f>(Inputs!$D$12*Inputs!$I$12*M32+Inputs!$D$13*Inputs!$I$13*M60+Inputs!$D$14*Inputs!$I$14*M88+Inputs!$D$15*Inputs!$I$15*M116+Inputs!$D$16*Inputs!$I$16*M144)/(Inputs!$D$12*Inputs!$I$12+Inputs!$D$13*Inputs!$I$13+Inputs!$D$14*Inputs!$I$14+Inputs!$D$15*Inputs!$I$15+Inputs!$D$16*Inputs!$I$16)</f>
        <v>10233783.905583406</v>
      </c>
      <c r="N15" s="21">
        <f>(Inputs!$D$12*Inputs!$I$12*N32+Inputs!$D$13*Inputs!$I$13*N60+Inputs!$D$14*Inputs!$I$14*N88+Inputs!$D$15*Inputs!$I$15*N116+Inputs!$D$16*Inputs!$I$16*N144)/(Inputs!$D$12*Inputs!$I$12+Inputs!$D$13*Inputs!$I$13+Inputs!$D$14*Inputs!$I$14+Inputs!$D$15*Inputs!$I$15+Inputs!$D$16*Inputs!$I$16)</f>
        <v>10077230.601454014</v>
      </c>
      <c r="O15" s="21">
        <f>(Inputs!$D$12*Inputs!$I$12*O32+Inputs!$D$13*Inputs!$I$13*O60+Inputs!$D$14*Inputs!$I$14*O88+Inputs!$D$15*Inputs!$I$15*O116+Inputs!$D$16*Inputs!$I$16*O144)/(Inputs!$D$12*Inputs!$I$12+Inputs!$D$13*Inputs!$I$13+Inputs!$D$14*Inputs!$I$14+Inputs!$D$15*Inputs!$I$15+Inputs!$D$16*Inputs!$I$16)</f>
        <v>9924579.243325714</v>
      </c>
      <c r="P15" s="21">
        <f>(Inputs!$D$12*Inputs!$I$12*P32+Inputs!$D$13*Inputs!$I$13*P60+Inputs!$D$14*Inputs!$I$14*P88+Inputs!$D$15*Inputs!$I$15*P116+Inputs!$D$16*Inputs!$I$16*P144)/(Inputs!$D$12*Inputs!$I$12+Inputs!$D$13*Inputs!$I$13+Inputs!$D$14*Inputs!$I$14+Inputs!$D$15*Inputs!$I$15+Inputs!$D$16*Inputs!$I$16)</f>
        <v>9775718.1837753505</v>
      </c>
      <c r="Q15" s="21">
        <f>(Inputs!$D$12*Inputs!$I$12*Q32+Inputs!$D$13*Inputs!$I$13*Q60+Inputs!$D$14*Inputs!$I$14*Q88+Inputs!$D$15*Inputs!$I$15*Q116+Inputs!$D$16*Inputs!$I$16*Q144)/(Inputs!$D$12*Inputs!$I$12+Inputs!$D$13*Inputs!$I$13+Inputs!$D$14*Inputs!$I$14+Inputs!$D$15*Inputs!$I$15+Inputs!$D$16*Inputs!$I$16)</f>
        <v>9630539.5530495178</v>
      </c>
      <c r="R15" s="21">
        <f>(Inputs!$D$12*Inputs!$I$12*R32+Inputs!$D$13*Inputs!$I$13*R60+Inputs!$D$14*Inputs!$I$14*R88+Inputs!$D$15*Inputs!$I$15*R116+Inputs!$D$16*Inputs!$I$16*R144)/(Inputs!$D$12*Inputs!$I$12+Inputs!$D$13*Inputs!$I$13+Inputs!$D$14*Inputs!$I$14+Inputs!$D$15*Inputs!$I$15+Inputs!$D$16*Inputs!$I$16)</f>
        <v>9488939.1106542051</v>
      </c>
      <c r="S15" s="21">
        <f>(Inputs!$D$12*Inputs!$I$12*S32+Inputs!$D$13*Inputs!$I$13*S60+Inputs!$D$14*Inputs!$I$14*S88+Inputs!$D$15*Inputs!$I$15*S116+Inputs!$D$16*Inputs!$I$16*S144)/(Inputs!$D$12*Inputs!$I$12+Inputs!$D$13*Inputs!$I$13+Inputs!$D$14*Inputs!$I$14+Inputs!$D$15*Inputs!$I$15+Inputs!$D$16*Inputs!$I$16)</f>
        <v>9350816.1033905912</v>
      </c>
      <c r="T15" s="21">
        <f>(Inputs!$D$12*Inputs!$I$12*T32+Inputs!$D$13*Inputs!$I$13*T60+Inputs!$D$14*Inputs!$I$14*T88+Inputs!$D$15*Inputs!$I$15*T116+Inputs!$D$16*Inputs!$I$16*T144)/(Inputs!$D$12*Inputs!$I$12+Inputs!$D$13*Inputs!$I$13+Inputs!$D$14*Inputs!$I$14+Inputs!$D$15*Inputs!$I$15+Inputs!$D$16*Inputs!$I$16)</f>
        <v>9216073.1295410991</v>
      </c>
      <c r="U15" s="21">
        <f>(Inputs!$D$12*Inputs!$I$12*U32+Inputs!$D$13*Inputs!$I$13*U60+Inputs!$D$14*Inputs!$I$14*U88+Inputs!$D$15*Inputs!$I$15*U116+Inputs!$D$16*Inputs!$I$16*U144)/(Inputs!$D$12*Inputs!$I$12+Inputs!$D$13*Inputs!$I$13+Inputs!$D$14*Inputs!$I$14+Inputs!$D$15*Inputs!$I$15+Inputs!$D$16*Inputs!$I$16)</f>
        <v>9084616.0089238137</v>
      </c>
      <c r="V15" s="21">
        <f>(Inputs!$D$12*Inputs!$I$12*V32+Inputs!$D$13*Inputs!$I$13*V60+Inputs!$D$14*Inputs!$I$14*V88+Inputs!$D$15*Inputs!$I$15*V116+Inputs!$D$16*Inputs!$I$16*V144)/(Inputs!$D$12*Inputs!$I$12+Inputs!$D$13*Inputs!$I$13+Inputs!$D$14*Inputs!$I$14+Inputs!$D$15*Inputs!$I$15+Inputs!$D$16*Inputs!$I$16)</f>
        <v>8956353.6585465837</v>
      </c>
      <c r="W15" s="21">
        <f>(Inputs!$D$12*Inputs!$I$12*W32+Inputs!$D$13*Inputs!$I$13*W60+Inputs!$D$14*Inputs!$I$14*W88+Inputs!$D$15*Inputs!$I$15*W116+Inputs!$D$16*Inputs!$I$16*W144)/(Inputs!$D$12*Inputs!$I$12+Inputs!$D$13*Inputs!$I$13+Inputs!$D$14*Inputs!$I$14+Inputs!$D$15*Inputs!$I$15+Inputs!$D$16*Inputs!$I$16)</f>
        <v>8831197.9736048952</v>
      </c>
    </row>
    <row r="16" spans="1:23" ht="18" customHeight="1" x14ac:dyDescent="0.25"/>
    <row r="17" spans="1:23" ht="18" customHeight="1" x14ac:dyDescent="0.25"/>
    <row r="18" spans="1:23" ht="18" customHeight="1" x14ac:dyDescent="0.25"/>
    <row r="19" spans="1:23" ht="18" customHeight="1" x14ac:dyDescent="0.25"/>
    <row r="20" spans="1:23" ht="18" customHeight="1" x14ac:dyDescent="0.25">
      <c r="A20" s="29" t="s">
        <v>49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8" customHeight="1" x14ac:dyDescent="0.25">
      <c r="A21" s="25" t="s">
        <v>161</v>
      </c>
    </row>
    <row r="22" spans="1:23" ht="18" customHeight="1" x14ac:dyDescent="0.25">
      <c r="A22" s="11" t="str">
        <f>NGS_Archaea_Input!A5</f>
        <v>Arc_taxon_1</v>
      </c>
      <c r="B22" s="21">
        <f>IF(Inputs!$H$35="","",Inputs!$H$35*NGS_Archaea_Input!$D$5)</f>
        <v>0</v>
      </c>
      <c r="C22" s="21">
        <f>IF(B22="","",B22+Inputs!$B$5/Inputs!$B$12*(Inputs!$C$12*(Inputs!$C$29*NGS_Archaea_Input!$B$5-B22)+Inputs!$D$12*(B5-B22)+Inputs!$E$12*(Inputs!$D$29*NGS_Archaea_Input!$C$5-B22)))</f>
        <v>0</v>
      </c>
      <c r="D22" s="21">
        <f>IF(C22="","",C22+Inputs!$B$5/Inputs!$B$12*(Inputs!$C$12*(Inputs!$C$29*NGS_Archaea_Input!$B$5-C22)+Inputs!$D$12*(C5-C22)+Inputs!$E$12*(Inputs!$D$29*NGS_Archaea_Input!$C$5-C22)))</f>
        <v>0</v>
      </c>
      <c r="E22" s="21">
        <f>IF(D22="","",D22+Inputs!$B$5/Inputs!$B$12*(Inputs!$C$12*(Inputs!$C$29*NGS_Archaea_Input!$B$5-D22)+Inputs!$D$12*(D5-D22)+Inputs!$E$12*(Inputs!$D$29*NGS_Archaea_Input!$C$5-D22)))</f>
        <v>0</v>
      </c>
      <c r="F22" s="21">
        <f>IF(E22="","",E22+Inputs!$B$5/Inputs!$B$12*(Inputs!$C$12*(Inputs!$C$29*NGS_Archaea_Input!$B$5-E22)+Inputs!$D$12*(E5-E22)+Inputs!$E$12*(Inputs!$D$29*NGS_Archaea_Input!$C$5-E22)))</f>
        <v>0</v>
      </c>
      <c r="G22" s="21">
        <f>IF(F22="","",F22+Inputs!$B$5/Inputs!$B$12*(Inputs!$C$12*(Inputs!$C$29*NGS_Archaea_Input!$B$5-F22)+Inputs!$D$12*(F5-F22)+Inputs!$E$12*(Inputs!$D$29*NGS_Archaea_Input!$C$5-F22)))</f>
        <v>0</v>
      </c>
      <c r="H22" s="21">
        <f>IF(G22="","",G22+Inputs!$B$5/Inputs!$B$12*(Inputs!$C$12*(Inputs!$C$29*NGS_Archaea_Input!$B$5-G22)+Inputs!$D$12*(G5-G22)+Inputs!$E$12*(Inputs!$D$29*NGS_Archaea_Input!$C$5-G22)))</f>
        <v>0</v>
      </c>
      <c r="I22" s="21">
        <f>IF(H22="","",H22+Inputs!$B$5/Inputs!$B$12*(Inputs!$C$12*(Inputs!$C$29*NGS_Archaea_Input!$B$5-H22)+Inputs!$D$12*(H5-H22)+Inputs!$E$12*(Inputs!$D$29*NGS_Archaea_Input!$C$5-H22)))</f>
        <v>0</v>
      </c>
      <c r="J22" s="21">
        <f>IF(I22="","",I22+Inputs!$B$5/Inputs!$B$12*(Inputs!$C$12*(Inputs!$C$29*NGS_Archaea_Input!$B$5-I22)+Inputs!$D$12*(I5-I22)+Inputs!$E$12*(Inputs!$D$29*NGS_Archaea_Input!$C$5-I22)))</f>
        <v>0</v>
      </c>
      <c r="K22" s="21">
        <f>IF(J22="","",J22+Inputs!$B$5/Inputs!$B$12*(Inputs!$C$12*(Inputs!$C$29*NGS_Archaea_Input!$B$5-J22)+Inputs!$D$12*(J5-J22)+Inputs!$E$12*(Inputs!$D$29*NGS_Archaea_Input!$C$5-J22)))</f>
        <v>0</v>
      </c>
      <c r="L22" s="21">
        <f>IF(K22="","",K22+Inputs!$B$5/Inputs!$B$12*(Inputs!$C$12*(Inputs!$C$29*NGS_Archaea_Input!$B$5-K22)+Inputs!$D$12*(K5-K22)+Inputs!$E$12*(Inputs!$D$29*NGS_Archaea_Input!$C$5-K22)))</f>
        <v>0</v>
      </c>
      <c r="M22" s="21">
        <f>IF(L22="","",L22+Inputs!$B$5/Inputs!$B$12*(Inputs!$C$12*(Inputs!$C$29*NGS_Archaea_Input!$B$5-L22)+Inputs!$D$12*(L5-L22)+Inputs!$E$12*(Inputs!$D$29*NGS_Archaea_Input!$C$5-L22)))</f>
        <v>0</v>
      </c>
      <c r="N22" s="21">
        <f>IF(M22="","",M22+Inputs!$B$5/Inputs!$B$12*(Inputs!$C$12*(Inputs!$C$29*NGS_Archaea_Input!$B$5-M22)+Inputs!$D$12*(M5-M22)+Inputs!$E$12*(Inputs!$D$29*NGS_Archaea_Input!$C$5-M22)))</f>
        <v>0</v>
      </c>
      <c r="O22" s="21">
        <f>IF(N22="","",N22+Inputs!$B$5/Inputs!$B$12*(Inputs!$C$12*(Inputs!$C$29*NGS_Archaea_Input!$B$5-N22)+Inputs!$D$12*(N5-N22)+Inputs!$E$12*(Inputs!$D$29*NGS_Archaea_Input!$C$5-N22)))</f>
        <v>0</v>
      </c>
      <c r="P22" s="21">
        <f>IF(O22="","",O22+Inputs!$B$5/Inputs!$B$12*(Inputs!$C$12*(Inputs!$C$29*NGS_Archaea_Input!$B$5-O22)+Inputs!$D$12*(O5-O22)+Inputs!$E$12*(Inputs!$D$29*NGS_Archaea_Input!$C$5-O22)))</f>
        <v>0</v>
      </c>
      <c r="Q22" s="21">
        <f>IF(P22="","",P22+Inputs!$B$5/Inputs!$B$12*(Inputs!$C$12*(Inputs!$C$29*NGS_Archaea_Input!$B$5-P22)+Inputs!$D$12*(P5-P22)+Inputs!$E$12*(Inputs!$D$29*NGS_Archaea_Input!$C$5-P22)))</f>
        <v>0</v>
      </c>
      <c r="R22" s="21">
        <f>IF(Q22="","",Q22+Inputs!$B$5/Inputs!$B$12*(Inputs!$C$12*(Inputs!$C$29*NGS_Archaea_Input!$B$5-Q22)+Inputs!$D$12*(Q5-Q22)+Inputs!$E$12*(Inputs!$D$29*NGS_Archaea_Input!$C$5-Q22)))</f>
        <v>0</v>
      </c>
      <c r="S22" s="21">
        <f>IF(R22="","",R22+Inputs!$B$5/Inputs!$B$12*(Inputs!$C$12*(Inputs!$C$29*NGS_Archaea_Input!$B$5-R22)+Inputs!$D$12*(R5-R22)+Inputs!$E$12*(Inputs!$D$29*NGS_Archaea_Input!$C$5-R22)))</f>
        <v>0</v>
      </c>
      <c r="T22" s="21">
        <f>IF(S22="","",S22+Inputs!$B$5/Inputs!$B$12*(Inputs!$C$12*(Inputs!$C$29*NGS_Archaea_Input!$B$5-S22)+Inputs!$D$12*(S5-S22)+Inputs!$E$12*(Inputs!$D$29*NGS_Archaea_Input!$C$5-S22)))</f>
        <v>0</v>
      </c>
      <c r="U22" s="21">
        <f>IF(T22="","",T22+Inputs!$B$5/Inputs!$B$12*(Inputs!$C$12*(Inputs!$C$29*NGS_Archaea_Input!$B$5-T22)+Inputs!$D$12*(T5-T22)+Inputs!$E$12*(Inputs!$D$29*NGS_Archaea_Input!$C$5-T22)))</f>
        <v>0</v>
      </c>
      <c r="V22" s="21">
        <f>IF(U22="","",U22+Inputs!$B$5/Inputs!$B$12*(Inputs!$C$12*(Inputs!$C$29*NGS_Archaea_Input!$B$5-U22)+Inputs!$D$12*(U5-U22)+Inputs!$E$12*(Inputs!$D$29*NGS_Archaea_Input!$C$5-U22)))</f>
        <v>0</v>
      </c>
      <c r="W22" s="21">
        <f>IF(V22="","",V22+Inputs!$B$5/Inputs!$B$12*(Inputs!$C$12*(Inputs!$C$29*NGS_Archaea_Input!$B$5-V22)+Inputs!$D$12*(V5-V22)+Inputs!$E$12*(Inputs!$D$29*NGS_Archaea_Input!$C$5-V22)))</f>
        <v>0</v>
      </c>
    </row>
    <row r="23" spans="1:23" ht="18" customHeight="1" x14ac:dyDescent="0.25">
      <c r="A23" s="11" t="str">
        <f>NGS_Archaea_Input!A6</f>
        <v>Arc_taxon_2</v>
      </c>
      <c r="B23" s="21">
        <f>IF(Inputs!$H$35="","",Inputs!$H$35*NGS_Archaea_Input!$D$6)</f>
        <v>0</v>
      </c>
      <c r="C23" s="21">
        <f>IF(B23="","",B23+Inputs!$B$5/Inputs!$B$12*(Inputs!$C$12*(Inputs!$C$29*NGS_Archaea_Input!$B$6-B23)+Inputs!$D$12*(B6-B23)+Inputs!$E$12*(Inputs!$D$29*NGS_Archaea_Input!$C$6-B23)))</f>
        <v>0</v>
      </c>
      <c r="D23" s="21">
        <f>IF(C23="","",C23+Inputs!$B$5/Inputs!$B$12*(Inputs!$C$12*(Inputs!$C$29*NGS_Archaea_Input!$B$6-C23)+Inputs!$D$12*(C6-C23)+Inputs!$E$12*(Inputs!$D$29*NGS_Archaea_Input!$C$6-C23)))</f>
        <v>0</v>
      </c>
      <c r="E23" s="21">
        <f>IF(D23="","",D23+Inputs!$B$5/Inputs!$B$12*(Inputs!$C$12*(Inputs!$C$29*NGS_Archaea_Input!$B$6-D23)+Inputs!$D$12*(D6-D23)+Inputs!$E$12*(Inputs!$D$29*NGS_Archaea_Input!$C$6-D23)))</f>
        <v>0</v>
      </c>
      <c r="F23" s="21">
        <f>IF(E23="","",E23+Inputs!$B$5/Inputs!$B$12*(Inputs!$C$12*(Inputs!$C$29*NGS_Archaea_Input!$B$6-E23)+Inputs!$D$12*(E6-E23)+Inputs!$E$12*(Inputs!$D$29*NGS_Archaea_Input!$C$6-E23)))</f>
        <v>0</v>
      </c>
      <c r="G23" s="21">
        <f>IF(F23="","",F23+Inputs!$B$5/Inputs!$B$12*(Inputs!$C$12*(Inputs!$C$29*NGS_Archaea_Input!$B$6-F23)+Inputs!$D$12*(F6-F23)+Inputs!$E$12*(Inputs!$D$29*NGS_Archaea_Input!$C$6-F23)))</f>
        <v>0</v>
      </c>
      <c r="H23" s="21">
        <f>IF(G23="","",G23+Inputs!$B$5/Inputs!$B$12*(Inputs!$C$12*(Inputs!$C$29*NGS_Archaea_Input!$B$6-G23)+Inputs!$D$12*(G6-G23)+Inputs!$E$12*(Inputs!$D$29*NGS_Archaea_Input!$C$6-G23)))</f>
        <v>0</v>
      </c>
      <c r="I23" s="21">
        <f>IF(H23="","",H23+Inputs!$B$5/Inputs!$B$12*(Inputs!$C$12*(Inputs!$C$29*NGS_Archaea_Input!$B$6-H23)+Inputs!$D$12*(H6-H23)+Inputs!$E$12*(Inputs!$D$29*NGS_Archaea_Input!$C$6-H23)))</f>
        <v>0</v>
      </c>
      <c r="J23" s="21">
        <f>IF(I23="","",I23+Inputs!$B$5/Inputs!$B$12*(Inputs!$C$12*(Inputs!$C$29*NGS_Archaea_Input!$B$6-I23)+Inputs!$D$12*(I6-I23)+Inputs!$E$12*(Inputs!$D$29*NGS_Archaea_Input!$C$6-I23)))</f>
        <v>0</v>
      </c>
      <c r="K23" s="21">
        <f>IF(J23="","",J23+Inputs!$B$5/Inputs!$B$12*(Inputs!$C$12*(Inputs!$C$29*NGS_Archaea_Input!$B$6-J23)+Inputs!$D$12*(J6-J23)+Inputs!$E$12*(Inputs!$D$29*NGS_Archaea_Input!$C$6-J23)))</f>
        <v>0</v>
      </c>
      <c r="L23" s="21">
        <f>IF(K23="","",K23+Inputs!$B$5/Inputs!$B$12*(Inputs!$C$12*(Inputs!$C$29*NGS_Archaea_Input!$B$6-K23)+Inputs!$D$12*(K6-K23)+Inputs!$E$12*(Inputs!$D$29*NGS_Archaea_Input!$C$6-K23)))</f>
        <v>0</v>
      </c>
      <c r="M23" s="21">
        <f>IF(L23="","",L23+Inputs!$B$5/Inputs!$B$12*(Inputs!$C$12*(Inputs!$C$29*NGS_Archaea_Input!$B$6-L23)+Inputs!$D$12*(L6-L23)+Inputs!$E$12*(Inputs!$D$29*NGS_Archaea_Input!$C$6-L23)))</f>
        <v>0</v>
      </c>
      <c r="N23" s="21">
        <f>IF(M23="","",M23+Inputs!$B$5/Inputs!$B$12*(Inputs!$C$12*(Inputs!$C$29*NGS_Archaea_Input!$B$6-M23)+Inputs!$D$12*(M6-M23)+Inputs!$E$12*(Inputs!$D$29*NGS_Archaea_Input!$C$6-M23)))</f>
        <v>0</v>
      </c>
      <c r="O23" s="21">
        <f>IF(N23="","",N23+Inputs!$B$5/Inputs!$B$12*(Inputs!$C$12*(Inputs!$C$29*NGS_Archaea_Input!$B$6-N23)+Inputs!$D$12*(N6-N23)+Inputs!$E$12*(Inputs!$D$29*NGS_Archaea_Input!$C$6-N23)))</f>
        <v>0</v>
      </c>
      <c r="P23" s="21">
        <f>IF(O23="","",O23+Inputs!$B$5/Inputs!$B$12*(Inputs!$C$12*(Inputs!$C$29*NGS_Archaea_Input!$B$6-O23)+Inputs!$D$12*(O6-O23)+Inputs!$E$12*(Inputs!$D$29*NGS_Archaea_Input!$C$6-O23)))</f>
        <v>0</v>
      </c>
      <c r="Q23" s="21">
        <f>IF(P23="","",P23+Inputs!$B$5/Inputs!$B$12*(Inputs!$C$12*(Inputs!$C$29*NGS_Archaea_Input!$B$6-P23)+Inputs!$D$12*(P6-P23)+Inputs!$E$12*(Inputs!$D$29*NGS_Archaea_Input!$C$6-P23)))</f>
        <v>0</v>
      </c>
      <c r="R23" s="21">
        <f>IF(Q23="","",Q23+Inputs!$B$5/Inputs!$B$12*(Inputs!$C$12*(Inputs!$C$29*NGS_Archaea_Input!$B$6-Q23)+Inputs!$D$12*(Q6-Q23)+Inputs!$E$12*(Inputs!$D$29*NGS_Archaea_Input!$C$6-Q23)))</f>
        <v>0</v>
      </c>
      <c r="S23" s="21">
        <f>IF(R23="","",R23+Inputs!$B$5/Inputs!$B$12*(Inputs!$C$12*(Inputs!$C$29*NGS_Archaea_Input!$B$6-R23)+Inputs!$D$12*(R6-R23)+Inputs!$E$12*(Inputs!$D$29*NGS_Archaea_Input!$C$6-R23)))</f>
        <v>0</v>
      </c>
      <c r="T23" s="21">
        <f>IF(S23="","",S23+Inputs!$B$5/Inputs!$B$12*(Inputs!$C$12*(Inputs!$C$29*NGS_Archaea_Input!$B$6-S23)+Inputs!$D$12*(S6-S23)+Inputs!$E$12*(Inputs!$D$29*NGS_Archaea_Input!$C$6-S23)))</f>
        <v>0</v>
      </c>
      <c r="U23" s="21">
        <f>IF(T23="","",T23+Inputs!$B$5/Inputs!$B$12*(Inputs!$C$12*(Inputs!$C$29*NGS_Archaea_Input!$B$6-T23)+Inputs!$D$12*(T6-T23)+Inputs!$E$12*(Inputs!$D$29*NGS_Archaea_Input!$C$6-T23)))</f>
        <v>0</v>
      </c>
      <c r="V23" s="21">
        <f>IF(U23="","",U23+Inputs!$B$5/Inputs!$B$12*(Inputs!$C$12*(Inputs!$C$29*NGS_Archaea_Input!$B$6-U23)+Inputs!$D$12*(U6-U23)+Inputs!$E$12*(Inputs!$D$29*NGS_Archaea_Input!$C$6-U23)))</f>
        <v>0</v>
      </c>
      <c r="W23" s="21">
        <f>IF(V23="","",V23+Inputs!$B$5/Inputs!$B$12*(Inputs!$C$12*(Inputs!$C$29*NGS_Archaea_Input!$B$6-V23)+Inputs!$D$12*(V6-V23)+Inputs!$E$12*(Inputs!$D$29*NGS_Archaea_Input!$C$6-V23)))</f>
        <v>0</v>
      </c>
    </row>
    <row r="24" spans="1:23" ht="18" customHeight="1" x14ac:dyDescent="0.25">
      <c r="A24" s="11" t="str">
        <f>NGS_Archaea_Input!A7</f>
        <v>Arc_taxon_3</v>
      </c>
      <c r="B24" s="21">
        <f>IF(Inputs!$H$35="","",Inputs!$H$35*NGS_Archaea_Input!$D$7)</f>
        <v>0</v>
      </c>
      <c r="C24" s="21">
        <f>IF(B24="","",B24+Inputs!$B$5/Inputs!$B$12*(Inputs!$C$12*(Inputs!$C$29*NGS_Archaea_Input!$B$7-B24)+Inputs!$D$12*(B7-B24)+Inputs!$E$12*(Inputs!$D$29*NGS_Archaea_Input!$C$7-B24)))</f>
        <v>0</v>
      </c>
      <c r="D24" s="21">
        <f>IF(C24="","",C24+Inputs!$B$5/Inputs!$B$12*(Inputs!$C$12*(Inputs!$C$29*NGS_Archaea_Input!$B$7-C24)+Inputs!$D$12*(C7-C24)+Inputs!$E$12*(Inputs!$D$29*NGS_Archaea_Input!$C$7-C24)))</f>
        <v>0</v>
      </c>
      <c r="E24" s="21">
        <f>IF(D24="","",D24+Inputs!$B$5/Inputs!$B$12*(Inputs!$C$12*(Inputs!$C$29*NGS_Archaea_Input!$B$7-D24)+Inputs!$D$12*(D7-D24)+Inputs!$E$12*(Inputs!$D$29*NGS_Archaea_Input!$C$7-D24)))</f>
        <v>0</v>
      </c>
      <c r="F24" s="21">
        <f>IF(E24="","",E24+Inputs!$B$5/Inputs!$B$12*(Inputs!$C$12*(Inputs!$C$29*NGS_Archaea_Input!$B$7-E24)+Inputs!$D$12*(E7-E24)+Inputs!$E$12*(Inputs!$D$29*NGS_Archaea_Input!$C$7-E24)))</f>
        <v>0</v>
      </c>
      <c r="G24" s="21">
        <f>IF(F24="","",F24+Inputs!$B$5/Inputs!$B$12*(Inputs!$C$12*(Inputs!$C$29*NGS_Archaea_Input!$B$7-F24)+Inputs!$D$12*(F7-F24)+Inputs!$E$12*(Inputs!$D$29*NGS_Archaea_Input!$C$7-F24)))</f>
        <v>0</v>
      </c>
      <c r="H24" s="21">
        <f>IF(G24="","",G24+Inputs!$B$5/Inputs!$B$12*(Inputs!$C$12*(Inputs!$C$29*NGS_Archaea_Input!$B$7-G24)+Inputs!$D$12*(G7-G24)+Inputs!$E$12*(Inputs!$D$29*NGS_Archaea_Input!$C$7-G24)))</f>
        <v>0</v>
      </c>
      <c r="I24" s="21">
        <f>IF(H24="","",H24+Inputs!$B$5/Inputs!$B$12*(Inputs!$C$12*(Inputs!$C$29*NGS_Archaea_Input!$B$7-H24)+Inputs!$D$12*(H7-H24)+Inputs!$E$12*(Inputs!$D$29*NGS_Archaea_Input!$C$7-H24)))</f>
        <v>0</v>
      </c>
      <c r="J24" s="21">
        <f>IF(I24="","",I24+Inputs!$B$5/Inputs!$B$12*(Inputs!$C$12*(Inputs!$C$29*NGS_Archaea_Input!$B$7-I24)+Inputs!$D$12*(I7-I24)+Inputs!$E$12*(Inputs!$D$29*NGS_Archaea_Input!$C$7-I24)))</f>
        <v>0</v>
      </c>
      <c r="K24" s="21">
        <f>IF(J24="","",J24+Inputs!$B$5/Inputs!$B$12*(Inputs!$C$12*(Inputs!$C$29*NGS_Archaea_Input!$B$7-J24)+Inputs!$D$12*(J7-J24)+Inputs!$E$12*(Inputs!$D$29*NGS_Archaea_Input!$C$7-J24)))</f>
        <v>0</v>
      </c>
      <c r="L24" s="21">
        <f>IF(K24="","",K24+Inputs!$B$5/Inputs!$B$12*(Inputs!$C$12*(Inputs!$C$29*NGS_Archaea_Input!$B$7-K24)+Inputs!$D$12*(K7-K24)+Inputs!$E$12*(Inputs!$D$29*NGS_Archaea_Input!$C$7-K24)))</f>
        <v>0</v>
      </c>
      <c r="M24" s="21">
        <f>IF(L24="","",L24+Inputs!$B$5/Inputs!$B$12*(Inputs!$C$12*(Inputs!$C$29*NGS_Archaea_Input!$B$7-L24)+Inputs!$D$12*(L7-L24)+Inputs!$E$12*(Inputs!$D$29*NGS_Archaea_Input!$C$7-L24)))</f>
        <v>0</v>
      </c>
      <c r="N24" s="21">
        <f>IF(M24="","",M24+Inputs!$B$5/Inputs!$B$12*(Inputs!$C$12*(Inputs!$C$29*NGS_Archaea_Input!$B$7-M24)+Inputs!$D$12*(M7-M24)+Inputs!$E$12*(Inputs!$D$29*NGS_Archaea_Input!$C$7-M24)))</f>
        <v>0</v>
      </c>
      <c r="O24" s="21">
        <f>IF(N24="","",N24+Inputs!$B$5/Inputs!$B$12*(Inputs!$C$12*(Inputs!$C$29*NGS_Archaea_Input!$B$7-N24)+Inputs!$D$12*(N7-N24)+Inputs!$E$12*(Inputs!$D$29*NGS_Archaea_Input!$C$7-N24)))</f>
        <v>0</v>
      </c>
      <c r="P24" s="21">
        <f>IF(O24="","",O24+Inputs!$B$5/Inputs!$B$12*(Inputs!$C$12*(Inputs!$C$29*NGS_Archaea_Input!$B$7-O24)+Inputs!$D$12*(O7-O24)+Inputs!$E$12*(Inputs!$D$29*NGS_Archaea_Input!$C$7-O24)))</f>
        <v>0</v>
      </c>
      <c r="Q24" s="21">
        <f>IF(P24="","",P24+Inputs!$B$5/Inputs!$B$12*(Inputs!$C$12*(Inputs!$C$29*NGS_Archaea_Input!$B$7-P24)+Inputs!$D$12*(P7-P24)+Inputs!$E$12*(Inputs!$D$29*NGS_Archaea_Input!$C$7-P24)))</f>
        <v>0</v>
      </c>
      <c r="R24" s="21">
        <f>IF(Q24="","",Q24+Inputs!$B$5/Inputs!$B$12*(Inputs!$C$12*(Inputs!$C$29*NGS_Archaea_Input!$B$7-Q24)+Inputs!$D$12*(Q7-Q24)+Inputs!$E$12*(Inputs!$D$29*NGS_Archaea_Input!$C$7-Q24)))</f>
        <v>0</v>
      </c>
      <c r="S24" s="21">
        <f>IF(R24="","",R24+Inputs!$B$5/Inputs!$B$12*(Inputs!$C$12*(Inputs!$C$29*NGS_Archaea_Input!$B$7-R24)+Inputs!$D$12*(R7-R24)+Inputs!$E$12*(Inputs!$D$29*NGS_Archaea_Input!$C$7-R24)))</f>
        <v>0</v>
      </c>
      <c r="T24" s="21">
        <f>IF(S24="","",S24+Inputs!$B$5/Inputs!$B$12*(Inputs!$C$12*(Inputs!$C$29*NGS_Archaea_Input!$B$7-S24)+Inputs!$D$12*(S7-S24)+Inputs!$E$12*(Inputs!$D$29*NGS_Archaea_Input!$C$7-S24)))</f>
        <v>0</v>
      </c>
      <c r="U24" s="21">
        <f>IF(T24="","",T24+Inputs!$B$5/Inputs!$B$12*(Inputs!$C$12*(Inputs!$C$29*NGS_Archaea_Input!$B$7-T24)+Inputs!$D$12*(T7-T24)+Inputs!$E$12*(Inputs!$D$29*NGS_Archaea_Input!$C$7-T24)))</f>
        <v>0</v>
      </c>
      <c r="V24" s="21">
        <f>IF(U24="","",U24+Inputs!$B$5/Inputs!$B$12*(Inputs!$C$12*(Inputs!$C$29*NGS_Archaea_Input!$B$7-U24)+Inputs!$D$12*(U7-U24)+Inputs!$E$12*(Inputs!$D$29*NGS_Archaea_Input!$C$7-U24)))</f>
        <v>0</v>
      </c>
      <c r="W24" s="21">
        <f>IF(V24="","",V24+Inputs!$B$5/Inputs!$B$12*(Inputs!$C$12*(Inputs!$C$29*NGS_Archaea_Input!$B$7-V24)+Inputs!$D$12*(V7-V24)+Inputs!$E$12*(Inputs!$D$29*NGS_Archaea_Input!$C$7-V24)))</f>
        <v>0</v>
      </c>
    </row>
    <row r="25" spans="1:23" ht="18" customHeight="1" x14ac:dyDescent="0.25">
      <c r="A25" s="11" t="str">
        <f>NGS_Archaea_Input!A8</f>
        <v>Arc_taxon_4</v>
      </c>
      <c r="B25" s="21">
        <f>IF(Inputs!$H$35="","",Inputs!$H$35*NGS_Archaea_Input!$D$8)</f>
        <v>0</v>
      </c>
      <c r="C25" s="21">
        <f>IF(B25="","",B25+Inputs!$B$5/Inputs!$B$12*(Inputs!$C$12*(Inputs!$C$29*NGS_Archaea_Input!$B$8-B25)+Inputs!$D$12*(B8-B25)+Inputs!$E$12*(Inputs!$D$29*NGS_Archaea_Input!$C$8-B25)))</f>
        <v>0</v>
      </c>
      <c r="D25" s="21">
        <f>IF(C25="","",C25+Inputs!$B$5/Inputs!$B$12*(Inputs!$C$12*(Inputs!$C$29*NGS_Archaea_Input!$B$8-C25)+Inputs!$D$12*(C8-C25)+Inputs!$E$12*(Inputs!$D$29*NGS_Archaea_Input!$C$8-C25)))</f>
        <v>0</v>
      </c>
      <c r="E25" s="21">
        <f>IF(D25="","",D25+Inputs!$B$5/Inputs!$B$12*(Inputs!$C$12*(Inputs!$C$29*NGS_Archaea_Input!$B$8-D25)+Inputs!$D$12*(D8-D25)+Inputs!$E$12*(Inputs!$D$29*NGS_Archaea_Input!$C$8-D25)))</f>
        <v>0</v>
      </c>
      <c r="F25" s="21">
        <f>IF(E25="","",E25+Inputs!$B$5/Inputs!$B$12*(Inputs!$C$12*(Inputs!$C$29*NGS_Archaea_Input!$B$8-E25)+Inputs!$D$12*(E8-E25)+Inputs!$E$12*(Inputs!$D$29*NGS_Archaea_Input!$C$8-E25)))</f>
        <v>0</v>
      </c>
      <c r="G25" s="21">
        <f>IF(F25="","",F25+Inputs!$B$5/Inputs!$B$12*(Inputs!$C$12*(Inputs!$C$29*NGS_Archaea_Input!$B$8-F25)+Inputs!$D$12*(F8-F25)+Inputs!$E$12*(Inputs!$D$29*NGS_Archaea_Input!$C$8-F25)))</f>
        <v>0</v>
      </c>
      <c r="H25" s="21">
        <f>IF(G25="","",G25+Inputs!$B$5/Inputs!$B$12*(Inputs!$C$12*(Inputs!$C$29*NGS_Archaea_Input!$B$8-G25)+Inputs!$D$12*(G8-G25)+Inputs!$E$12*(Inputs!$D$29*NGS_Archaea_Input!$C$8-G25)))</f>
        <v>0</v>
      </c>
      <c r="I25" s="21">
        <f>IF(H25="","",H25+Inputs!$B$5/Inputs!$B$12*(Inputs!$C$12*(Inputs!$C$29*NGS_Archaea_Input!$B$8-H25)+Inputs!$D$12*(H8-H25)+Inputs!$E$12*(Inputs!$D$29*NGS_Archaea_Input!$C$8-H25)))</f>
        <v>0</v>
      </c>
      <c r="J25" s="21">
        <f>IF(I25="","",I25+Inputs!$B$5/Inputs!$B$12*(Inputs!$C$12*(Inputs!$C$29*NGS_Archaea_Input!$B$8-I25)+Inputs!$D$12*(I8-I25)+Inputs!$E$12*(Inputs!$D$29*NGS_Archaea_Input!$C$8-I25)))</f>
        <v>0</v>
      </c>
      <c r="K25" s="21">
        <f>IF(J25="","",J25+Inputs!$B$5/Inputs!$B$12*(Inputs!$C$12*(Inputs!$C$29*NGS_Archaea_Input!$B$8-J25)+Inputs!$D$12*(J8-J25)+Inputs!$E$12*(Inputs!$D$29*NGS_Archaea_Input!$C$8-J25)))</f>
        <v>0</v>
      </c>
      <c r="L25" s="21">
        <f>IF(K25="","",K25+Inputs!$B$5/Inputs!$B$12*(Inputs!$C$12*(Inputs!$C$29*NGS_Archaea_Input!$B$8-K25)+Inputs!$D$12*(K8-K25)+Inputs!$E$12*(Inputs!$D$29*NGS_Archaea_Input!$C$8-K25)))</f>
        <v>0</v>
      </c>
      <c r="M25" s="21">
        <f>IF(L25="","",L25+Inputs!$B$5/Inputs!$B$12*(Inputs!$C$12*(Inputs!$C$29*NGS_Archaea_Input!$B$8-L25)+Inputs!$D$12*(L8-L25)+Inputs!$E$12*(Inputs!$D$29*NGS_Archaea_Input!$C$8-L25)))</f>
        <v>0</v>
      </c>
      <c r="N25" s="21">
        <f>IF(M25="","",M25+Inputs!$B$5/Inputs!$B$12*(Inputs!$C$12*(Inputs!$C$29*NGS_Archaea_Input!$B$8-M25)+Inputs!$D$12*(M8-M25)+Inputs!$E$12*(Inputs!$D$29*NGS_Archaea_Input!$C$8-M25)))</f>
        <v>0</v>
      </c>
      <c r="O25" s="21">
        <f>IF(N25="","",N25+Inputs!$B$5/Inputs!$B$12*(Inputs!$C$12*(Inputs!$C$29*NGS_Archaea_Input!$B$8-N25)+Inputs!$D$12*(N8-N25)+Inputs!$E$12*(Inputs!$D$29*NGS_Archaea_Input!$C$8-N25)))</f>
        <v>0</v>
      </c>
      <c r="P25" s="21">
        <f>IF(O25="","",O25+Inputs!$B$5/Inputs!$B$12*(Inputs!$C$12*(Inputs!$C$29*NGS_Archaea_Input!$B$8-O25)+Inputs!$D$12*(O8-O25)+Inputs!$E$12*(Inputs!$D$29*NGS_Archaea_Input!$C$8-O25)))</f>
        <v>0</v>
      </c>
      <c r="Q25" s="21">
        <f>IF(P25="","",P25+Inputs!$B$5/Inputs!$B$12*(Inputs!$C$12*(Inputs!$C$29*NGS_Archaea_Input!$B$8-P25)+Inputs!$D$12*(P8-P25)+Inputs!$E$12*(Inputs!$D$29*NGS_Archaea_Input!$C$8-P25)))</f>
        <v>0</v>
      </c>
      <c r="R25" s="21">
        <f>IF(Q25="","",Q25+Inputs!$B$5/Inputs!$B$12*(Inputs!$C$12*(Inputs!$C$29*NGS_Archaea_Input!$B$8-Q25)+Inputs!$D$12*(Q8-Q25)+Inputs!$E$12*(Inputs!$D$29*NGS_Archaea_Input!$C$8-Q25)))</f>
        <v>0</v>
      </c>
      <c r="S25" s="21">
        <f>IF(R25="","",R25+Inputs!$B$5/Inputs!$B$12*(Inputs!$C$12*(Inputs!$C$29*NGS_Archaea_Input!$B$8-R25)+Inputs!$D$12*(R8-R25)+Inputs!$E$12*(Inputs!$D$29*NGS_Archaea_Input!$C$8-R25)))</f>
        <v>0</v>
      </c>
      <c r="T25" s="21">
        <f>IF(S25="","",S25+Inputs!$B$5/Inputs!$B$12*(Inputs!$C$12*(Inputs!$C$29*NGS_Archaea_Input!$B$8-S25)+Inputs!$D$12*(S8-S25)+Inputs!$E$12*(Inputs!$D$29*NGS_Archaea_Input!$C$8-S25)))</f>
        <v>0</v>
      </c>
      <c r="U25" s="21">
        <f>IF(T25="","",T25+Inputs!$B$5/Inputs!$B$12*(Inputs!$C$12*(Inputs!$C$29*NGS_Archaea_Input!$B$8-T25)+Inputs!$D$12*(T8-T25)+Inputs!$E$12*(Inputs!$D$29*NGS_Archaea_Input!$C$8-T25)))</f>
        <v>0</v>
      </c>
      <c r="V25" s="21">
        <f>IF(U25="","",U25+Inputs!$B$5/Inputs!$B$12*(Inputs!$C$12*(Inputs!$C$29*NGS_Archaea_Input!$B$8-U25)+Inputs!$D$12*(U8-U25)+Inputs!$E$12*(Inputs!$D$29*NGS_Archaea_Input!$C$8-U25)))</f>
        <v>0</v>
      </c>
      <c r="W25" s="21">
        <f>IF(V25="","",V25+Inputs!$B$5/Inputs!$B$12*(Inputs!$C$12*(Inputs!$C$29*NGS_Archaea_Input!$B$8-V25)+Inputs!$D$12*(V8-V25)+Inputs!$E$12*(Inputs!$D$29*NGS_Archaea_Input!$C$8-V25)))</f>
        <v>0</v>
      </c>
    </row>
    <row r="26" spans="1:23" ht="18" customHeight="1" x14ac:dyDescent="0.25">
      <c r="A26" s="11" t="str">
        <f>NGS_Archaea_Input!A9</f>
        <v>Arc_taxon_5</v>
      </c>
      <c r="B26" s="21">
        <f>IF(Inputs!$H$35="","",Inputs!$H$35*NGS_Archaea_Input!$D$9)</f>
        <v>0</v>
      </c>
      <c r="C26" s="21">
        <f>IF(B26="","",B26+Inputs!$B$5/Inputs!$B$12*(Inputs!$C$12*(Inputs!$C$29*NGS_Archaea_Input!$B$9-B26)+Inputs!$D$12*(B9-B26)+Inputs!$E$12*(Inputs!$D$29*NGS_Archaea_Input!$C$9-B26)))</f>
        <v>0</v>
      </c>
      <c r="D26" s="21">
        <f>IF(C26="","",C26+Inputs!$B$5/Inputs!$B$12*(Inputs!$C$12*(Inputs!$C$29*NGS_Archaea_Input!$B$9-C26)+Inputs!$D$12*(C9-C26)+Inputs!$E$12*(Inputs!$D$29*NGS_Archaea_Input!$C$9-C26)))</f>
        <v>0</v>
      </c>
      <c r="E26" s="21">
        <f>IF(D26="","",D26+Inputs!$B$5/Inputs!$B$12*(Inputs!$C$12*(Inputs!$C$29*NGS_Archaea_Input!$B$9-D26)+Inputs!$D$12*(D9-D26)+Inputs!$E$12*(Inputs!$D$29*NGS_Archaea_Input!$C$9-D26)))</f>
        <v>0</v>
      </c>
      <c r="F26" s="21">
        <f>IF(E26="","",E26+Inputs!$B$5/Inputs!$B$12*(Inputs!$C$12*(Inputs!$C$29*NGS_Archaea_Input!$B$9-E26)+Inputs!$D$12*(E9-E26)+Inputs!$E$12*(Inputs!$D$29*NGS_Archaea_Input!$C$9-E26)))</f>
        <v>0</v>
      </c>
      <c r="G26" s="21">
        <f>IF(F26="","",F26+Inputs!$B$5/Inputs!$B$12*(Inputs!$C$12*(Inputs!$C$29*NGS_Archaea_Input!$B$9-F26)+Inputs!$D$12*(F9-F26)+Inputs!$E$12*(Inputs!$D$29*NGS_Archaea_Input!$C$9-F26)))</f>
        <v>0</v>
      </c>
      <c r="H26" s="21">
        <f>IF(G26="","",G26+Inputs!$B$5/Inputs!$B$12*(Inputs!$C$12*(Inputs!$C$29*NGS_Archaea_Input!$B$9-G26)+Inputs!$D$12*(G9-G26)+Inputs!$E$12*(Inputs!$D$29*NGS_Archaea_Input!$C$9-G26)))</f>
        <v>0</v>
      </c>
      <c r="I26" s="21">
        <f>IF(H26="","",H26+Inputs!$B$5/Inputs!$B$12*(Inputs!$C$12*(Inputs!$C$29*NGS_Archaea_Input!$B$9-H26)+Inputs!$D$12*(H9-H26)+Inputs!$E$12*(Inputs!$D$29*NGS_Archaea_Input!$C$9-H26)))</f>
        <v>0</v>
      </c>
      <c r="J26" s="21">
        <f>IF(I26="","",I26+Inputs!$B$5/Inputs!$B$12*(Inputs!$C$12*(Inputs!$C$29*NGS_Archaea_Input!$B$9-I26)+Inputs!$D$12*(I9-I26)+Inputs!$E$12*(Inputs!$D$29*NGS_Archaea_Input!$C$9-I26)))</f>
        <v>0</v>
      </c>
      <c r="K26" s="21">
        <f>IF(J26="","",J26+Inputs!$B$5/Inputs!$B$12*(Inputs!$C$12*(Inputs!$C$29*NGS_Archaea_Input!$B$9-J26)+Inputs!$D$12*(J9-J26)+Inputs!$E$12*(Inputs!$D$29*NGS_Archaea_Input!$C$9-J26)))</f>
        <v>0</v>
      </c>
      <c r="L26" s="21">
        <f>IF(K26="","",K26+Inputs!$B$5/Inputs!$B$12*(Inputs!$C$12*(Inputs!$C$29*NGS_Archaea_Input!$B$9-K26)+Inputs!$D$12*(K9-K26)+Inputs!$E$12*(Inputs!$D$29*NGS_Archaea_Input!$C$9-K26)))</f>
        <v>0</v>
      </c>
      <c r="M26" s="21">
        <f>IF(L26="","",L26+Inputs!$B$5/Inputs!$B$12*(Inputs!$C$12*(Inputs!$C$29*NGS_Archaea_Input!$B$9-L26)+Inputs!$D$12*(L9-L26)+Inputs!$E$12*(Inputs!$D$29*NGS_Archaea_Input!$C$9-L26)))</f>
        <v>0</v>
      </c>
      <c r="N26" s="21">
        <f>IF(M26="","",M26+Inputs!$B$5/Inputs!$B$12*(Inputs!$C$12*(Inputs!$C$29*NGS_Archaea_Input!$B$9-M26)+Inputs!$D$12*(M9-M26)+Inputs!$E$12*(Inputs!$D$29*NGS_Archaea_Input!$C$9-M26)))</f>
        <v>0</v>
      </c>
      <c r="O26" s="21">
        <f>IF(N26="","",N26+Inputs!$B$5/Inputs!$B$12*(Inputs!$C$12*(Inputs!$C$29*NGS_Archaea_Input!$B$9-N26)+Inputs!$D$12*(N9-N26)+Inputs!$E$12*(Inputs!$D$29*NGS_Archaea_Input!$C$9-N26)))</f>
        <v>0</v>
      </c>
      <c r="P26" s="21">
        <f>IF(O26="","",O26+Inputs!$B$5/Inputs!$B$12*(Inputs!$C$12*(Inputs!$C$29*NGS_Archaea_Input!$B$9-O26)+Inputs!$D$12*(O9-O26)+Inputs!$E$12*(Inputs!$D$29*NGS_Archaea_Input!$C$9-O26)))</f>
        <v>0</v>
      </c>
      <c r="Q26" s="21">
        <f>IF(P26="","",P26+Inputs!$B$5/Inputs!$B$12*(Inputs!$C$12*(Inputs!$C$29*NGS_Archaea_Input!$B$9-P26)+Inputs!$D$12*(P9-P26)+Inputs!$E$12*(Inputs!$D$29*NGS_Archaea_Input!$C$9-P26)))</f>
        <v>0</v>
      </c>
      <c r="R26" s="21">
        <f>IF(Q26="","",Q26+Inputs!$B$5/Inputs!$B$12*(Inputs!$C$12*(Inputs!$C$29*NGS_Archaea_Input!$B$9-Q26)+Inputs!$D$12*(Q9-Q26)+Inputs!$E$12*(Inputs!$D$29*NGS_Archaea_Input!$C$9-Q26)))</f>
        <v>0</v>
      </c>
      <c r="S26" s="21">
        <f>IF(R26="","",R26+Inputs!$B$5/Inputs!$B$12*(Inputs!$C$12*(Inputs!$C$29*NGS_Archaea_Input!$B$9-R26)+Inputs!$D$12*(R9-R26)+Inputs!$E$12*(Inputs!$D$29*NGS_Archaea_Input!$C$9-R26)))</f>
        <v>0</v>
      </c>
      <c r="T26" s="21">
        <f>IF(S26="","",S26+Inputs!$B$5/Inputs!$B$12*(Inputs!$C$12*(Inputs!$C$29*NGS_Archaea_Input!$B$9-S26)+Inputs!$D$12*(S9-S26)+Inputs!$E$12*(Inputs!$D$29*NGS_Archaea_Input!$C$9-S26)))</f>
        <v>0</v>
      </c>
      <c r="U26" s="21">
        <f>IF(T26="","",T26+Inputs!$B$5/Inputs!$B$12*(Inputs!$C$12*(Inputs!$C$29*NGS_Archaea_Input!$B$9-T26)+Inputs!$D$12*(T9-T26)+Inputs!$E$12*(Inputs!$D$29*NGS_Archaea_Input!$C$9-T26)))</f>
        <v>0</v>
      </c>
      <c r="V26" s="21">
        <f>IF(U26="","",U26+Inputs!$B$5/Inputs!$B$12*(Inputs!$C$12*(Inputs!$C$29*NGS_Archaea_Input!$B$9-U26)+Inputs!$D$12*(U9-U26)+Inputs!$E$12*(Inputs!$D$29*NGS_Archaea_Input!$C$9-U26)))</f>
        <v>0</v>
      </c>
      <c r="W26" s="21">
        <f>IF(V26="","",V26+Inputs!$B$5/Inputs!$B$12*(Inputs!$C$12*(Inputs!$C$29*NGS_Archaea_Input!$B$9-V26)+Inputs!$D$12*(V9-V26)+Inputs!$E$12*(Inputs!$D$29*NGS_Archaea_Input!$C$9-V26)))</f>
        <v>0</v>
      </c>
    </row>
    <row r="27" spans="1:23" ht="18" customHeight="1" x14ac:dyDescent="0.25">
      <c r="A27" s="11" t="str">
        <f>NGS_Archaea_Input!A10</f>
        <v>Arc_taxon_6</v>
      </c>
      <c r="B27" s="21">
        <f>IF(Inputs!$H$35="","",Inputs!$H$35*NGS_Archaea_Input!$D$10)</f>
        <v>0</v>
      </c>
      <c r="C27" s="21">
        <f>IF(B27="","",B27+Inputs!$B$5/Inputs!$B$12*(Inputs!$C$12*(Inputs!$C$29*NGS_Archaea_Input!$B$10-B27)+Inputs!$D$12*(B10-B27)+Inputs!$E$12*(Inputs!$D$29*NGS_Archaea_Input!$C$10-B27)))</f>
        <v>0</v>
      </c>
      <c r="D27" s="21">
        <f>IF(C27="","",C27+Inputs!$B$5/Inputs!$B$12*(Inputs!$C$12*(Inputs!$C$29*NGS_Archaea_Input!$B$10-C27)+Inputs!$D$12*(C10-C27)+Inputs!$E$12*(Inputs!$D$29*NGS_Archaea_Input!$C$10-C27)))</f>
        <v>0</v>
      </c>
      <c r="E27" s="21">
        <f>IF(D27="","",D27+Inputs!$B$5/Inputs!$B$12*(Inputs!$C$12*(Inputs!$C$29*NGS_Archaea_Input!$B$10-D27)+Inputs!$D$12*(D10-D27)+Inputs!$E$12*(Inputs!$D$29*NGS_Archaea_Input!$C$10-D27)))</f>
        <v>0</v>
      </c>
      <c r="F27" s="21">
        <f>IF(E27="","",E27+Inputs!$B$5/Inputs!$B$12*(Inputs!$C$12*(Inputs!$C$29*NGS_Archaea_Input!$B$10-E27)+Inputs!$D$12*(E10-E27)+Inputs!$E$12*(Inputs!$D$29*NGS_Archaea_Input!$C$10-E27)))</f>
        <v>0</v>
      </c>
      <c r="G27" s="21">
        <f>IF(F27="","",F27+Inputs!$B$5/Inputs!$B$12*(Inputs!$C$12*(Inputs!$C$29*NGS_Archaea_Input!$B$10-F27)+Inputs!$D$12*(F10-F27)+Inputs!$E$12*(Inputs!$D$29*NGS_Archaea_Input!$C$10-F27)))</f>
        <v>0</v>
      </c>
      <c r="H27" s="21">
        <f>IF(G27="","",G27+Inputs!$B$5/Inputs!$B$12*(Inputs!$C$12*(Inputs!$C$29*NGS_Archaea_Input!$B$10-G27)+Inputs!$D$12*(G10-G27)+Inputs!$E$12*(Inputs!$D$29*NGS_Archaea_Input!$C$10-G27)))</f>
        <v>0</v>
      </c>
      <c r="I27" s="21">
        <f>IF(H27="","",H27+Inputs!$B$5/Inputs!$B$12*(Inputs!$C$12*(Inputs!$C$29*NGS_Archaea_Input!$B$10-H27)+Inputs!$D$12*(H10-H27)+Inputs!$E$12*(Inputs!$D$29*NGS_Archaea_Input!$C$10-H27)))</f>
        <v>0</v>
      </c>
      <c r="J27" s="21">
        <f>IF(I27="","",I27+Inputs!$B$5/Inputs!$B$12*(Inputs!$C$12*(Inputs!$C$29*NGS_Archaea_Input!$B$10-I27)+Inputs!$D$12*(I10-I27)+Inputs!$E$12*(Inputs!$D$29*NGS_Archaea_Input!$C$10-I27)))</f>
        <v>0</v>
      </c>
      <c r="K27" s="21">
        <f>IF(J27="","",J27+Inputs!$B$5/Inputs!$B$12*(Inputs!$C$12*(Inputs!$C$29*NGS_Archaea_Input!$B$10-J27)+Inputs!$D$12*(J10-J27)+Inputs!$E$12*(Inputs!$D$29*NGS_Archaea_Input!$C$10-J27)))</f>
        <v>0</v>
      </c>
      <c r="L27" s="21">
        <f>IF(K27="","",K27+Inputs!$B$5/Inputs!$B$12*(Inputs!$C$12*(Inputs!$C$29*NGS_Archaea_Input!$B$10-K27)+Inputs!$D$12*(K10-K27)+Inputs!$E$12*(Inputs!$D$29*NGS_Archaea_Input!$C$10-K27)))</f>
        <v>0</v>
      </c>
      <c r="M27" s="21">
        <f>IF(L27="","",L27+Inputs!$B$5/Inputs!$B$12*(Inputs!$C$12*(Inputs!$C$29*NGS_Archaea_Input!$B$10-L27)+Inputs!$D$12*(L10-L27)+Inputs!$E$12*(Inputs!$D$29*NGS_Archaea_Input!$C$10-L27)))</f>
        <v>0</v>
      </c>
      <c r="N27" s="21">
        <f>IF(M27="","",M27+Inputs!$B$5/Inputs!$B$12*(Inputs!$C$12*(Inputs!$C$29*NGS_Archaea_Input!$B$10-M27)+Inputs!$D$12*(M10-M27)+Inputs!$E$12*(Inputs!$D$29*NGS_Archaea_Input!$C$10-M27)))</f>
        <v>0</v>
      </c>
      <c r="O27" s="21">
        <f>IF(N27="","",N27+Inputs!$B$5/Inputs!$B$12*(Inputs!$C$12*(Inputs!$C$29*NGS_Archaea_Input!$B$10-N27)+Inputs!$D$12*(N10-N27)+Inputs!$E$12*(Inputs!$D$29*NGS_Archaea_Input!$C$10-N27)))</f>
        <v>0</v>
      </c>
      <c r="P27" s="21">
        <f>IF(O27="","",O27+Inputs!$B$5/Inputs!$B$12*(Inputs!$C$12*(Inputs!$C$29*NGS_Archaea_Input!$B$10-O27)+Inputs!$D$12*(O10-O27)+Inputs!$E$12*(Inputs!$D$29*NGS_Archaea_Input!$C$10-O27)))</f>
        <v>0</v>
      </c>
      <c r="Q27" s="21">
        <f>IF(P27="","",P27+Inputs!$B$5/Inputs!$B$12*(Inputs!$C$12*(Inputs!$C$29*NGS_Archaea_Input!$B$10-P27)+Inputs!$D$12*(P10-P27)+Inputs!$E$12*(Inputs!$D$29*NGS_Archaea_Input!$C$10-P27)))</f>
        <v>0</v>
      </c>
      <c r="R27" s="21">
        <f>IF(Q27="","",Q27+Inputs!$B$5/Inputs!$B$12*(Inputs!$C$12*(Inputs!$C$29*NGS_Archaea_Input!$B$10-Q27)+Inputs!$D$12*(Q10-Q27)+Inputs!$E$12*(Inputs!$D$29*NGS_Archaea_Input!$C$10-Q27)))</f>
        <v>0</v>
      </c>
      <c r="S27" s="21">
        <f>IF(R27="","",R27+Inputs!$B$5/Inputs!$B$12*(Inputs!$C$12*(Inputs!$C$29*NGS_Archaea_Input!$B$10-R27)+Inputs!$D$12*(R10-R27)+Inputs!$E$12*(Inputs!$D$29*NGS_Archaea_Input!$C$10-R27)))</f>
        <v>0</v>
      </c>
      <c r="T27" s="21">
        <f>IF(S27="","",S27+Inputs!$B$5/Inputs!$B$12*(Inputs!$C$12*(Inputs!$C$29*NGS_Archaea_Input!$B$10-S27)+Inputs!$D$12*(S10-S27)+Inputs!$E$12*(Inputs!$D$29*NGS_Archaea_Input!$C$10-S27)))</f>
        <v>0</v>
      </c>
      <c r="U27" s="21">
        <f>IF(T27="","",T27+Inputs!$B$5/Inputs!$B$12*(Inputs!$C$12*(Inputs!$C$29*NGS_Archaea_Input!$B$10-T27)+Inputs!$D$12*(T10-T27)+Inputs!$E$12*(Inputs!$D$29*NGS_Archaea_Input!$C$10-T27)))</f>
        <v>0</v>
      </c>
      <c r="V27" s="21">
        <f>IF(U27="","",U27+Inputs!$B$5/Inputs!$B$12*(Inputs!$C$12*(Inputs!$C$29*NGS_Archaea_Input!$B$10-U27)+Inputs!$D$12*(U10-U27)+Inputs!$E$12*(Inputs!$D$29*NGS_Archaea_Input!$C$10-U27)))</f>
        <v>0</v>
      </c>
      <c r="W27" s="21">
        <f>IF(V27="","",V27+Inputs!$B$5/Inputs!$B$12*(Inputs!$C$12*(Inputs!$C$29*NGS_Archaea_Input!$B$10-V27)+Inputs!$D$12*(V10-V27)+Inputs!$E$12*(Inputs!$D$29*NGS_Archaea_Input!$C$10-V27)))</f>
        <v>0</v>
      </c>
    </row>
    <row r="28" spans="1:23" ht="18" customHeight="1" x14ac:dyDescent="0.25">
      <c r="A28" s="11" t="str">
        <f>NGS_Archaea_Input!A11</f>
        <v>Arc_taxon_7</v>
      </c>
      <c r="B28" s="21">
        <f>IF(Inputs!$H$35="","",Inputs!$H$35*NGS_Archaea_Input!$D$11)</f>
        <v>0</v>
      </c>
      <c r="C28" s="21">
        <f>IF(B28="","",B28+Inputs!$B$5/Inputs!$B$12*(Inputs!$C$12*(Inputs!$C$29*NGS_Archaea_Input!$B$11-B28)+Inputs!$D$12*(B11-B28)+Inputs!$E$12*(Inputs!$D$29*NGS_Archaea_Input!$C$11-B28)))</f>
        <v>0</v>
      </c>
      <c r="D28" s="21">
        <f>IF(C28="","",C28+Inputs!$B$5/Inputs!$B$12*(Inputs!$C$12*(Inputs!$C$29*NGS_Archaea_Input!$B$11-C28)+Inputs!$D$12*(C11-C28)+Inputs!$E$12*(Inputs!$D$29*NGS_Archaea_Input!$C$11-C28)))</f>
        <v>0</v>
      </c>
      <c r="E28" s="21">
        <f>IF(D28="","",D28+Inputs!$B$5/Inputs!$B$12*(Inputs!$C$12*(Inputs!$C$29*NGS_Archaea_Input!$B$11-D28)+Inputs!$D$12*(D11-D28)+Inputs!$E$12*(Inputs!$D$29*NGS_Archaea_Input!$C$11-D28)))</f>
        <v>0</v>
      </c>
      <c r="F28" s="21">
        <f>IF(E28="","",E28+Inputs!$B$5/Inputs!$B$12*(Inputs!$C$12*(Inputs!$C$29*NGS_Archaea_Input!$B$11-E28)+Inputs!$D$12*(E11-E28)+Inputs!$E$12*(Inputs!$D$29*NGS_Archaea_Input!$C$11-E28)))</f>
        <v>0</v>
      </c>
      <c r="G28" s="21">
        <f>IF(F28="","",F28+Inputs!$B$5/Inputs!$B$12*(Inputs!$C$12*(Inputs!$C$29*NGS_Archaea_Input!$B$11-F28)+Inputs!$D$12*(F11-F28)+Inputs!$E$12*(Inputs!$D$29*NGS_Archaea_Input!$C$11-F28)))</f>
        <v>0</v>
      </c>
      <c r="H28" s="21">
        <f>IF(G28="","",G28+Inputs!$B$5/Inputs!$B$12*(Inputs!$C$12*(Inputs!$C$29*NGS_Archaea_Input!$B$11-G28)+Inputs!$D$12*(G11-G28)+Inputs!$E$12*(Inputs!$D$29*NGS_Archaea_Input!$C$11-G28)))</f>
        <v>0</v>
      </c>
      <c r="I28" s="21">
        <f>IF(H28="","",H28+Inputs!$B$5/Inputs!$B$12*(Inputs!$C$12*(Inputs!$C$29*NGS_Archaea_Input!$B$11-H28)+Inputs!$D$12*(H11-H28)+Inputs!$E$12*(Inputs!$D$29*NGS_Archaea_Input!$C$11-H28)))</f>
        <v>0</v>
      </c>
      <c r="J28" s="21">
        <f>IF(I28="","",I28+Inputs!$B$5/Inputs!$B$12*(Inputs!$C$12*(Inputs!$C$29*NGS_Archaea_Input!$B$11-I28)+Inputs!$D$12*(I11-I28)+Inputs!$E$12*(Inputs!$D$29*NGS_Archaea_Input!$C$11-I28)))</f>
        <v>0</v>
      </c>
      <c r="K28" s="21">
        <f>IF(J28="","",J28+Inputs!$B$5/Inputs!$B$12*(Inputs!$C$12*(Inputs!$C$29*NGS_Archaea_Input!$B$11-J28)+Inputs!$D$12*(J11-J28)+Inputs!$E$12*(Inputs!$D$29*NGS_Archaea_Input!$C$11-J28)))</f>
        <v>0</v>
      </c>
      <c r="L28" s="21">
        <f>IF(K28="","",K28+Inputs!$B$5/Inputs!$B$12*(Inputs!$C$12*(Inputs!$C$29*NGS_Archaea_Input!$B$11-K28)+Inputs!$D$12*(K11-K28)+Inputs!$E$12*(Inputs!$D$29*NGS_Archaea_Input!$C$11-K28)))</f>
        <v>0</v>
      </c>
      <c r="M28" s="21">
        <f>IF(L28="","",L28+Inputs!$B$5/Inputs!$B$12*(Inputs!$C$12*(Inputs!$C$29*NGS_Archaea_Input!$B$11-L28)+Inputs!$D$12*(L11-L28)+Inputs!$E$12*(Inputs!$D$29*NGS_Archaea_Input!$C$11-L28)))</f>
        <v>0</v>
      </c>
      <c r="N28" s="21">
        <f>IF(M28="","",M28+Inputs!$B$5/Inputs!$B$12*(Inputs!$C$12*(Inputs!$C$29*NGS_Archaea_Input!$B$11-M28)+Inputs!$D$12*(M11-M28)+Inputs!$E$12*(Inputs!$D$29*NGS_Archaea_Input!$C$11-M28)))</f>
        <v>0</v>
      </c>
      <c r="O28" s="21">
        <f>IF(N28="","",N28+Inputs!$B$5/Inputs!$B$12*(Inputs!$C$12*(Inputs!$C$29*NGS_Archaea_Input!$B$11-N28)+Inputs!$D$12*(N11-N28)+Inputs!$E$12*(Inputs!$D$29*NGS_Archaea_Input!$C$11-N28)))</f>
        <v>0</v>
      </c>
      <c r="P28" s="21">
        <f>IF(O28="","",O28+Inputs!$B$5/Inputs!$B$12*(Inputs!$C$12*(Inputs!$C$29*NGS_Archaea_Input!$B$11-O28)+Inputs!$D$12*(O11-O28)+Inputs!$E$12*(Inputs!$D$29*NGS_Archaea_Input!$C$11-O28)))</f>
        <v>0</v>
      </c>
      <c r="Q28" s="21">
        <f>IF(P28="","",P28+Inputs!$B$5/Inputs!$B$12*(Inputs!$C$12*(Inputs!$C$29*NGS_Archaea_Input!$B$11-P28)+Inputs!$D$12*(P11-P28)+Inputs!$E$12*(Inputs!$D$29*NGS_Archaea_Input!$C$11-P28)))</f>
        <v>0</v>
      </c>
      <c r="R28" s="21">
        <f>IF(Q28="","",Q28+Inputs!$B$5/Inputs!$B$12*(Inputs!$C$12*(Inputs!$C$29*NGS_Archaea_Input!$B$11-Q28)+Inputs!$D$12*(Q11-Q28)+Inputs!$E$12*(Inputs!$D$29*NGS_Archaea_Input!$C$11-Q28)))</f>
        <v>0</v>
      </c>
      <c r="S28" s="21">
        <f>IF(R28="","",R28+Inputs!$B$5/Inputs!$B$12*(Inputs!$C$12*(Inputs!$C$29*NGS_Archaea_Input!$B$11-R28)+Inputs!$D$12*(R11-R28)+Inputs!$E$12*(Inputs!$D$29*NGS_Archaea_Input!$C$11-R28)))</f>
        <v>0</v>
      </c>
      <c r="T28" s="21">
        <f>IF(S28="","",S28+Inputs!$B$5/Inputs!$B$12*(Inputs!$C$12*(Inputs!$C$29*NGS_Archaea_Input!$B$11-S28)+Inputs!$D$12*(S11-S28)+Inputs!$E$12*(Inputs!$D$29*NGS_Archaea_Input!$C$11-S28)))</f>
        <v>0</v>
      </c>
      <c r="U28" s="21">
        <f>IF(T28="","",T28+Inputs!$B$5/Inputs!$B$12*(Inputs!$C$12*(Inputs!$C$29*NGS_Archaea_Input!$B$11-T28)+Inputs!$D$12*(T11-T28)+Inputs!$E$12*(Inputs!$D$29*NGS_Archaea_Input!$C$11-T28)))</f>
        <v>0</v>
      </c>
      <c r="V28" s="21">
        <f>IF(U28="","",U28+Inputs!$B$5/Inputs!$B$12*(Inputs!$C$12*(Inputs!$C$29*NGS_Archaea_Input!$B$11-U28)+Inputs!$D$12*(U11-U28)+Inputs!$E$12*(Inputs!$D$29*NGS_Archaea_Input!$C$11-U28)))</f>
        <v>0</v>
      </c>
      <c r="W28" s="21">
        <f>IF(V28="","",V28+Inputs!$B$5/Inputs!$B$12*(Inputs!$C$12*(Inputs!$C$29*NGS_Archaea_Input!$B$11-V28)+Inputs!$D$12*(V11-V28)+Inputs!$E$12*(Inputs!$D$29*NGS_Archaea_Input!$C$11-V28)))</f>
        <v>0</v>
      </c>
    </row>
    <row r="29" spans="1:23" ht="18" customHeight="1" x14ac:dyDescent="0.25">
      <c r="A29" s="11" t="str">
        <f>NGS_Archaea_Input!A12</f>
        <v>Arc_taxon_8</v>
      </c>
      <c r="B29" s="21">
        <f>IF(Inputs!$H$35="","",Inputs!$H$35*NGS_Archaea_Input!$D$12)</f>
        <v>0</v>
      </c>
      <c r="C29" s="21">
        <f>IF(B29="","",B29+Inputs!$B$5/Inputs!$B$12*(Inputs!$C$12*(Inputs!$C$29*NGS_Archaea_Input!$B$12-B29)+Inputs!$D$12*(B12-B29)+Inputs!$E$12*(Inputs!$D$29*NGS_Archaea_Input!$C$12-B29)))</f>
        <v>0</v>
      </c>
      <c r="D29" s="21">
        <f>IF(C29="","",C29+Inputs!$B$5/Inputs!$B$12*(Inputs!$C$12*(Inputs!$C$29*NGS_Archaea_Input!$B$12-C29)+Inputs!$D$12*(C12-C29)+Inputs!$E$12*(Inputs!$D$29*NGS_Archaea_Input!$C$12-C29)))</f>
        <v>0</v>
      </c>
      <c r="E29" s="21">
        <f>IF(D29="","",D29+Inputs!$B$5/Inputs!$B$12*(Inputs!$C$12*(Inputs!$C$29*NGS_Archaea_Input!$B$12-D29)+Inputs!$D$12*(D12-D29)+Inputs!$E$12*(Inputs!$D$29*NGS_Archaea_Input!$C$12-D29)))</f>
        <v>0</v>
      </c>
      <c r="F29" s="21">
        <f>IF(E29="","",E29+Inputs!$B$5/Inputs!$B$12*(Inputs!$C$12*(Inputs!$C$29*NGS_Archaea_Input!$B$12-E29)+Inputs!$D$12*(E12-E29)+Inputs!$E$12*(Inputs!$D$29*NGS_Archaea_Input!$C$12-E29)))</f>
        <v>0</v>
      </c>
      <c r="G29" s="21">
        <f>IF(F29="","",F29+Inputs!$B$5/Inputs!$B$12*(Inputs!$C$12*(Inputs!$C$29*NGS_Archaea_Input!$B$12-F29)+Inputs!$D$12*(F12-F29)+Inputs!$E$12*(Inputs!$D$29*NGS_Archaea_Input!$C$12-F29)))</f>
        <v>0</v>
      </c>
      <c r="H29" s="21">
        <f>IF(G29="","",G29+Inputs!$B$5/Inputs!$B$12*(Inputs!$C$12*(Inputs!$C$29*NGS_Archaea_Input!$B$12-G29)+Inputs!$D$12*(G12-G29)+Inputs!$E$12*(Inputs!$D$29*NGS_Archaea_Input!$C$12-G29)))</f>
        <v>0</v>
      </c>
      <c r="I29" s="21">
        <f>IF(H29="","",H29+Inputs!$B$5/Inputs!$B$12*(Inputs!$C$12*(Inputs!$C$29*NGS_Archaea_Input!$B$12-H29)+Inputs!$D$12*(H12-H29)+Inputs!$E$12*(Inputs!$D$29*NGS_Archaea_Input!$C$12-H29)))</f>
        <v>0</v>
      </c>
      <c r="J29" s="21">
        <f>IF(I29="","",I29+Inputs!$B$5/Inputs!$B$12*(Inputs!$C$12*(Inputs!$C$29*NGS_Archaea_Input!$B$12-I29)+Inputs!$D$12*(I12-I29)+Inputs!$E$12*(Inputs!$D$29*NGS_Archaea_Input!$C$12-I29)))</f>
        <v>0</v>
      </c>
      <c r="K29" s="21">
        <f>IF(J29="","",J29+Inputs!$B$5/Inputs!$B$12*(Inputs!$C$12*(Inputs!$C$29*NGS_Archaea_Input!$B$12-J29)+Inputs!$D$12*(J12-J29)+Inputs!$E$12*(Inputs!$D$29*NGS_Archaea_Input!$C$12-J29)))</f>
        <v>0</v>
      </c>
      <c r="L29" s="21">
        <f>IF(K29="","",K29+Inputs!$B$5/Inputs!$B$12*(Inputs!$C$12*(Inputs!$C$29*NGS_Archaea_Input!$B$12-K29)+Inputs!$D$12*(K12-K29)+Inputs!$E$12*(Inputs!$D$29*NGS_Archaea_Input!$C$12-K29)))</f>
        <v>0</v>
      </c>
      <c r="M29" s="21">
        <f>IF(L29="","",L29+Inputs!$B$5/Inputs!$B$12*(Inputs!$C$12*(Inputs!$C$29*NGS_Archaea_Input!$B$12-L29)+Inputs!$D$12*(L12-L29)+Inputs!$E$12*(Inputs!$D$29*NGS_Archaea_Input!$C$12-L29)))</f>
        <v>0</v>
      </c>
      <c r="N29" s="21">
        <f>IF(M29="","",M29+Inputs!$B$5/Inputs!$B$12*(Inputs!$C$12*(Inputs!$C$29*NGS_Archaea_Input!$B$12-M29)+Inputs!$D$12*(M12-M29)+Inputs!$E$12*(Inputs!$D$29*NGS_Archaea_Input!$C$12-M29)))</f>
        <v>0</v>
      </c>
      <c r="O29" s="21">
        <f>IF(N29="","",N29+Inputs!$B$5/Inputs!$B$12*(Inputs!$C$12*(Inputs!$C$29*NGS_Archaea_Input!$B$12-N29)+Inputs!$D$12*(N12-N29)+Inputs!$E$12*(Inputs!$D$29*NGS_Archaea_Input!$C$12-N29)))</f>
        <v>0</v>
      </c>
      <c r="P29" s="21">
        <f>IF(O29="","",O29+Inputs!$B$5/Inputs!$B$12*(Inputs!$C$12*(Inputs!$C$29*NGS_Archaea_Input!$B$12-O29)+Inputs!$D$12*(O12-O29)+Inputs!$E$12*(Inputs!$D$29*NGS_Archaea_Input!$C$12-O29)))</f>
        <v>0</v>
      </c>
      <c r="Q29" s="21">
        <f>IF(P29="","",P29+Inputs!$B$5/Inputs!$B$12*(Inputs!$C$12*(Inputs!$C$29*NGS_Archaea_Input!$B$12-P29)+Inputs!$D$12*(P12-P29)+Inputs!$E$12*(Inputs!$D$29*NGS_Archaea_Input!$C$12-P29)))</f>
        <v>0</v>
      </c>
      <c r="R29" s="21">
        <f>IF(Q29="","",Q29+Inputs!$B$5/Inputs!$B$12*(Inputs!$C$12*(Inputs!$C$29*NGS_Archaea_Input!$B$12-Q29)+Inputs!$D$12*(Q12-Q29)+Inputs!$E$12*(Inputs!$D$29*NGS_Archaea_Input!$C$12-Q29)))</f>
        <v>0</v>
      </c>
      <c r="S29" s="21">
        <f>IF(R29="","",R29+Inputs!$B$5/Inputs!$B$12*(Inputs!$C$12*(Inputs!$C$29*NGS_Archaea_Input!$B$12-R29)+Inputs!$D$12*(R12-R29)+Inputs!$E$12*(Inputs!$D$29*NGS_Archaea_Input!$C$12-R29)))</f>
        <v>0</v>
      </c>
      <c r="T29" s="21">
        <f>IF(S29="","",S29+Inputs!$B$5/Inputs!$B$12*(Inputs!$C$12*(Inputs!$C$29*NGS_Archaea_Input!$B$12-S29)+Inputs!$D$12*(S12-S29)+Inputs!$E$12*(Inputs!$D$29*NGS_Archaea_Input!$C$12-S29)))</f>
        <v>0</v>
      </c>
      <c r="U29" s="21">
        <f>IF(T29="","",T29+Inputs!$B$5/Inputs!$B$12*(Inputs!$C$12*(Inputs!$C$29*NGS_Archaea_Input!$B$12-T29)+Inputs!$D$12*(T12-T29)+Inputs!$E$12*(Inputs!$D$29*NGS_Archaea_Input!$C$12-T29)))</f>
        <v>0</v>
      </c>
      <c r="V29" s="21">
        <f>IF(U29="","",U29+Inputs!$B$5/Inputs!$B$12*(Inputs!$C$12*(Inputs!$C$29*NGS_Archaea_Input!$B$12-U29)+Inputs!$D$12*(U12-U29)+Inputs!$E$12*(Inputs!$D$29*NGS_Archaea_Input!$C$12-U29)))</f>
        <v>0</v>
      </c>
      <c r="W29" s="21">
        <f>IF(V29="","",V29+Inputs!$B$5/Inputs!$B$12*(Inputs!$C$12*(Inputs!$C$29*NGS_Archaea_Input!$B$12-V29)+Inputs!$D$12*(V12-V29)+Inputs!$E$12*(Inputs!$D$29*NGS_Archaea_Input!$C$12-V29)))</f>
        <v>0</v>
      </c>
    </row>
    <row r="30" spans="1:23" ht="18" customHeight="1" x14ac:dyDescent="0.25">
      <c r="A30" s="11" t="str">
        <f>NGS_Archaea_Input!A13</f>
        <v>Arc_taxon_9</v>
      </c>
      <c r="B30" s="21">
        <f>IF(Inputs!$H$35="","",Inputs!$H$35*NGS_Archaea_Input!$D$13)</f>
        <v>0</v>
      </c>
      <c r="C30" s="21">
        <f>IF(B30="","",B30+Inputs!$B$5/Inputs!$B$12*(Inputs!$C$12*(Inputs!$C$29*NGS_Archaea_Input!$B$13-B30)+Inputs!$D$12*(B13-B30)+Inputs!$E$12*(Inputs!$D$29*NGS_Archaea_Input!$C$13-B30)))</f>
        <v>0</v>
      </c>
      <c r="D30" s="21">
        <f>IF(C30="","",C30+Inputs!$B$5/Inputs!$B$12*(Inputs!$C$12*(Inputs!$C$29*NGS_Archaea_Input!$B$13-C30)+Inputs!$D$12*(C13-C30)+Inputs!$E$12*(Inputs!$D$29*NGS_Archaea_Input!$C$13-C30)))</f>
        <v>0</v>
      </c>
      <c r="E30" s="21">
        <f>IF(D30="","",D30+Inputs!$B$5/Inputs!$B$12*(Inputs!$C$12*(Inputs!$C$29*NGS_Archaea_Input!$B$13-D30)+Inputs!$D$12*(D13-D30)+Inputs!$E$12*(Inputs!$D$29*NGS_Archaea_Input!$C$13-D30)))</f>
        <v>0</v>
      </c>
      <c r="F30" s="21">
        <f>IF(E30="","",E30+Inputs!$B$5/Inputs!$B$12*(Inputs!$C$12*(Inputs!$C$29*NGS_Archaea_Input!$B$13-E30)+Inputs!$D$12*(E13-E30)+Inputs!$E$12*(Inputs!$D$29*NGS_Archaea_Input!$C$13-E30)))</f>
        <v>0</v>
      </c>
      <c r="G30" s="21">
        <f>IF(F30="","",F30+Inputs!$B$5/Inputs!$B$12*(Inputs!$C$12*(Inputs!$C$29*NGS_Archaea_Input!$B$13-F30)+Inputs!$D$12*(F13-F30)+Inputs!$E$12*(Inputs!$D$29*NGS_Archaea_Input!$C$13-F30)))</f>
        <v>0</v>
      </c>
      <c r="H30" s="21">
        <f>IF(G30="","",G30+Inputs!$B$5/Inputs!$B$12*(Inputs!$C$12*(Inputs!$C$29*NGS_Archaea_Input!$B$13-G30)+Inputs!$D$12*(G13-G30)+Inputs!$E$12*(Inputs!$D$29*NGS_Archaea_Input!$C$13-G30)))</f>
        <v>0</v>
      </c>
      <c r="I30" s="21">
        <f>IF(H30="","",H30+Inputs!$B$5/Inputs!$B$12*(Inputs!$C$12*(Inputs!$C$29*NGS_Archaea_Input!$B$13-H30)+Inputs!$D$12*(H13-H30)+Inputs!$E$12*(Inputs!$D$29*NGS_Archaea_Input!$C$13-H30)))</f>
        <v>0</v>
      </c>
      <c r="J30" s="21">
        <f>IF(I30="","",I30+Inputs!$B$5/Inputs!$B$12*(Inputs!$C$12*(Inputs!$C$29*NGS_Archaea_Input!$B$13-I30)+Inputs!$D$12*(I13-I30)+Inputs!$E$12*(Inputs!$D$29*NGS_Archaea_Input!$C$13-I30)))</f>
        <v>0</v>
      </c>
      <c r="K30" s="21">
        <f>IF(J30="","",J30+Inputs!$B$5/Inputs!$B$12*(Inputs!$C$12*(Inputs!$C$29*NGS_Archaea_Input!$B$13-J30)+Inputs!$D$12*(J13-J30)+Inputs!$E$12*(Inputs!$D$29*NGS_Archaea_Input!$C$13-J30)))</f>
        <v>0</v>
      </c>
      <c r="L30" s="21">
        <f>IF(K30="","",K30+Inputs!$B$5/Inputs!$B$12*(Inputs!$C$12*(Inputs!$C$29*NGS_Archaea_Input!$B$13-K30)+Inputs!$D$12*(K13-K30)+Inputs!$E$12*(Inputs!$D$29*NGS_Archaea_Input!$C$13-K30)))</f>
        <v>0</v>
      </c>
      <c r="M30" s="21">
        <f>IF(L30="","",L30+Inputs!$B$5/Inputs!$B$12*(Inputs!$C$12*(Inputs!$C$29*NGS_Archaea_Input!$B$13-L30)+Inputs!$D$12*(L13-L30)+Inputs!$E$12*(Inputs!$D$29*NGS_Archaea_Input!$C$13-L30)))</f>
        <v>0</v>
      </c>
      <c r="N30" s="21">
        <f>IF(M30="","",M30+Inputs!$B$5/Inputs!$B$12*(Inputs!$C$12*(Inputs!$C$29*NGS_Archaea_Input!$B$13-M30)+Inputs!$D$12*(M13-M30)+Inputs!$E$12*(Inputs!$D$29*NGS_Archaea_Input!$C$13-M30)))</f>
        <v>0</v>
      </c>
      <c r="O30" s="21">
        <f>IF(N30="","",N30+Inputs!$B$5/Inputs!$B$12*(Inputs!$C$12*(Inputs!$C$29*NGS_Archaea_Input!$B$13-N30)+Inputs!$D$12*(N13-N30)+Inputs!$E$12*(Inputs!$D$29*NGS_Archaea_Input!$C$13-N30)))</f>
        <v>0</v>
      </c>
      <c r="P30" s="21">
        <f>IF(O30="","",O30+Inputs!$B$5/Inputs!$B$12*(Inputs!$C$12*(Inputs!$C$29*NGS_Archaea_Input!$B$13-O30)+Inputs!$D$12*(O13-O30)+Inputs!$E$12*(Inputs!$D$29*NGS_Archaea_Input!$C$13-O30)))</f>
        <v>0</v>
      </c>
      <c r="Q30" s="21">
        <f>IF(P30="","",P30+Inputs!$B$5/Inputs!$B$12*(Inputs!$C$12*(Inputs!$C$29*NGS_Archaea_Input!$B$13-P30)+Inputs!$D$12*(P13-P30)+Inputs!$E$12*(Inputs!$D$29*NGS_Archaea_Input!$C$13-P30)))</f>
        <v>0</v>
      </c>
      <c r="R30" s="21">
        <f>IF(Q30="","",Q30+Inputs!$B$5/Inputs!$B$12*(Inputs!$C$12*(Inputs!$C$29*NGS_Archaea_Input!$B$13-Q30)+Inputs!$D$12*(Q13-Q30)+Inputs!$E$12*(Inputs!$D$29*NGS_Archaea_Input!$C$13-Q30)))</f>
        <v>0</v>
      </c>
      <c r="S30" s="21">
        <f>IF(R30="","",R30+Inputs!$B$5/Inputs!$B$12*(Inputs!$C$12*(Inputs!$C$29*NGS_Archaea_Input!$B$13-R30)+Inputs!$D$12*(R13-R30)+Inputs!$E$12*(Inputs!$D$29*NGS_Archaea_Input!$C$13-R30)))</f>
        <v>0</v>
      </c>
      <c r="T30" s="21">
        <f>IF(S30="","",S30+Inputs!$B$5/Inputs!$B$12*(Inputs!$C$12*(Inputs!$C$29*NGS_Archaea_Input!$B$13-S30)+Inputs!$D$12*(S13-S30)+Inputs!$E$12*(Inputs!$D$29*NGS_Archaea_Input!$C$13-S30)))</f>
        <v>0</v>
      </c>
      <c r="U30" s="21">
        <f>IF(T30="","",T30+Inputs!$B$5/Inputs!$B$12*(Inputs!$C$12*(Inputs!$C$29*NGS_Archaea_Input!$B$13-T30)+Inputs!$D$12*(T13-T30)+Inputs!$E$12*(Inputs!$D$29*NGS_Archaea_Input!$C$13-T30)))</f>
        <v>0</v>
      </c>
      <c r="V30" s="21">
        <f>IF(U30="","",U30+Inputs!$B$5/Inputs!$B$12*(Inputs!$C$12*(Inputs!$C$29*NGS_Archaea_Input!$B$13-U30)+Inputs!$D$12*(U13-U30)+Inputs!$E$12*(Inputs!$D$29*NGS_Archaea_Input!$C$13-U30)))</f>
        <v>0</v>
      </c>
      <c r="W30" s="21">
        <f>IF(V30="","",V30+Inputs!$B$5/Inputs!$B$12*(Inputs!$C$12*(Inputs!$C$29*NGS_Archaea_Input!$B$13-V30)+Inputs!$D$12*(V13-V30)+Inputs!$E$12*(Inputs!$D$29*NGS_Archaea_Input!$C$13-V30)))</f>
        <v>0</v>
      </c>
    </row>
    <row r="31" spans="1:23" ht="18" customHeight="1" x14ac:dyDescent="0.25">
      <c r="A31" s="11" t="str">
        <f>NGS_Archaea_Input!A14</f>
        <v>Arc_taxon_10</v>
      </c>
      <c r="B31" s="21">
        <f>IF(Inputs!$H$35="","",Inputs!$H$35*NGS_Archaea_Input!$D$14)</f>
        <v>0</v>
      </c>
      <c r="C31" s="21">
        <f>IF(B31="","",B31+Inputs!$B$5/Inputs!$B$12*(Inputs!$C$12*(Inputs!$C$29*NGS_Archaea_Input!$B$14-B31)+Inputs!$D$12*(B14-B31)+Inputs!$E$12*(Inputs!$D$29*NGS_Archaea_Input!$C$14-B31)))</f>
        <v>0</v>
      </c>
      <c r="D31" s="21">
        <f>IF(C31="","",C31+Inputs!$B$5/Inputs!$B$12*(Inputs!$C$12*(Inputs!$C$29*NGS_Archaea_Input!$B$14-C31)+Inputs!$D$12*(C14-C31)+Inputs!$E$12*(Inputs!$D$29*NGS_Archaea_Input!$C$14-C31)))</f>
        <v>0</v>
      </c>
      <c r="E31" s="21">
        <f>IF(D31="","",D31+Inputs!$B$5/Inputs!$B$12*(Inputs!$C$12*(Inputs!$C$29*NGS_Archaea_Input!$B$14-D31)+Inputs!$D$12*(D14-D31)+Inputs!$E$12*(Inputs!$D$29*NGS_Archaea_Input!$C$14-D31)))</f>
        <v>0</v>
      </c>
      <c r="F31" s="21">
        <f>IF(E31="","",E31+Inputs!$B$5/Inputs!$B$12*(Inputs!$C$12*(Inputs!$C$29*NGS_Archaea_Input!$B$14-E31)+Inputs!$D$12*(E14-E31)+Inputs!$E$12*(Inputs!$D$29*NGS_Archaea_Input!$C$14-E31)))</f>
        <v>0</v>
      </c>
      <c r="G31" s="21">
        <f>IF(F31="","",F31+Inputs!$B$5/Inputs!$B$12*(Inputs!$C$12*(Inputs!$C$29*NGS_Archaea_Input!$B$14-F31)+Inputs!$D$12*(F14-F31)+Inputs!$E$12*(Inputs!$D$29*NGS_Archaea_Input!$C$14-F31)))</f>
        <v>0</v>
      </c>
      <c r="H31" s="21">
        <f>IF(G31="","",G31+Inputs!$B$5/Inputs!$B$12*(Inputs!$C$12*(Inputs!$C$29*NGS_Archaea_Input!$B$14-G31)+Inputs!$D$12*(G14-G31)+Inputs!$E$12*(Inputs!$D$29*NGS_Archaea_Input!$C$14-G31)))</f>
        <v>0</v>
      </c>
      <c r="I31" s="21">
        <f>IF(H31="","",H31+Inputs!$B$5/Inputs!$B$12*(Inputs!$C$12*(Inputs!$C$29*NGS_Archaea_Input!$B$14-H31)+Inputs!$D$12*(H14-H31)+Inputs!$E$12*(Inputs!$D$29*NGS_Archaea_Input!$C$14-H31)))</f>
        <v>0</v>
      </c>
      <c r="J31" s="21">
        <f>IF(I31="","",I31+Inputs!$B$5/Inputs!$B$12*(Inputs!$C$12*(Inputs!$C$29*NGS_Archaea_Input!$B$14-I31)+Inputs!$D$12*(I14-I31)+Inputs!$E$12*(Inputs!$D$29*NGS_Archaea_Input!$C$14-I31)))</f>
        <v>0</v>
      </c>
      <c r="K31" s="21">
        <f>IF(J31="","",J31+Inputs!$B$5/Inputs!$B$12*(Inputs!$C$12*(Inputs!$C$29*NGS_Archaea_Input!$B$14-J31)+Inputs!$D$12*(J14-J31)+Inputs!$E$12*(Inputs!$D$29*NGS_Archaea_Input!$C$14-J31)))</f>
        <v>0</v>
      </c>
      <c r="L31" s="21">
        <f>IF(K31="","",K31+Inputs!$B$5/Inputs!$B$12*(Inputs!$C$12*(Inputs!$C$29*NGS_Archaea_Input!$B$14-K31)+Inputs!$D$12*(K14-K31)+Inputs!$E$12*(Inputs!$D$29*NGS_Archaea_Input!$C$14-K31)))</f>
        <v>0</v>
      </c>
      <c r="M31" s="21">
        <f>IF(L31="","",L31+Inputs!$B$5/Inputs!$B$12*(Inputs!$C$12*(Inputs!$C$29*NGS_Archaea_Input!$B$14-L31)+Inputs!$D$12*(L14-L31)+Inputs!$E$12*(Inputs!$D$29*NGS_Archaea_Input!$C$14-L31)))</f>
        <v>0</v>
      </c>
      <c r="N31" s="21">
        <f>IF(M31="","",M31+Inputs!$B$5/Inputs!$B$12*(Inputs!$C$12*(Inputs!$C$29*NGS_Archaea_Input!$B$14-M31)+Inputs!$D$12*(M14-M31)+Inputs!$E$12*(Inputs!$D$29*NGS_Archaea_Input!$C$14-M31)))</f>
        <v>0</v>
      </c>
      <c r="O31" s="21">
        <f>IF(N31="","",N31+Inputs!$B$5/Inputs!$B$12*(Inputs!$C$12*(Inputs!$C$29*NGS_Archaea_Input!$B$14-N31)+Inputs!$D$12*(N14-N31)+Inputs!$E$12*(Inputs!$D$29*NGS_Archaea_Input!$C$14-N31)))</f>
        <v>0</v>
      </c>
      <c r="P31" s="21">
        <f>IF(O31="","",O31+Inputs!$B$5/Inputs!$B$12*(Inputs!$C$12*(Inputs!$C$29*NGS_Archaea_Input!$B$14-O31)+Inputs!$D$12*(O14-O31)+Inputs!$E$12*(Inputs!$D$29*NGS_Archaea_Input!$C$14-O31)))</f>
        <v>0</v>
      </c>
      <c r="Q31" s="21">
        <f>IF(P31="","",P31+Inputs!$B$5/Inputs!$B$12*(Inputs!$C$12*(Inputs!$C$29*NGS_Archaea_Input!$B$14-P31)+Inputs!$D$12*(P14-P31)+Inputs!$E$12*(Inputs!$D$29*NGS_Archaea_Input!$C$14-P31)))</f>
        <v>0</v>
      </c>
      <c r="R31" s="21">
        <f>IF(Q31="","",Q31+Inputs!$B$5/Inputs!$B$12*(Inputs!$C$12*(Inputs!$C$29*NGS_Archaea_Input!$B$14-Q31)+Inputs!$D$12*(Q14-Q31)+Inputs!$E$12*(Inputs!$D$29*NGS_Archaea_Input!$C$14-Q31)))</f>
        <v>0</v>
      </c>
      <c r="S31" s="21">
        <f>IF(R31="","",R31+Inputs!$B$5/Inputs!$B$12*(Inputs!$C$12*(Inputs!$C$29*NGS_Archaea_Input!$B$14-R31)+Inputs!$D$12*(R14-R31)+Inputs!$E$12*(Inputs!$D$29*NGS_Archaea_Input!$C$14-R31)))</f>
        <v>0</v>
      </c>
      <c r="T31" s="21">
        <f>IF(S31="","",S31+Inputs!$B$5/Inputs!$B$12*(Inputs!$C$12*(Inputs!$C$29*NGS_Archaea_Input!$B$14-S31)+Inputs!$D$12*(S14-S31)+Inputs!$E$12*(Inputs!$D$29*NGS_Archaea_Input!$C$14-S31)))</f>
        <v>0</v>
      </c>
      <c r="U31" s="21">
        <f>IF(T31="","",T31+Inputs!$B$5/Inputs!$B$12*(Inputs!$C$12*(Inputs!$C$29*NGS_Archaea_Input!$B$14-T31)+Inputs!$D$12*(T14-T31)+Inputs!$E$12*(Inputs!$D$29*NGS_Archaea_Input!$C$14-T31)))</f>
        <v>0</v>
      </c>
      <c r="V31" s="21">
        <f>IF(U31="","",U31+Inputs!$B$5/Inputs!$B$12*(Inputs!$C$12*(Inputs!$C$29*NGS_Archaea_Input!$B$14-U31)+Inputs!$D$12*(U14-U31)+Inputs!$E$12*(Inputs!$D$29*NGS_Archaea_Input!$C$14-U31)))</f>
        <v>0</v>
      </c>
      <c r="W31" s="21">
        <f>IF(V31="","",V31+Inputs!$B$5/Inputs!$B$12*(Inputs!$C$12*(Inputs!$C$29*NGS_Archaea_Input!$B$14-V31)+Inputs!$D$12*(V14-V31)+Inputs!$E$12*(Inputs!$D$29*NGS_Archaea_Input!$C$14-V31)))</f>
        <v>0</v>
      </c>
    </row>
    <row r="32" spans="1:23" ht="18" customHeight="1" x14ac:dyDescent="0.25">
      <c r="A32" s="11" t="str">
        <f>NGS_Archaea_Input!A15</f>
        <v>Others</v>
      </c>
      <c r="B32" s="21">
        <f>IF(Inputs!$H$35="","",Inputs!$H$35*NGS_Archaea_Input!$D$15)</f>
        <v>17543033.873371836</v>
      </c>
      <c r="C32" s="21">
        <f>IF(B32="","",B32+Inputs!$B$5/Inputs!$B$12*(Inputs!$C$12*(Inputs!$C$29*NGS_Archaea_Input!$B$15-B32)+Inputs!$D$12*(B15-B32)+Inputs!$E$12*(Inputs!$D$29*NGS_Archaea_Input!$C$15-B32)))</f>
        <v>17035801.740172811</v>
      </c>
      <c r="D32" s="21">
        <f>IF(C32="","",C32+Inputs!$B$5/Inputs!$B$12*(Inputs!$C$12*(Inputs!$C$29*NGS_Archaea_Input!$B$15-C32)+Inputs!$D$12*(C15-C32)+Inputs!$E$12*(Inputs!$D$29*NGS_Archaea_Input!$C$15-C32)))</f>
        <v>16549215.647663383</v>
      </c>
      <c r="E32" s="21">
        <f>IF(D32="","",D32+Inputs!$B$5/Inputs!$B$12*(Inputs!$C$12*(Inputs!$C$29*NGS_Archaea_Input!$B$15-D32)+Inputs!$D$12*(D15-D32)+Inputs!$E$12*(Inputs!$D$29*NGS_Archaea_Input!$C$15-D32)))</f>
        <v>16082355.737051388</v>
      </c>
      <c r="F32" s="21">
        <f>IF(E32="","",E32+Inputs!$B$5/Inputs!$B$12*(Inputs!$C$12*(Inputs!$C$29*NGS_Archaea_Input!$B$15-E32)+Inputs!$D$12*(E15-E32)+Inputs!$E$12*(Inputs!$D$29*NGS_Archaea_Input!$C$15-E32)))</f>
        <v>15634345.138171501</v>
      </c>
      <c r="G32" s="21">
        <f>IF(F32="","",F32+Inputs!$B$5/Inputs!$B$12*(Inputs!$C$12*(Inputs!$C$29*NGS_Archaea_Input!$B$15-F32)+Inputs!$D$12*(F15-F32)+Inputs!$E$12*(Inputs!$D$29*NGS_Archaea_Input!$C$15-F32)))</f>
        <v>15204347.913838822</v>
      </c>
      <c r="H32" s="21">
        <f>IF(G32="","",G32+Inputs!$B$5/Inputs!$B$12*(Inputs!$C$12*(Inputs!$C$29*NGS_Archaea_Input!$B$15-G32)+Inputs!$D$12*(G15-G32)+Inputs!$E$12*(Inputs!$D$29*NGS_Archaea_Input!$C$15-G32)))</f>
        <v>14791567.103552675</v>
      </c>
      <c r="I32" s="21">
        <f>IF(H32="","",H32+Inputs!$B$5/Inputs!$B$12*(Inputs!$C$12*(Inputs!$C$29*NGS_Archaea_Input!$B$15-H32)+Inputs!$D$12*(H15-H32)+Inputs!$E$12*(Inputs!$D$29*NGS_Archaea_Input!$C$15-H32)))</f>
        <v>14395242.861724824</v>
      </c>
      <c r="J32" s="21">
        <f>IF(I32="","",I32+Inputs!$B$5/Inputs!$B$12*(Inputs!$C$12*(Inputs!$C$29*NGS_Archaea_Input!$B$15-I32)+Inputs!$D$12*(I15-I32)+Inputs!$E$12*(Inputs!$D$29*NGS_Archaea_Input!$C$15-I32)))</f>
        <v>14014650.68584129</v>
      </c>
      <c r="K32" s="21">
        <f>IF(J32="","",J32+Inputs!$B$5/Inputs!$B$12*(Inputs!$C$12*(Inputs!$C$29*NGS_Archaea_Input!$B$15-J32)+Inputs!$D$12*(J15-J32)+Inputs!$E$12*(Inputs!$D$29*NGS_Archaea_Input!$C$15-J32)))</f>
        <v>13649099.73019053</v>
      </c>
      <c r="L32" s="21">
        <f>IF(K32="","",K32+Inputs!$B$5/Inputs!$B$12*(Inputs!$C$12*(Inputs!$C$29*NGS_Archaea_Input!$B$15-K32)+Inputs!$D$12*(K15-K32)+Inputs!$E$12*(Inputs!$D$29*NGS_Archaea_Input!$C$15-K32)))</f>
        <v>13297931.201003334</v>
      </c>
      <c r="M32" s="21">
        <f>IF(L32="","",L32+Inputs!$B$5/Inputs!$B$12*(Inputs!$C$12*(Inputs!$C$29*NGS_Archaea_Input!$B$15-L32)+Inputs!$D$12*(L15-L32)+Inputs!$E$12*(Inputs!$D$29*NGS_Archaea_Input!$C$15-L32)))</f>
        <v>12960516.829052107</v>
      </c>
      <c r="N32" s="21">
        <f>IF(M32="","",M32+Inputs!$B$5/Inputs!$B$12*(Inputs!$C$12*(Inputs!$C$29*NGS_Archaea_Input!$B$15-M32)+Inputs!$D$12*(M15-M32)+Inputs!$E$12*(Inputs!$D$29*NGS_Archaea_Input!$C$15-M32)))</f>
        <v>12636257.415949594</v>
      </c>
      <c r="O32" s="21">
        <f>IF(N32="","",N32+Inputs!$B$5/Inputs!$B$12*(Inputs!$C$12*(Inputs!$C$29*NGS_Archaea_Input!$B$15-N32)+Inputs!$D$12*(N15-N32)+Inputs!$E$12*(Inputs!$D$29*NGS_Archaea_Input!$C$15-N32)))</f>
        <v>12324581.450570114</v>
      </c>
      <c r="P32" s="21">
        <f>IF(O32="","",O32+Inputs!$B$5/Inputs!$B$12*(Inputs!$C$12*(Inputs!$C$29*NGS_Archaea_Input!$B$15-O32)+Inputs!$D$12*(O15-O32)+Inputs!$E$12*(Inputs!$D$29*NGS_Archaea_Input!$C$15-O32)))</f>
        <v>12024943.792190509</v>
      </c>
      <c r="Q32" s="21">
        <f>IF(P32="","",P32+Inputs!$B$5/Inputs!$B$12*(Inputs!$C$12*(Inputs!$C$29*NGS_Archaea_Input!$B$15-P32)+Inputs!$D$12*(P15-P32)+Inputs!$E$12*(Inputs!$D$29*NGS_Archaea_Input!$C$15-P32)))</f>
        <v>11736824.417113611</v>
      </c>
      <c r="R32" s="21">
        <f>IF(Q32="","",Q32+Inputs!$B$5/Inputs!$B$12*(Inputs!$C$12*(Inputs!$C$29*NGS_Archaea_Input!$B$15-Q32)+Inputs!$D$12*(Q15-Q32)+Inputs!$E$12*(Inputs!$D$29*NGS_Archaea_Input!$C$15-Q32)))</f>
        <v>11459727.22569455</v>
      </c>
      <c r="S32" s="21">
        <f>IF(R32="","",R32+Inputs!$B$5/Inputs!$B$12*(Inputs!$C$12*(Inputs!$C$29*NGS_Archaea_Input!$B$15-R32)+Inputs!$D$12*(R15-R32)+Inputs!$E$12*(Inputs!$D$29*NGS_Archaea_Input!$C$15-R32)))</f>
        <v>11193178.906840134</v>
      </c>
      <c r="T32" s="21">
        <f>IF(S32="","",S32+Inputs!$B$5/Inputs!$B$12*(Inputs!$C$12*(Inputs!$C$29*NGS_Archaea_Input!$B$15-S32)+Inputs!$D$12*(S15-S32)+Inputs!$E$12*(Inputs!$D$29*NGS_Archaea_Input!$C$15-S32)))</f>
        <v>10936727.857194053</v>
      </c>
      <c r="U32" s="21">
        <f>IF(T32="","",T32+Inputs!$B$5/Inputs!$B$12*(Inputs!$C$12*(Inputs!$C$29*NGS_Archaea_Input!$B$15-T32)+Inputs!$D$12*(T15-T32)+Inputs!$E$12*(Inputs!$D$29*NGS_Archaea_Input!$C$15-T32)))</f>
        <v>10689943.152356276</v>
      </c>
      <c r="V32" s="21">
        <f>IF(U32="","",U32+Inputs!$B$5/Inputs!$B$12*(Inputs!$C$12*(Inputs!$C$29*NGS_Archaea_Input!$B$15-U32)+Inputs!$D$12*(U15-U32)+Inputs!$E$12*(Inputs!$D$29*NGS_Archaea_Input!$C$15-U32)))</f>
        <v>10452413.567614019</v>
      </c>
      <c r="W32" s="21">
        <f>IF(V32="","",V32+Inputs!$B$5/Inputs!$B$12*(Inputs!$C$12*(Inputs!$C$29*NGS_Archaea_Input!$B$15-V32)+Inputs!$D$12*(V15-V32)+Inputs!$E$12*(Inputs!$D$29*NGS_Archaea_Input!$C$15-V32)))</f>
        <v>10223746.645784359</v>
      </c>
    </row>
    <row r="33" spans="1:23" ht="18" customHeight="1" x14ac:dyDescent="0.25"/>
    <row r="34" spans="1:23" ht="18" customHeight="1" x14ac:dyDescent="0.25">
      <c r="A34" s="25" t="s">
        <v>162</v>
      </c>
    </row>
    <row r="35" spans="1:23" ht="18" customHeight="1" x14ac:dyDescent="0.25">
      <c r="A35" s="11" t="str">
        <f>NGS_Archaea_Input!A5</f>
        <v>Arc_taxon_1</v>
      </c>
      <c r="B35" s="14">
        <f>IF(BAC_ARC_Daily!C5&lt;&gt;0,B22/BAC_ARC_Daily!C5,"")</f>
        <v>0</v>
      </c>
      <c r="C35" s="14">
        <f>IF(BAC_ARC_Daily!C6&lt;&gt;0,C22/BAC_ARC_Daily!C6,"")</f>
        <v>0</v>
      </c>
      <c r="D35" s="14">
        <f>IF(BAC_ARC_Daily!C7&lt;&gt;0,D22/BAC_ARC_Daily!C7,"")</f>
        <v>0</v>
      </c>
      <c r="E35" s="14">
        <f>IF(BAC_ARC_Daily!C8&lt;&gt;0,E22/BAC_ARC_Daily!C8,"")</f>
        <v>0</v>
      </c>
      <c r="F35" s="14">
        <f>IF(BAC_ARC_Daily!C9&lt;&gt;0,F22/BAC_ARC_Daily!C9,"")</f>
        <v>0</v>
      </c>
      <c r="G35" s="14">
        <f>IF(BAC_ARC_Daily!C10&lt;&gt;0,G22/BAC_ARC_Daily!C10,"")</f>
        <v>0</v>
      </c>
      <c r="H35" s="14">
        <f>IF(BAC_ARC_Daily!C11&lt;&gt;0,H22/BAC_ARC_Daily!C11,"")</f>
        <v>0</v>
      </c>
      <c r="I35" s="14">
        <f>IF(BAC_ARC_Daily!C12&lt;&gt;0,I22/BAC_ARC_Daily!C12,"")</f>
        <v>0</v>
      </c>
      <c r="J35" s="14">
        <f>IF(BAC_ARC_Daily!C13&lt;&gt;0,J22/BAC_ARC_Daily!C13,"")</f>
        <v>0</v>
      </c>
      <c r="K35" s="14">
        <f>IF(BAC_ARC_Daily!C14&lt;&gt;0,K22/BAC_ARC_Daily!C14,"")</f>
        <v>0</v>
      </c>
      <c r="L35" s="14">
        <f>IF(BAC_ARC_Daily!C15&lt;&gt;0,L22/BAC_ARC_Daily!C15,"")</f>
        <v>0</v>
      </c>
      <c r="M35" s="14">
        <f>IF(BAC_ARC_Daily!C16&lt;&gt;0,M22/BAC_ARC_Daily!C16,"")</f>
        <v>0</v>
      </c>
      <c r="N35" s="14">
        <f>IF(BAC_ARC_Daily!C17&lt;&gt;0,N22/BAC_ARC_Daily!C17,"")</f>
        <v>0</v>
      </c>
      <c r="O35" s="14">
        <f>IF(BAC_ARC_Daily!C18&lt;&gt;0,O22/BAC_ARC_Daily!C18,"")</f>
        <v>0</v>
      </c>
      <c r="P35" s="14">
        <f>IF(BAC_ARC_Daily!C19&lt;&gt;0,P22/BAC_ARC_Daily!C19,"")</f>
        <v>0</v>
      </c>
      <c r="Q35" s="14">
        <f>IF(BAC_ARC_Daily!C20&lt;&gt;0,Q22/BAC_ARC_Daily!C20,"")</f>
        <v>0</v>
      </c>
      <c r="R35" s="14">
        <f>IF(BAC_ARC_Daily!C21&lt;&gt;0,R22/BAC_ARC_Daily!C21,"")</f>
        <v>0</v>
      </c>
      <c r="S35" s="14">
        <f>IF(BAC_ARC_Daily!C22&lt;&gt;0,S22/BAC_ARC_Daily!C22,"")</f>
        <v>0</v>
      </c>
      <c r="T35" s="14">
        <f>IF(BAC_ARC_Daily!C23&lt;&gt;0,T22/BAC_ARC_Daily!C23,"")</f>
        <v>0</v>
      </c>
      <c r="U35" s="14">
        <f>IF(BAC_ARC_Daily!C24&lt;&gt;0,U22/BAC_ARC_Daily!C24,"")</f>
        <v>0</v>
      </c>
      <c r="V35" s="14">
        <f>IF(BAC_ARC_Daily!C25&lt;&gt;0,V22/BAC_ARC_Daily!C25,"")</f>
        <v>0</v>
      </c>
      <c r="W35" s="14">
        <f>IF(BAC_ARC_Daily!C26&lt;&gt;0,W22/BAC_ARC_Daily!C26,"")</f>
        <v>0</v>
      </c>
    </row>
    <row r="36" spans="1:23" ht="18" customHeight="1" x14ac:dyDescent="0.25">
      <c r="A36" s="11" t="str">
        <f>NGS_Archaea_Input!A6</f>
        <v>Arc_taxon_2</v>
      </c>
      <c r="B36" s="14">
        <f>IF(BAC_ARC_Daily!C5&lt;&gt;0,B23/BAC_ARC_Daily!C5,"")</f>
        <v>0</v>
      </c>
      <c r="C36" s="14">
        <f>IF(BAC_ARC_Daily!C6&lt;&gt;0,C23/BAC_ARC_Daily!C6,"")</f>
        <v>0</v>
      </c>
      <c r="D36" s="14">
        <f>IF(BAC_ARC_Daily!C7&lt;&gt;0,D23/BAC_ARC_Daily!C7,"")</f>
        <v>0</v>
      </c>
      <c r="E36" s="14">
        <f>IF(BAC_ARC_Daily!C8&lt;&gt;0,E23/BAC_ARC_Daily!C8,"")</f>
        <v>0</v>
      </c>
      <c r="F36" s="14">
        <f>IF(BAC_ARC_Daily!C9&lt;&gt;0,F23/BAC_ARC_Daily!C9,"")</f>
        <v>0</v>
      </c>
      <c r="G36" s="14">
        <f>IF(BAC_ARC_Daily!C10&lt;&gt;0,G23/BAC_ARC_Daily!C10,"")</f>
        <v>0</v>
      </c>
      <c r="H36" s="14">
        <f>IF(BAC_ARC_Daily!C11&lt;&gt;0,H23/BAC_ARC_Daily!C11,"")</f>
        <v>0</v>
      </c>
      <c r="I36" s="14">
        <f>IF(BAC_ARC_Daily!C12&lt;&gt;0,I23/BAC_ARC_Daily!C12,"")</f>
        <v>0</v>
      </c>
      <c r="J36" s="14">
        <f>IF(BAC_ARC_Daily!C13&lt;&gt;0,J23/BAC_ARC_Daily!C13,"")</f>
        <v>0</v>
      </c>
      <c r="K36" s="14">
        <f>IF(BAC_ARC_Daily!C14&lt;&gt;0,K23/BAC_ARC_Daily!C14,"")</f>
        <v>0</v>
      </c>
      <c r="L36" s="14">
        <f>IF(BAC_ARC_Daily!C15&lt;&gt;0,L23/BAC_ARC_Daily!C15,"")</f>
        <v>0</v>
      </c>
      <c r="M36" s="14">
        <f>IF(BAC_ARC_Daily!C16&lt;&gt;0,M23/BAC_ARC_Daily!C16,"")</f>
        <v>0</v>
      </c>
      <c r="N36" s="14">
        <f>IF(BAC_ARC_Daily!C17&lt;&gt;0,N23/BAC_ARC_Daily!C17,"")</f>
        <v>0</v>
      </c>
      <c r="O36" s="14">
        <f>IF(BAC_ARC_Daily!C18&lt;&gt;0,O23/BAC_ARC_Daily!C18,"")</f>
        <v>0</v>
      </c>
      <c r="P36" s="14">
        <f>IF(BAC_ARC_Daily!C19&lt;&gt;0,P23/BAC_ARC_Daily!C19,"")</f>
        <v>0</v>
      </c>
      <c r="Q36" s="14">
        <f>IF(BAC_ARC_Daily!C20&lt;&gt;0,Q23/BAC_ARC_Daily!C20,"")</f>
        <v>0</v>
      </c>
      <c r="R36" s="14">
        <f>IF(BAC_ARC_Daily!C21&lt;&gt;0,R23/BAC_ARC_Daily!C21,"")</f>
        <v>0</v>
      </c>
      <c r="S36" s="14">
        <f>IF(BAC_ARC_Daily!C22&lt;&gt;0,S23/BAC_ARC_Daily!C22,"")</f>
        <v>0</v>
      </c>
      <c r="T36" s="14">
        <f>IF(BAC_ARC_Daily!C23&lt;&gt;0,T23/BAC_ARC_Daily!C23,"")</f>
        <v>0</v>
      </c>
      <c r="U36" s="14">
        <f>IF(BAC_ARC_Daily!C24&lt;&gt;0,U23/BAC_ARC_Daily!C24,"")</f>
        <v>0</v>
      </c>
      <c r="V36" s="14">
        <f>IF(BAC_ARC_Daily!C25&lt;&gt;0,V23/BAC_ARC_Daily!C25,"")</f>
        <v>0</v>
      </c>
      <c r="W36" s="14">
        <f>IF(BAC_ARC_Daily!C26&lt;&gt;0,W23/BAC_ARC_Daily!C26,"")</f>
        <v>0</v>
      </c>
    </row>
    <row r="37" spans="1:23" ht="18" customHeight="1" x14ac:dyDescent="0.25">
      <c r="A37" s="11" t="str">
        <f>NGS_Archaea_Input!A7</f>
        <v>Arc_taxon_3</v>
      </c>
      <c r="B37" s="14">
        <f>IF(BAC_ARC_Daily!C5&lt;&gt;0,B24/BAC_ARC_Daily!C5,"")</f>
        <v>0</v>
      </c>
      <c r="C37" s="14">
        <f>IF(BAC_ARC_Daily!C6&lt;&gt;0,C24/BAC_ARC_Daily!C6,"")</f>
        <v>0</v>
      </c>
      <c r="D37" s="14">
        <f>IF(BAC_ARC_Daily!C7&lt;&gt;0,D24/BAC_ARC_Daily!C7,"")</f>
        <v>0</v>
      </c>
      <c r="E37" s="14">
        <f>IF(BAC_ARC_Daily!C8&lt;&gt;0,E24/BAC_ARC_Daily!C8,"")</f>
        <v>0</v>
      </c>
      <c r="F37" s="14">
        <f>IF(BAC_ARC_Daily!C9&lt;&gt;0,F24/BAC_ARC_Daily!C9,"")</f>
        <v>0</v>
      </c>
      <c r="G37" s="14">
        <f>IF(BAC_ARC_Daily!C10&lt;&gt;0,G24/BAC_ARC_Daily!C10,"")</f>
        <v>0</v>
      </c>
      <c r="H37" s="14">
        <f>IF(BAC_ARC_Daily!C11&lt;&gt;0,H24/BAC_ARC_Daily!C11,"")</f>
        <v>0</v>
      </c>
      <c r="I37" s="14">
        <f>IF(BAC_ARC_Daily!C12&lt;&gt;0,I24/BAC_ARC_Daily!C12,"")</f>
        <v>0</v>
      </c>
      <c r="J37" s="14">
        <f>IF(BAC_ARC_Daily!C13&lt;&gt;0,J24/BAC_ARC_Daily!C13,"")</f>
        <v>0</v>
      </c>
      <c r="K37" s="14">
        <f>IF(BAC_ARC_Daily!C14&lt;&gt;0,K24/BAC_ARC_Daily!C14,"")</f>
        <v>0</v>
      </c>
      <c r="L37" s="14">
        <f>IF(BAC_ARC_Daily!C15&lt;&gt;0,L24/BAC_ARC_Daily!C15,"")</f>
        <v>0</v>
      </c>
      <c r="M37" s="14">
        <f>IF(BAC_ARC_Daily!C16&lt;&gt;0,M24/BAC_ARC_Daily!C16,"")</f>
        <v>0</v>
      </c>
      <c r="N37" s="14">
        <f>IF(BAC_ARC_Daily!C17&lt;&gt;0,N24/BAC_ARC_Daily!C17,"")</f>
        <v>0</v>
      </c>
      <c r="O37" s="14">
        <f>IF(BAC_ARC_Daily!C18&lt;&gt;0,O24/BAC_ARC_Daily!C18,"")</f>
        <v>0</v>
      </c>
      <c r="P37" s="14">
        <f>IF(BAC_ARC_Daily!C19&lt;&gt;0,P24/BAC_ARC_Daily!C19,"")</f>
        <v>0</v>
      </c>
      <c r="Q37" s="14">
        <f>IF(BAC_ARC_Daily!C20&lt;&gt;0,Q24/BAC_ARC_Daily!C20,"")</f>
        <v>0</v>
      </c>
      <c r="R37" s="14">
        <f>IF(BAC_ARC_Daily!C21&lt;&gt;0,R24/BAC_ARC_Daily!C21,"")</f>
        <v>0</v>
      </c>
      <c r="S37" s="14">
        <f>IF(BAC_ARC_Daily!C22&lt;&gt;0,S24/BAC_ARC_Daily!C22,"")</f>
        <v>0</v>
      </c>
      <c r="T37" s="14">
        <f>IF(BAC_ARC_Daily!C23&lt;&gt;0,T24/BAC_ARC_Daily!C23,"")</f>
        <v>0</v>
      </c>
      <c r="U37" s="14">
        <f>IF(BAC_ARC_Daily!C24&lt;&gt;0,U24/BAC_ARC_Daily!C24,"")</f>
        <v>0</v>
      </c>
      <c r="V37" s="14">
        <f>IF(BAC_ARC_Daily!C25&lt;&gt;0,V24/BAC_ARC_Daily!C25,"")</f>
        <v>0</v>
      </c>
      <c r="W37" s="14">
        <f>IF(BAC_ARC_Daily!C26&lt;&gt;0,W24/BAC_ARC_Daily!C26,"")</f>
        <v>0</v>
      </c>
    </row>
    <row r="38" spans="1:23" ht="18" customHeight="1" x14ac:dyDescent="0.25">
      <c r="A38" s="11" t="str">
        <f>NGS_Archaea_Input!A8</f>
        <v>Arc_taxon_4</v>
      </c>
      <c r="B38" s="14">
        <f>IF(BAC_ARC_Daily!C5&lt;&gt;0,B25/BAC_ARC_Daily!C5,"")</f>
        <v>0</v>
      </c>
      <c r="C38" s="14">
        <f>IF(BAC_ARC_Daily!C6&lt;&gt;0,C25/BAC_ARC_Daily!C6,"")</f>
        <v>0</v>
      </c>
      <c r="D38" s="14">
        <f>IF(BAC_ARC_Daily!C7&lt;&gt;0,D25/BAC_ARC_Daily!C7,"")</f>
        <v>0</v>
      </c>
      <c r="E38" s="14">
        <f>IF(BAC_ARC_Daily!C8&lt;&gt;0,E25/BAC_ARC_Daily!C8,"")</f>
        <v>0</v>
      </c>
      <c r="F38" s="14">
        <f>IF(BAC_ARC_Daily!C9&lt;&gt;0,F25/BAC_ARC_Daily!C9,"")</f>
        <v>0</v>
      </c>
      <c r="G38" s="14">
        <f>IF(BAC_ARC_Daily!C10&lt;&gt;0,G25/BAC_ARC_Daily!C10,"")</f>
        <v>0</v>
      </c>
      <c r="H38" s="14">
        <f>IF(BAC_ARC_Daily!C11&lt;&gt;0,H25/BAC_ARC_Daily!C11,"")</f>
        <v>0</v>
      </c>
      <c r="I38" s="14">
        <f>IF(BAC_ARC_Daily!C12&lt;&gt;0,I25/BAC_ARC_Daily!C12,"")</f>
        <v>0</v>
      </c>
      <c r="J38" s="14">
        <f>IF(BAC_ARC_Daily!C13&lt;&gt;0,J25/BAC_ARC_Daily!C13,"")</f>
        <v>0</v>
      </c>
      <c r="K38" s="14">
        <f>IF(BAC_ARC_Daily!C14&lt;&gt;0,K25/BAC_ARC_Daily!C14,"")</f>
        <v>0</v>
      </c>
      <c r="L38" s="14">
        <f>IF(BAC_ARC_Daily!C15&lt;&gt;0,L25/BAC_ARC_Daily!C15,"")</f>
        <v>0</v>
      </c>
      <c r="M38" s="14">
        <f>IF(BAC_ARC_Daily!C16&lt;&gt;0,M25/BAC_ARC_Daily!C16,"")</f>
        <v>0</v>
      </c>
      <c r="N38" s="14">
        <f>IF(BAC_ARC_Daily!C17&lt;&gt;0,N25/BAC_ARC_Daily!C17,"")</f>
        <v>0</v>
      </c>
      <c r="O38" s="14">
        <f>IF(BAC_ARC_Daily!C18&lt;&gt;0,O25/BAC_ARC_Daily!C18,"")</f>
        <v>0</v>
      </c>
      <c r="P38" s="14">
        <f>IF(BAC_ARC_Daily!C19&lt;&gt;0,P25/BAC_ARC_Daily!C19,"")</f>
        <v>0</v>
      </c>
      <c r="Q38" s="14">
        <f>IF(BAC_ARC_Daily!C20&lt;&gt;0,Q25/BAC_ARC_Daily!C20,"")</f>
        <v>0</v>
      </c>
      <c r="R38" s="14">
        <f>IF(BAC_ARC_Daily!C21&lt;&gt;0,R25/BAC_ARC_Daily!C21,"")</f>
        <v>0</v>
      </c>
      <c r="S38" s="14">
        <f>IF(BAC_ARC_Daily!C22&lt;&gt;0,S25/BAC_ARC_Daily!C22,"")</f>
        <v>0</v>
      </c>
      <c r="T38" s="14">
        <f>IF(BAC_ARC_Daily!C23&lt;&gt;0,T25/BAC_ARC_Daily!C23,"")</f>
        <v>0</v>
      </c>
      <c r="U38" s="14">
        <f>IF(BAC_ARC_Daily!C24&lt;&gt;0,U25/BAC_ARC_Daily!C24,"")</f>
        <v>0</v>
      </c>
      <c r="V38" s="14">
        <f>IF(BAC_ARC_Daily!C25&lt;&gt;0,V25/BAC_ARC_Daily!C25,"")</f>
        <v>0</v>
      </c>
      <c r="W38" s="14">
        <f>IF(BAC_ARC_Daily!C26&lt;&gt;0,W25/BAC_ARC_Daily!C26,"")</f>
        <v>0</v>
      </c>
    </row>
    <row r="39" spans="1:23" ht="18" customHeight="1" x14ac:dyDescent="0.25">
      <c r="A39" s="11" t="str">
        <f>NGS_Archaea_Input!A9</f>
        <v>Arc_taxon_5</v>
      </c>
      <c r="B39" s="14">
        <f>IF(BAC_ARC_Daily!C5&lt;&gt;0,B26/BAC_ARC_Daily!C5,"")</f>
        <v>0</v>
      </c>
      <c r="C39" s="14">
        <f>IF(BAC_ARC_Daily!C6&lt;&gt;0,C26/BAC_ARC_Daily!C6,"")</f>
        <v>0</v>
      </c>
      <c r="D39" s="14">
        <f>IF(BAC_ARC_Daily!C7&lt;&gt;0,D26/BAC_ARC_Daily!C7,"")</f>
        <v>0</v>
      </c>
      <c r="E39" s="14">
        <f>IF(BAC_ARC_Daily!C8&lt;&gt;0,E26/BAC_ARC_Daily!C8,"")</f>
        <v>0</v>
      </c>
      <c r="F39" s="14">
        <f>IF(BAC_ARC_Daily!C9&lt;&gt;0,F26/BAC_ARC_Daily!C9,"")</f>
        <v>0</v>
      </c>
      <c r="G39" s="14">
        <f>IF(BAC_ARC_Daily!C10&lt;&gt;0,G26/BAC_ARC_Daily!C10,"")</f>
        <v>0</v>
      </c>
      <c r="H39" s="14">
        <f>IF(BAC_ARC_Daily!C11&lt;&gt;0,H26/BAC_ARC_Daily!C11,"")</f>
        <v>0</v>
      </c>
      <c r="I39" s="14">
        <f>IF(BAC_ARC_Daily!C12&lt;&gt;0,I26/BAC_ARC_Daily!C12,"")</f>
        <v>0</v>
      </c>
      <c r="J39" s="14">
        <f>IF(BAC_ARC_Daily!C13&lt;&gt;0,J26/BAC_ARC_Daily!C13,"")</f>
        <v>0</v>
      </c>
      <c r="K39" s="14">
        <f>IF(BAC_ARC_Daily!C14&lt;&gt;0,K26/BAC_ARC_Daily!C14,"")</f>
        <v>0</v>
      </c>
      <c r="L39" s="14">
        <f>IF(BAC_ARC_Daily!C15&lt;&gt;0,L26/BAC_ARC_Daily!C15,"")</f>
        <v>0</v>
      </c>
      <c r="M39" s="14">
        <f>IF(BAC_ARC_Daily!C16&lt;&gt;0,M26/BAC_ARC_Daily!C16,"")</f>
        <v>0</v>
      </c>
      <c r="N39" s="14">
        <f>IF(BAC_ARC_Daily!C17&lt;&gt;0,N26/BAC_ARC_Daily!C17,"")</f>
        <v>0</v>
      </c>
      <c r="O39" s="14">
        <f>IF(BAC_ARC_Daily!C18&lt;&gt;0,O26/BAC_ARC_Daily!C18,"")</f>
        <v>0</v>
      </c>
      <c r="P39" s="14">
        <f>IF(BAC_ARC_Daily!C19&lt;&gt;0,P26/BAC_ARC_Daily!C19,"")</f>
        <v>0</v>
      </c>
      <c r="Q39" s="14">
        <f>IF(BAC_ARC_Daily!C20&lt;&gt;0,Q26/BAC_ARC_Daily!C20,"")</f>
        <v>0</v>
      </c>
      <c r="R39" s="14">
        <f>IF(BAC_ARC_Daily!C21&lt;&gt;0,R26/BAC_ARC_Daily!C21,"")</f>
        <v>0</v>
      </c>
      <c r="S39" s="14">
        <f>IF(BAC_ARC_Daily!C22&lt;&gt;0,S26/BAC_ARC_Daily!C22,"")</f>
        <v>0</v>
      </c>
      <c r="T39" s="14">
        <f>IF(BAC_ARC_Daily!C23&lt;&gt;0,T26/BAC_ARC_Daily!C23,"")</f>
        <v>0</v>
      </c>
      <c r="U39" s="14">
        <f>IF(BAC_ARC_Daily!C24&lt;&gt;0,U26/BAC_ARC_Daily!C24,"")</f>
        <v>0</v>
      </c>
      <c r="V39" s="14">
        <f>IF(BAC_ARC_Daily!C25&lt;&gt;0,V26/BAC_ARC_Daily!C25,"")</f>
        <v>0</v>
      </c>
      <c r="W39" s="14">
        <f>IF(BAC_ARC_Daily!C26&lt;&gt;0,W26/BAC_ARC_Daily!C26,"")</f>
        <v>0</v>
      </c>
    </row>
    <row r="40" spans="1:23" ht="18" customHeight="1" x14ac:dyDescent="0.25">
      <c r="A40" s="11" t="str">
        <f>NGS_Archaea_Input!A10</f>
        <v>Arc_taxon_6</v>
      </c>
      <c r="B40" s="14">
        <f>IF(BAC_ARC_Daily!C5&lt;&gt;0,B27/BAC_ARC_Daily!C5,"")</f>
        <v>0</v>
      </c>
      <c r="C40" s="14">
        <f>IF(BAC_ARC_Daily!C6&lt;&gt;0,C27/BAC_ARC_Daily!C6,"")</f>
        <v>0</v>
      </c>
      <c r="D40" s="14">
        <f>IF(BAC_ARC_Daily!C7&lt;&gt;0,D27/BAC_ARC_Daily!C7,"")</f>
        <v>0</v>
      </c>
      <c r="E40" s="14">
        <f>IF(BAC_ARC_Daily!C8&lt;&gt;0,E27/BAC_ARC_Daily!C8,"")</f>
        <v>0</v>
      </c>
      <c r="F40" s="14">
        <f>IF(BAC_ARC_Daily!C9&lt;&gt;0,F27/BAC_ARC_Daily!C9,"")</f>
        <v>0</v>
      </c>
      <c r="G40" s="14">
        <f>IF(BAC_ARC_Daily!C10&lt;&gt;0,G27/BAC_ARC_Daily!C10,"")</f>
        <v>0</v>
      </c>
      <c r="H40" s="14">
        <f>IF(BAC_ARC_Daily!C11&lt;&gt;0,H27/BAC_ARC_Daily!C11,"")</f>
        <v>0</v>
      </c>
      <c r="I40" s="14">
        <f>IF(BAC_ARC_Daily!C12&lt;&gt;0,I27/BAC_ARC_Daily!C12,"")</f>
        <v>0</v>
      </c>
      <c r="J40" s="14">
        <f>IF(BAC_ARC_Daily!C13&lt;&gt;0,J27/BAC_ARC_Daily!C13,"")</f>
        <v>0</v>
      </c>
      <c r="K40" s="14">
        <f>IF(BAC_ARC_Daily!C14&lt;&gt;0,K27/BAC_ARC_Daily!C14,"")</f>
        <v>0</v>
      </c>
      <c r="L40" s="14">
        <f>IF(BAC_ARC_Daily!C15&lt;&gt;0,L27/BAC_ARC_Daily!C15,"")</f>
        <v>0</v>
      </c>
      <c r="M40" s="14">
        <f>IF(BAC_ARC_Daily!C16&lt;&gt;0,M27/BAC_ARC_Daily!C16,"")</f>
        <v>0</v>
      </c>
      <c r="N40" s="14">
        <f>IF(BAC_ARC_Daily!C17&lt;&gt;0,N27/BAC_ARC_Daily!C17,"")</f>
        <v>0</v>
      </c>
      <c r="O40" s="14">
        <f>IF(BAC_ARC_Daily!C18&lt;&gt;0,O27/BAC_ARC_Daily!C18,"")</f>
        <v>0</v>
      </c>
      <c r="P40" s="14">
        <f>IF(BAC_ARC_Daily!C19&lt;&gt;0,P27/BAC_ARC_Daily!C19,"")</f>
        <v>0</v>
      </c>
      <c r="Q40" s="14">
        <f>IF(BAC_ARC_Daily!C20&lt;&gt;0,Q27/BAC_ARC_Daily!C20,"")</f>
        <v>0</v>
      </c>
      <c r="R40" s="14">
        <f>IF(BAC_ARC_Daily!C21&lt;&gt;0,R27/BAC_ARC_Daily!C21,"")</f>
        <v>0</v>
      </c>
      <c r="S40" s="14">
        <f>IF(BAC_ARC_Daily!C22&lt;&gt;0,S27/BAC_ARC_Daily!C22,"")</f>
        <v>0</v>
      </c>
      <c r="T40" s="14">
        <f>IF(BAC_ARC_Daily!C23&lt;&gt;0,T27/BAC_ARC_Daily!C23,"")</f>
        <v>0</v>
      </c>
      <c r="U40" s="14">
        <f>IF(BAC_ARC_Daily!C24&lt;&gt;0,U27/BAC_ARC_Daily!C24,"")</f>
        <v>0</v>
      </c>
      <c r="V40" s="14">
        <f>IF(BAC_ARC_Daily!C25&lt;&gt;0,V27/BAC_ARC_Daily!C25,"")</f>
        <v>0</v>
      </c>
      <c r="W40" s="14">
        <f>IF(BAC_ARC_Daily!C26&lt;&gt;0,W27/BAC_ARC_Daily!C26,"")</f>
        <v>0</v>
      </c>
    </row>
    <row r="41" spans="1:23" ht="18" customHeight="1" x14ac:dyDescent="0.25">
      <c r="A41" s="11" t="str">
        <f>NGS_Archaea_Input!A11</f>
        <v>Arc_taxon_7</v>
      </c>
      <c r="B41" s="14">
        <f>IF(BAC_ARC_Daily!C5&lt;&gt;0,B28/BAC_ARC_Daily!C5,"")</f>
        <v>0</v>
      </c>
      <c r="C41" s="14">
        <f>IF(BAC_ARC_Daily!C6&lt;&gt;0,C28/BAC_ARC_Daily!C6,"")</f>
        <v>0</v>
      </c>
      <c r="D41" s="14">
        <f>IF(BAC_ARC_Daily!C7&lt;&gt;0,D28/BAC_ARC_Daily!C7,"")</f>
        <v>0</v>
      </c>
      <c r="E41" s="14">
        <f>IF(BAC_ARC_Daily!C8&lt;&gt;0,E28/BAC_ARC_Daily!C8,"")</f>
        <v>0</v>
      </c>
      <c r="F41" s="14">
        <f>IF(BAC_ARC_Daily!C9&lt;&gt;0,F28/BAC_ARC_Daily!C9,"")</f>
        <v>0</v>
      </c>
      <c r="G41" s="14">
        <f>IF(BAC_ARC_Daily!C10&lt;&gt;0,G28/BAC_ARC_Daily!C10,"")</f>
        <v>0</v>
      </c>
      <c r="H41" s="14">
        <f>IF(BAC_ARC_Daily!C11&lt;&gt;0,H28/BAC_ARC_Daily!C11,"")</f>
        <v>0</v>
      </c>
      <c r="I41" s="14">
        <f>IF(BAC_ARC_Daily!C12&lt;&gt;0,I28/BAC_ARC_Daily!C12,"")</f>
        <v>0</v>
      </c>
      <c r="J41" s="14">
        <f>IF(BAC_ARC_Daily!C13&lt;&gt;0,J28/BAC_ARC_Daily!C13,"")</f>
        <v>0</v>
      </c>
      <c r="K41" s="14">
        <f>IF(BAC_ARC_Daily!C14&lt;&gt;0,K28/BAC_ARC_Daily!C14,"")</f>
        <v>0</v>
      </c>
      <c r="L41" s="14">
        <f>IF(BAC_ARC_Daily!C15&lt;&gt;0,L28/BAC_ARC_Daily!C15,"")</f>
        <v>0</v>
      </c>
      <c r="M41" s="14">
        <f>IF(BAC_ARC_Daily!C16&lt;&gt;0,M28/BAC_ARC_Daily!C16,"")</f>
        <v>0</v>
      </c>
      <c r="N41" s="14">
        <f>IF(BAC_ARC_Daily!C17&lt;&gt;0,N28/BAC_ARC_Daily!C17,"")</f>
        <v>0</v>
      </c>
      <c r="O41" s="14">
        <f>IF(BAC_ARC_Daily!C18&lt;&gt;0,O28/BAC_ARC_Daily!C18,"")</f>
        <v>0</v>
      </c>
      <c r="P41" s="14">
        <f>IF(BAC_ARC_Daily!C19&lt;&gt;0,P28/BAC_ARC_Daily!C19,"")</f>
        <v>0</v>
      </c>
      <c r="Q41" s="14">
        <f>IF(BAC_ARC_Daily!C20&lt;&gt;0,Q28/BAC_ARC_Daily!C20,"")</f>
        <v>0</v>
      </c>
      <c r="R41" s="14">
        <f>IF(BAC_ARC_Daily!C21&lt;&gt;0,R28/BAC_ARC_Daily!C21,"")</f>
        <v>0</v>
      </c>
      <c r="S41" s="14">
        <f>IF(BAC_ARC_Daily!C22&lt;&gt;0,S28/BAC_ARC_Daily!C22,"")</f>
        <v>0</v>
      </c>
      <c r="T41" s="14">
        <f>IF(BAC_ARC_Daily!C23&lt;&gt;0,T28/BAC_ARC_Daily!C23,"")</f>
        <v>0</v>
      </c>
      <c r="U41" s="14">
        <f>IF(BAC_ARC_Daily!C24&lt;&gt;0,U28/BAC_ARC_Daily!C24,"")</f>
        <v>0</v>
      </c>
      <c r="V41" s="14">
        <f>IF(BAC_ARC_Daily!C25&lt;&gt;0,V28/BAC_ARC_Daily!C25,"")</f>
        <v>0</v>
      </c>
      <c r="W41" s="14">
        <f>IF(BAC_ARC_Daily!C26&lt;&gt;0,W28/BAC_ARC_Daily!C26,"")</f>
        <v>0</v>
      </c>
    </row>
    <row r="42" spans="1:23" ht="18" customHeight="1" x14ac:dyDescent="0.25">
      <c r="A42" s="11" t="str">
        <f>NGS_Archaea_Input!A12</f>
        <v>Arc_taxon_8</v>
      </c>
      <c r="B42" s="14">
        <f>IF(BAC_ARC_Daily!C5&lt;&gt;0,B29/BAC_ARC_Daily!C5,"")</f>
        <v>0</v>
      </c>
      <c r="C42" s="14">
        <f>IF(BAC_ARC_Daily!C6&lt;&gt;0,C29/BAC_ARC_Daily!C6,"")</f>
        <v>0</v>
      </c>
      <c r="D42" s="14">
        <f>IF(BAC_ARC_Daily!C7&lt;&gt;0,D29/BAC_ARC_Daily!C7,"")</f>
        <v>0</v>
      </c>
      <c r="E42" s="14">
        <f>IF(BAC_ARC_Daily!C8&lt;&gt;0,E29/BAC_ARC_Daily!C8,"")</f>
        <v>0</v>
      </c>
      <c r="F42" s="14">
        <f>IF(BAC_ARC_Daily!C9&lt;&gt;0,F29/BAC_ARC_Daily!C9,"")</f>
        <v>0</v>
      </c>
      <c r="G42" s="14">
        <f>IF(BAC_ARC_Daily!C10&lt;&gt;0,G29/BAC_ARC_Daily!C10,"")</f>
        <v>0</v>
      </c>
      <c r="H42" s="14">
        <f>IF(BAC_ARC_Daily!C11&lt;&gt;0,H29/BAC_ARC_Daily!C11,"")</f>
        <v>0</v>
      </c>
      <c r="I42" s="14">
        <f>IF(BAC_ARC_Daily!C12&lt;&gt;0,I29/BAC_ARC_Daily!C12,"")</f>
        <v>0</v>
      </c>
      <c r="J42" s="14">
        <f>IF(BAC_ARC_Daily!C13&lt;&gt;0,J29/BAC_ARC_Daily!C13,"")</f>
        <v>0</v>
      </c>
      <c r="K42" s="14">
        <f>IF(BAC_ARC_Daily!C14&lt;&gt;0,K29/BAC_ARC_Daily!C14,"")</f>
        <v>0</v>
      </c>
      <c r="L42" s="14">
        <f>IF(BAC_ARC_Daily!C15&lt;&gt;0,L29/BAC_ARC_Daily!C15,"")</f>
        <v>0</v>
      </c>
      <c r="M42" s="14">
        <f>IF(BAC_ARC_Daily!C16&lt;&gt;0,M29/BAC_ARC_Daily!C16,"")</f>
        <v>0</v>
      </c>
      <c r="N42" s="14">
        <f>IF(BAC_ARC_Daily!C17&lt;&gt;0,N29/BAC_ARC_Daily!C17,"")</f>
        <v>0</v>
      </c>
      <c r="O42" s="14">
        <f>IF(BAC_ARC_Daily!C18&lt;&gt;0,O29/BAC_ARC_Daily!C18,"")</f>
        <v>0</v>
      </c>
      <c r="P42" s="14">
        <f>IF(BAC_ARC_Daily!C19&lt;&gt;0,P29/BAC_ARC_Daily!C19,"")</f>
        <v>0</v>
      </c>
      <c r="Q42" s="14">
        <f>IF(BAC_ARC_Daily!C20&lt;&gt;0,Q29/BAC_ARC_Daily!C20,"")</f>
        <v>0</v>
      </c>
      <c r="R42" s="14">
        <f>IF(BAC_ARC_Daily!C21&lt;&gt;0,R29/BAC_ARC_Daily!C21,"")</f>
        <v>0</v>
      </c>
      <c r="S42" s="14">
        <f>IF(BAC_ARC_Daily!C22&lt;&gt;0,S29/BAC_ARC_Daily!C22,"")</f>
        <v>0</v>
      </c>
      <c r="T42" s="14">
        <f>IF(BAC_ARC_Daily!C23&lt;&gt;0,T29/BAC_ARC_Daily!C23,"")</f>
        <v>0</v>
      </c>
      <c r="U42" s="14">
        <f>IF(BAC_ARC_Daily!C24&lt;&gt;0,U29/BAC_ARC_Daily!C24,"")</f>
        <v>0</v>
      </c>
      <c r="V42" s="14">
        <f>IF(BAC_ARC_Daily!C25&lt;&gt;0,V29/BAC_ARC_Daily!C25,"")</f>
        <v>0</v>
      </c>
      <c r="W42" s="14">
        <f>IF(BAC_ARC_Daily!C26&lt;&gt;0,W29/BAC_ARC_Daily!C26,"")</f>
        <v>0</v>
      </c>
    </row>
    <row r="43" spans="1:23" ht="18" customHeight="1" x14ac:dyDescent="0.25">
      <c r="A43" s="11" t="str">
        <f>NGS_Archaea_Input!A13</f>
        <v>Arc_taxon_9</v>
      </c>
      <c r="B43" s="14">
        <f>IF(BAC_ARC_Daily!C5&lt;&gt;0,B30/BAC_ARC_Daily!C5,"")</f>
        <v>0</v>
      </c>
      <c r="C43" s="14">
        <f>IF(BAC_ARC_Daily!C6&lt;&gt;0,C30/BAC_ARC_Daily!C6,"")</f>
        <v>0</v>
      </c>
      <c r="D43" s="14">
        <f>IF(BAC_ARC_Daily!C7&lt;&gt;0,D30/BAC_ARC_Daily!C7,"")</f>
        <v>0</v>
      </c>
      <c r="E43" s="14">
        <f>IF(BAC_ARC_Daily!C8&lt;&gt;0,E30/BAC_ARC_Daily!C8,"")</f>
        <v>0</v>
      </c>
      <c r="F43" s="14">
        <f>IF(BAC_ARC_Daily!C9&lt;&gt;0,F30/BAC_ARC_Daily!C9,"")</f>
        <v>0</v>
      </c>
      <c r="G43" s="14">
        <f>IF(BAC_ARC_Daily!C10&lt;&gt;0,G30/BAC_ARC_Daily!C10,"")</f>
        <v>0</v>
      </c>
      <c r="H43" s="14">
        <f>IF(BAC_ARC_Daily!C11&lt;&gt;0,H30/BAC_ARC_Daily!C11,"")</f>
        <v>0</v>
      </c>
      <c r="I43" s="14">
        <f>IF(BAC_ARC_Daily!C12&lt;&gt;0,I30/BAC_ARC_Daily!C12,"")</f>
        <v>0</v>
      </c>
      <c r="J43" s="14">
        <f>IF(BAC_ARC_Daily!C13&lt;&gt;0,J30/BAC_ARC_Daily!C13,"")</f>
        <v>0</v>
      </c>
      <c r="K43" s="14">
        <f>IF(BAC_ARC_Daily!C14&lt;&gt;0,K30/BAC_ARC_Daily!C14,"")</f>
        <v>0</v>
      </c>
      <c r="L43" s="14">
        <f>IF(BAC_ARC_Daily!C15&lt;&gt;0,L30/BAC_ARC_Daily!C15,"")</f>
        <v>0</v>
      </c>
      <c r="M43" s="14">
        <f>IF(BAC_ARC_Daily!C16&lt;&gt;0,M30/BAC_ARC_Daily!C16,"")</f>
        <v>0</v>
      </c>
      <c r="N43" s="14">
        <f>IF(BAC_ARC_Daily!C17&lt;&gt;0,N30/BAC_ARC_Daily!C17,"")</f>
        <v>0</v>
      </c>
      <c r="O43" s="14">
        <f>IF(BAC_ARC_Daily!C18&lt;&gt;0,O30/BAC_ARC_Daily!C18,"")</f>
        <v>0</v>
      </c>
      <c r="P43" s="14">
        <f>IF(BAC_ARC_Daily!C19&lt;&gt;0,P30/BAC_ARC_Daily!C19,"")</f>
        <v>0</v>
      </c>
      <c r="Q43" s="14">
        <f>IF(BAC_ARC_Daily!C20&lt;&gt;0,Q30/BAC_ARC_Daily!C20,"")</f>
        <v>0</v>
      </c>
      <c r="R43" s="14">
        <f>IF(BAC_ARC_Daily!C21&lt;&gt;0,R30/BAC_ARC_Daily!C21,"")</f>
        <v>0</v>
      </c>
      <c r="S43" s="14">
        <f>IF(BAC_ARC_Daily!C22&lt;&gt;0,S30/BAC_ARC_Daily!C22,"")</f>
        <v>0</v>
      </c>
      <c r="T43" s="14">
        <f>IF(BAC_ARC_Daily!C23&lt;&gt;0,T30/BAC_ARC_Daily!C23,"")</f>
        <v>0</v>
      </c>
      <c r="U43" s="14">
        <f>IF(BAC_ARC_Daily!C24&lt;&gt;0,U30/BAC_ARC_Daily!C24,"")</f>
        <v>0</v>
      </c>
      <c r="V43" s="14">
        <f>IF(BAC_ARC_Daily!C25&lt;&gt;0,V30/BAC_ARC_Daily!C25,"")</f>
        <v>0</v>
      </c>
      <c r="W43" s="14">
        <f>IF(BAC_ARC_Daily!C26&lt;&gt;0,W30/BAC_ARC_Daily!C26,"")</f>
        <v>0</v>
      </c>
    </row>
    <row r="44" spans="1:23" ht="18" customHeight="1" x14ac:dyDescent="0.25">
      <c r="A44" s="11" t="str">
        <f>NGS_Archaea_Input!A14</f>
        <v>Arc_taxon_10</v>
      </c>
      <c r="B44" s="14">
        <f>IF(BAC_ARC_Daily!C5&lt;&gt;0,B31/BAC_ARC_Daily!C5,"")</f>
        <v>0</v>
      </c>
      <c r="C44" s="14">
        <f>IF(BAC_ARC_Daily!C6&lt;&gt;0,C31/BAC_ARC_Daily!C6,"")</f>
        <v>0</v>
      </c>
      <c r="D44" s="14">
        <f>IF(BAC_ARC_Daily!C7&lt;&gt;0,D31/BAC_ARC_Daily!C7,"")</f>
        <v>0</v>
      </c>
      <c r="E44" s="14">
        <f>IF(BAC_ARC_Daily!C8&lt;&gt;0,E31/BAC_ARC_Daily!C8,"")</f>
        <v>0</v>
      </c>
      <c r="F44" s="14">
        <f>IF(BAC_ARC_Daily!C9&lt;&gt;0,F31/BAC_ARC_Daily!C9,"")</f>
        <v>0</v>
      </c>
      <c r="G44" s="14">
        <f>IF(BAC_ARC_Daily!C10&lt;&gt;0,G31/BAC_ARC_Daily!C10,"")</f>
        <v>0</v>
      </c>
      <c r="H44" s="14">
        <f>IF(BAC_ARC_Daily!C11&lt;&gt;0,H31/BAC_ARC_Daily!C11,"")</f>
        <v>0</v>
      </c>
      <c r="I44" s="14">
        <f>IF(BAC_ARC_Daily!C12&lt;&gt;0,I31/BAC_ARC_Daily!C12,"")</f>
        <v>0</v>
      </c>
      <c r="J44" s="14">
        <f>IF(BAC_ARC_Daily!C13&lt;&gt;0,J31/BAC_ARC_Daily!C13,"")</f>
        <v>0</v>
      </c>
      <c r="K44" s="14">
        <f>IF(BAC_ARC_Daily!C14&lt;&gt;0,K31/BAC_ARC_Daily!C14,"")</f>
        <v>0</v>
      </c>
      <c r="L44" s="14">
        <f>IF(BAC_ARC_Daily!C15&lt;&gt;0,L31/BAC_ARC_Daily!C15,"")</f>
        <v>0</v>
      </c>
      <c r="M44" s="14">
        <f>IF(BAC_ARC_Daily!C16&lt;&gt;0,M31/BAC_ARC_Daily!C16,"")</f>
        <v>0</v>
      </c>
      <c r="N44" s="14">
        <f>IF(BAC_ARC_Daily!C17&lt;&gt;0,N31/BAC_ARC_Daily!C17,"")</f>
        <v>0</v>
      </c>
      <c r="O44" s="14">
        <f>IF(BAC_ARC_Daily!C18&lt;&gt;0,O31/BAC_ARC_Daily!C18,"")</f>
        <v>0</v>
      </c>
      <c r="P44" s="14">
        <f>IF(BAC_ARC_Daily!C19&lt;&gt;0,P31/BAC_ARC_Daily!C19,"")</f>
        <v>0</v>
      </c>
      <c r="Q44" s="14">
        <f>IF(BAC_ARC_Daily!C20&lt;&gt;0,Q31/BAC_ARC_Daily!C20,"")</f>
        <v>0</v>
      </c>
      <c r="R44" s="14">
        <f>IF(BAC_ARC_Daily!C21&lt;&gt;0,R31/BAC_ARC_Daily!C21,"")</f>
        <v>0</v>
      </c>
      <c r="S44" s="14">
        <f>IF(BAC_ARC_Daily!C22&lt;&gt;0,S31/BAC_ARC_Daily!C22,"")</f>
        <v>0</v>
      </c>
      <c r="T44" s="14">
        <f>IF(BAC_ARC_Daily!C23&lt;&gt;0,T31/BAC_ARC_Daily!C23,"")</f>
        <v>0</v>
      </c>
      <c r="U44" s="14">
        <f>IF(BAC_ARC_Daily!C24&lt;&gt;0,U31/BAC_ARC_Daily!C24,"")</f>
        <v>0</v>
      </c>
      <c r="V44" s="14">
        <f>IF(BAC_ARC_Daily!C25&lt;&gt;0,V31/BAC_ARC_Daily!C25,"")</f>
        <v>0</v>
      </c>
      <c r="W44" s="14">
        <f>IF(BAC_ARC_Daily!C26&lt;&gt;0,W31/BAC_ARC_Daily!C26,"")</f>
        <v>0</v>
      </c>
    </row>
    <row r="45" spans="1:23" ht="18" customHeight="1" x14ac:dyDescent="0.25">
      <c r="A45" s="11" t="str">
        <f>NGS_Archaea_Input!A15</f>
        <v>Others</v>
      </c>
      <c r="B45" s="14">
        <f>IF(BAC_ARC_Daily!C5&lt;&gt;0,B32/BAC_ARC_Daily!C5,"")</f>
        <v>1</v>
      </c>
      <c r="C45" s="14">
        <f>IF(BAC_ARC_Daily!C6&lt;&gt;0,C32/BAC_ARC_Daily!C6,"")</f>
        <v>1</v>
      </c>
      <c r="D45" s="14">
        <f>IF(BAC_ARC_Daily!C7&lt;&gt;0,D32/BAC_ARC_Daily!C7,"")</f>
        <v>1</v>
      </c>
      <c r="E45" s="14">
        <f>IF(BAC_ARC_Daily!C8&lt;&gt;0,E32/BAC_ARC_Daily!C8,"")</f>
        <v>1</v>
      </c>
      <c r="F45" s="14">
        <f>IF(BAC_ARC_Daily!C9&lt;&gt;0,F32/BAC_ARC_Daily!C9,"")</f>
        <v>1</v>
      </c>
      <c r="G45" s="14">
        <f>IF(BAC_ARC_Daily!C10&lt;&gt;0,G32/BAC_ARC_Daily!C10,"")</f>
        <v>1</v>
      </c>
      <c r="H45" s="14">
        <f>IF(BAC_ARC_Daily!C11&lt;&gt;0,H32/BAC_ARC_Daily!C11,"")</f>
        <v>1</v>
      </c>
      <c r="I45" s="14">
        <f>IF(BAC_ARC_Daily!C12&lt;&gt;0,I32/BAC_ARC_Daily!C12,"")</f>
        <v>1</v>
      </c>
      <c r="J45" s="14">
        <f>IF(BAC_ARC_Daily!C13&lt;&gt;0,J32/BAC_ARC_Daily!C13,"")</f>
        <v>1</v>
      </c>
      <c r="K45" s="14">
        <f>IF(BAC_ARC_Daily!C14&lt;&gt;0,K32/BAC_ARC_Daily!C14,"")</f>
        <v>1</v>
      </c>
      <c r="L45" s="14">
        <f>IF(BAC_ARC_Daily!C15&lt;&gt;0,L32/BAC_ARC_Daily!C15,"")</f>
        <v>1</v>
      </c>
      <c r="M45" s="14">
        <f>IF(BAC_ARC_Daily!C16&lt;&gt;0,M32/BAC_ARC_Daily!C16,"")</f>
        <v>1</v>
      </c>
      <c r="N45" s="14">
        <f>IF(BAC_ARC_Daily!C17&lt;&gt;0,N32/BAC_ARC_Daily!C17,"")</f>
        <v>1</v>
      </c>
      <c r="O45" s="14">
        <f>IF(BAC_ARC_Daily!C18&lt;&gt;0,O32/BAC_ARC_Daily!C18,"")</f>
        <v>1</v>
      </c>
      <c r="P45" s="14">
        <f>IF(BAC_ARC_Daily!C19&lt;&gt;0,P32/BAC_ARC_Daily!C19,"")</f>
        <v>1</v>
      </c>
      <c r="Q45" s="14">
        <f>IF(BAC_ARC_Daily!C20&lt;&gt;0,Q32/BAC_ARC_Daily!C20,"")</f>
        <v>1</v>
      </c>
      <c r="R45" s="14">
        <f>IF(BAC_ARC_Daily!C21&lt;&gt;0,R32/BAC_ARC_Daily!C21,"")</f>
        <v>1</v>
      </c>
      <c r="S45" s="14">
        <f>IF(BAC_ARC_Daily!C22&lt;&gt;0,S32/BAC_ARC_Daily!C22,"")</f>
        <v>1</v>
      </c>
      <c r="T45" s="14">
        <f>IF(BAC_ARC_Daily!C23&lt;&gt;0,T32/BAC_ARC_Daily!C23,"")</f>
        <v>1</v>
      </c>
      <c r="U45" s="14">
        <f>IF(BAC_ARC_Daily!C24&lt;&gt;0,U32/BAC_ARC_Daily!C24,"")</f>
        <v>1</v>
      </c>
      <c r="V45" s="14">
        <f>IF(BAC_ARC_Daily!C25&lt;&gt;0,V32/BAC_ARC_Daily!C25,"")</f>
        <v>1</v>
      </c>
      <c r="W45" s="14">
        <f>IF(BAC_ARC_Daily!C26&lt;&gt;0,W32/BAC_ARC_Daily!C26,"")</f>
        <v>1</v>
      </c>
    </row>
    <row r="46" spans="1:23" ht="18" customHeight="1" x14ac:dyDescent="0.25"/>
    <row r="47" spans="1:23" ht="18" customHeight="1" x14ac:dyDescent="0.25"/>
    <row r="48" spans="1:23" ht="18" customHeight="1" x14ac:dyDescent="0.25">
      <c r="A48" s="29" t="s">
        <v>51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8" customHeight="1" x14ac:dyDescent="0.25">
      <c r="A49" s="25" t="s">
        <v>161</v>
      </c>
    </row>
    <row r="50" spans="1:23" ht="18" customHeight="1" x14ac:dyDescent="0.25">
      <c r="A50" s="11" t="str">
        <f>NGS_Archaea_Input!A5</f>
        <v>Arc_taxon_1</v>
      </c>
      <c r="B50" s="21">
        <f>IF(Inputs!$H$36="","",Inputs!$H$36*NGS_Archaea_Input!$E$5)</f>
        <v>0</v>
      </c>
      <c r="C50" s="21">
        <f>IF(B50="","",B50+Inputs!$B$5/Inputs!$B$13*(Inputs!$C$13*(Inputs!$C$29*NGS_Archaea_Input!$B$5-B50)+Inputs!$D$13*(B5-B50)+Inputs!$E$13*(Inputs!$D$29*NGS_Archaea_Input!$C$5-B50)))</f>
        <v>0</v>
      </c>
      <c r="D50" s="21">
        <f>IF(C50="","",C50+Inputs!$B$5/Inputs!$B$13*(Inputs!$C$13*(Inputs!$C$29*NGS_Archaea_Input!$B$5-C50)+Inputs!$D$13*(C5-C50)+Inputs!$E$13*(Inputs!$D$29*NGS_Archaea_Input!$C$5-C50)))</f>
        <v>0</v>
      </c>
      <c r="E50" s="21">
        <f>IF(D50="","",D50+Inputs!$B$5/Inputs!$B$13*(Inputs!$C$13*(Inputs!$C$29*NGS_Archaea_Input!$B$5-D50)+Inputs!$D$13*(D5-D50)+Inputs!$E$13*(Inputs!$D$29*NGS_Archaea_Input!$C$5-D50)))</f>
        <v>0</v>
      </c>
      <c r="F50" s="21">
        <f>IF(E50="","",E50+Inputs!$B$5/Inputs!$B$13*(Inputs!$C$13*(Inputs!$C$29*NGS_Archaea_Input!$B$5-E50)+Inputs!$D$13*(E5-E50)+Inputs!$E$13*(Inputs!$D$29*NGS_Archaea_Input!$C$5-E50)))</f>
        <v>0</v>
      </c>
      <c r="G50" s="21">
        <f>IF(F50="","",F50+Inputs!$B$5/Inputs!$B$13*(Inputs!$C$13*(Inputs!$C$29*NGS_Archaea_Input!$B$5-F50)+Inputs!$D$13*(F5-F50)+Inputs!$E$13*(Inputs!$D$29*NGS_Archaea_Input!$C$5-F50)))</f>
        <v>0</v>
      </c>
      <c r="H50" s="21">
        <f>IF(G50="","",G50+Inputs!$B$5/Inputs!$B$13*(Inputs!$C$13*(Inputs!$C$29*NGS_Archaea_Input!$B$5-G50)+Inputs!$D$13*(G5-G50)+Inputs!$E$13*(Inputs!$D$29*NGS_Archaea_Input!$C$5-G50)))</f>
        <v>0</v>
      </c>
      <c r="I50" s="21">
        <f>IF(H50="","",H50+Inputs!$B$5/Inputs!$B$13*(Inputs!$C$13*(Inputs!$C$29*NGS_Archaea_Input!$B$5-H50)+Inputs!$D$13*(H5-H50)+Inputs!$E$13*(Inputs!$D$29*NGS_Archaea_Input!$C$5-H50)))</f>
        <v>0</v>
      </c>
      <c r="J50" s="21">
        <f>IF(I50="","",I50+Inputs!$B$5/Inputs!$B$13*(Inputs!$C$13*(Inputs!$C$29*NGS_Archaea_Input!$B$5-I50)+Inputs!$D$13*(I5-I50)+Inputs!$E$13*(Inputs!$D$29*NGS_Archaea_Input!$C$5-I50)))</f>
        <v>0</v>
      </c>
      <c r="K50" s="21">
        <f>IF(J50="","",J50+Inputs!$B$5/Inputs!$B$13*(Inputs!$C$13*(Inputs!$C$29*NGS_Archaea_Input!$B$5-J50)+Inputs!$D$13*(J5-J50)+Inputs!$E$13*(Inputs!$D$29*NGS_Archaea_Input!$C$5-J50)))</f>
        <v>0</v>
      </c>
      <c r="L50" s="21">
        <f>IF(K50="","",K50+Inputs!$B$5/Inputs!$B$13*(Inputs!$C$13*(Inputs!$C$29*NGS_Archaea_Input!$B$5-K50)+Inputs!$D$13*(K5-K50)+Inputs!$E$13*(Inputs!$D$29*NGS_Archaea_Input!$C$5-K50)))</f>
        <v>0</v>
      </c>
      <c r="M50" s="21">
        <f>IF(L50="","",L50+Inputs!$B$5/Inputs!$B$13*(Inputs!$C$13*(Inputs!$C$29*NGS_Archaea_Input!$B$5-L50)+Inputs!$D$13*(L5-L50)+Inputs!$E$13*(Inputs!$D$29*NGS_Archaea_Input!$C$5-L50)))</f>
        <v>0</v>
      </c>
      <c r="N50" s="21">
        <f>IF(M50="","",M50+Inputs!$B$5/Inputs!$B$13*(Inputs!$C$13*(Inputs!$C$29*NGS_Archaea_Input!$B$5-M50)+Inputs!$D$13*(M5-M50)+Inputs!$E$13*(Inputs!$D$29*NGS_Archaea_Input!$C$5-M50)))</f>
        <v>0</v>
      </c>
      <c r="O50" s="21">
        <f>IF(N50="","",N50+Inputs!$B$5/Inputs!$B$13*(Inputs!$C$13*(Inputs!$C$29*NGS_Archaea_Input!$B$5-N50)+Inputs!$D$13*(N5-N50)+Inputs!$E$13*(Inputs!$D$29*NGS_Archaea_Input!$C$5-N50)))</f>
        <v>0</v>
      </c>
      <c r="P50" s="21">
        <f>IF(O50="","",O50+Inputs!$B$5/Inputs!$B$13*(Inputs!$C$13*(Inputs!$C$29*NGS_Archaea_Input!$B$5-O50)+Inputs!$D$13*(O5-O50)+Inputs!$E$13*(Inputs!$D$29*NGS_Archaea_Input!$C$5-O50)))</f>
        <v>0</v>
      </c>
      <c r="Q50" s="21">
        <f>IF(P50="","",P50+Inputs!$B$5/Inputs!$B$13*(Inputs!$C$13*(Inputs!$C$29*NGS_Archaea_Input!$B$5-P50)+Inputs!$D$13*(P5-P50)+Inputs!$E$13*(Inputs!$D$29*NGS_Archaea_Input!$C$5-P50)))</f>
        <v>0</v>
      </c>
      <c r="R50" s="21">
        <f>IF(Q50="","",Q50+Inputs!$B$5/Inputs!$B$13*(Inputs!$C$13*(Inputs!$C$29*NGS_Archaea_Input!$B$5-Q50)+Inputs!$D$13*(Q5-Q50)+Inputs!$E$13*(Inputs!$D$29*NGS_Archaea_Input!$C$5-Q50)))</f>
        <v>0</v>
      </c>
      <c r="S50" s="21">
        <f>IF(R50="","",R50+Inputs!$B$5/Inputs!$B$13*(Inputs!$C$13*(Inputs!$C$29*NGS_Archaea_Input!$B$5-R50)+Inputs!$D$13*(R5-R50)+Inputs!$E$13*(Inputs!$D$29*NGS_Archaea_Input!$C$5-R50)))</f>
        <v>0</v>
      </c>
      <c r="T50" s="21">
        <f>IF(S50="","",S50+Inputs!$B$5/Inputs!$B$13*(Inputs!$C$13*(Inputs!$C$29*NGS_Archaea_Input!$B$5-S50)+Inputs!$D$13*(S5-S50)+Inputs!$E$13*(Inputs!$D$29*NGS_Archaea_Input!$C$5-S50)))</f>
        <v>0</v>
      </c>
      <c r="U50" s="21">
        <f>IF(T50="","",T50+Inputs!$B$5/Inputs!$B$13*(Inputs!$C$13*(Inputs!$C$29*NGS_Archaea_Input!$B$5-T50)+Inputs!$D$13*(T5-T50)+Inputs!$E$13*(Inputs!$D$29*NGS_Archaea_Input!$C$5-T50)))</f>
        <v>0</v>
      </c>
      <c r="V50" s="21">
        <f>IF(U50="","",U50+Inputs!$B$5/Inputs!$B$13*(Inputs!$C$13*(Inputs!$C$29*NGS_Archaea_Input!$B$5-U50)+Inputs!$D$13*(U5-U50)+Inputs!$E$13*(Inputs!$D$29*NGS_Archaea_Input!$C$5-U50)))</f>
        <v>0</v>
      </c>
      <c r="W50" s="21">
        <f>IF(V50="","",V50+Inputs!$B$5/Inputs!$B$13*(Inputs!$C$13*(Inputs!$C$29*NGS_Archaea_Input!$B$5-V50)+Inputs!$D$13*(V5-V50)+Inputs!$E$13*(Inputs!$D$29*NGS_Archaea_Input!$C$5-V50)))</f>
        <v>0</v>
      </c>
    </row>
    <row r="51" spans="1:23" ht="18" customHeight="1" x14ac:dyDescent="0.25">
      <c r="A51" s="11" t="str">
        <f>NGS_Archaea_Input!A6</f>
        <v>Arc_taxon_2</v>
      </c>
      <c r="B51" s="21">
        <f>IF(Inputs!$H$36="","",Inputs!$H$36*NGS_Archaea_Input!$E$6)</f>
        <v>0</v>
      </c>
      <c r="C51" s="21">
        <f>IF(B51="","",B51+Inputs!$B$5/Inputs!$B$13*(Inputs!$C$13*(Inputs!$C$29*NGS_Archaea_Input!$B$6-B51)+Inputs!$D$13*(B6-B51)+Inputs!$E$13*(Inputs!$D$29*NGS_Archaea_Input!$C$6-B51)))</f>
        <v>0</v>
      </c>
      <c r="D51" s="21">
        <f>IF(C51="","",C51+Inputs!$B$5/Inputs!$B$13*(Inputs!$C$13*(Inputs!$C$29*NGS_Archaea_Input!$B$6-C51)+Inputs!$D$13*(C6-C51)+Inputs!$E$13*(Inputs!$D$29*NGS_Archaea_Input!$C$6-C51)))</f>
        <v>0</v>
      </c>
      <c r="E51" s="21">
        <f>IF(D51="","",D51+Inputs!$B$5/Inputs!$B$13*(Inputs!$C$13*(Inputs!$C$29*NGS_Archaea_Input!$B$6-D51)+Inputs!$D$13*(D6-D51)+Inputs!$E$13*(Inputs!$D$29*NGS_Archaea_Input!$C$6-D51)))</f>
        <v>0</v>
      </c>
      <c r="F51" s="21">
        <f>IF(E51="","",E51+Inputs!$B$5/Inputs!$B$13*(Inputs!$C$13*(Inputs!$C$29*NGS_Archaea_Input!$B$6-E51)+Inputs!$D$13*(E6-E51)+Inputs!$E$13*(Inputs!$D$29*NGS_Archaea_Input!$C$6-E51)))</f>
        <v>0</v>
      </c>
      <c r="G51" s="21">
        <f>IF(F51="","",F51+Inputs!$B$5/Inputs!$B$13*(Inputs!$C$13*(Inputs!$C$29*NGS_Archaea_Input!$B$6-F51)+Inputs!$D$13*(F6-F51)+Inputs!$E$13*(Inputs!$D$29*NGS_Archaea_Input!$C$6-F51)))</f>
        <v>0</v>
      </c>
      <c r="H51" s="21">
        <f>IF(G51="","",G51+Inputs!$B$5/Inputs!$B$13*(Inputs!$C$13*(Inputs!$C$29*NGS_Archaea_Input!$B$6-G51)+Inputs!$D$13*(G6-G51)+Inputs!$E$13*(Inputs!$D$29*NGS_Archaea_Input!$C$6-G51)))</f>
        <v>0</v>
      </c>
      <c r="I51" s="21">
        <f>IF(H51="","",H51+Inputs!$B$5/Inputs!$B$13*(Inputs!$C$13*(Inputs!$C$29*NGS_Archaea_Input!$B$6-H51)+Inputs!$D$13*(H6-H51)+Inputs!$E$13*(Inputs!$D$29*NGS_Archaea_Input!$C$6-H51)))</f>
        <v>0</v>
      </c>
      <c r="J51" s="21">
        <f>IF(I51="","",I51+Inputs!$B$5/Inputs!$B$13*(Inputs!$C$13*(Inputs!$C$29*NGS_Archaea_Input!$B$6-I51)+Inputs!$D$13*(I6-I51)+Inputs!$E$13*(Inputs!$D$29*NGS_Archaea_Input!$C$6-I51)))</f>
        <v>0</v>
      </c>
      <c r="K51" s="21">
        <f>IF(J51="","",J51+Inputs!$B$5/Inputs!$B$13*(Inputs!$C$13*(Inputs!$C$29*NGS_Archaea_Input!$B$6-J51)+Inputs!$D$13*(J6-J51)+Inputs!$E$13*(Inputs!$D$29*NGS_Archaea_Input!$C$6-J51)))</f>
        <v>0</v>
      </c>
      <c r="L51" s="21">
        <f>IF(K51="","",K51+Inputs!$B$5/Inputs!$B$13*(Inputs!$C$13*(Inputs!$C$29*NGS_Archaea_Input!$B$6-K51)+Inputs!$D$13*(K6-K51)+Inputs!$E$13*(Inputs!$D$29*NGS_Archaea_Input!$C$6-K51)))</f>
        <v>0</v>
      </c>
      <c r="M51" s="21">
        <f>IF(L51="","",L51+Inputs!$B$5/Inputs!$B$13*(Inputs!$C$13*(Inputs!$C$29*NGS_Archaea_Input!$B$6-L51)+Inputs!$D$13*(L6-L51)+Inputs!$E$13*(Inputs!$D$29*NGS_Archaea_Input!$C$6-L51)))</f>
        <v>0</v>
      </c>
      <c r="N51" s="21">
        <f>IF(M51="","",M51+Inputs!$B$5/Inputs!$B$13*(Inputs!$C$13*(Inputs!$C$29*NGS_Archaea_Input!$B$6-M51)+Inputs!$D$13*(M6-M51)+Inputs!$E$13*(Inputs!$D$29*NGS_Archaea_Input!$C$6-M51)))</f>
        <v>0</v>
      </c>
      <c r="O51" s="21">
        <f>IF(N51="","",N51+Inputs!$B$5/Inputs!$B$13*(Inputs!$C$13*(Inputs!$C$29*NGS_Archaea_Input!$B$6-N51)+Inputs!$D$13*(N6-N51)+Inputs!$E$13*(Inputs!$D$29*NGS_Archaea_Input!$C$6-N51)))</f>
        <v>0</v>
      </c>
      <c r="P51" s="21">
        <f>IF(O51="","",O51+Inputs!$B$5/Inputs!$B$13*(Inputs!$C$13*(Inputs!$C$29*NGS_Archaea_Input!$B$6-O51)+Inputs!$D$13*(O6-O51)+Inputs!$E$13*(Inputs!$D$29*NGS_Archaea_Input!$C$6-O51)))</f>
        <v>0</v>
      </c>
      <c r="Q51" s="21">
        <f>IF(P51="","",P51+Inputs!$B$5/Inputs!$B$13*(Inputs!$C$13*(Inputs!$C$29*NGS_Archaea_Input!$B$6-P51)+Inputs!$D$13*(P6-P51)+Inputs!$E$13*(Inputs!$D$29*NGS_Archaea_Input!$C$6-P51)))</f>
        <v>0</v>
      </c>
      <c r="R51" s="21">
        <f>IF(Q51="","",Q51+Inputs!$B$5/Inputs!$B$13*(Inputs!$C$13*(Inputs!$C$29*NGS_Archaea_Input!$B$6-Q51)+Inputs!$D$13*(Q6-Q51)+Inputs!$E$13*(Inputs!$D$29*NGS_Archaea_Input!$C$6-Q51)))</f>
        <v>0</v>
      </c>
      <c r="S51" s="21">
        <f>IF(R51="","",R51+Inputs!$B$5/Inputs!$B$13*(Inputs!$C$13*(Inputs!$C$29*NGS_Archaea_Input!$B$6-R51)+Inputs!$D$13*(R6-R51)+Inputs!$E$13*(Inputs!$D$29*NGS_Archaea_Input!$C$6-R51)))</f>
        <v>0</v>
      </c>
      <c r="T51" s="21">
        <f>IF(S51="","",S51+Inputs!$B$5/Inputs!$B$13*(Inputs!$C$13*(Inputs!$C$29*NGS_Archaea_Input!$B$6-S51)+Inputs!$D$13*(S6-S51)+Inputs!$E$13*(Inputs!$D$29*NGS_Archaea_Input!$C$6-S51)))</f>
        <v>0</v>
      </c>
      <c r="U51" s="21">
        <f>IF(T51="","",T51+Inputs!$B$5/Inputs!$B$13*(Inputs!$C$13*(Inputs!$C$29*NGS_Archaea_Input!$B$6-T51)+Inputs!$D$13*(T6-T51)+Inputs!$E$13*(Inputs!$D$29*NGS_Archaea_Input!$C$6-T51)))</f>
        <v>0</v>
      </c>
      <c r="V51" s="21">
        <f>IF(U51="","",U51+Inputs!$B$5/Inputs!$B$13*(Inputs!$C$13*(Inputs!$C$29*NGS_Archaea_Input!$B$6-U51)+Inputs!$D$13*(U6-U51)+Inputs!$E$13*(Inputs!$D$29*NGS_Archaea_Input!$C$6-U51)))</f>
        <v>0</v>
      </c>
      <c r="W51" s="21">
        <f>IF(V51="","",V51+Inputs!$B$5/Inputs!$B$13*(Inputs!$C$13*(Inputs!$C$29*NGS_Archaea_Input!$B$6-V51)+Inputs!$D$13*(V6-V51)+Inputs!$E$13*(Inputs!$D$29*NGS_Archaea_Input!$C$6-V51)))</f>
        <v>0</v>
      </c>
    </row>
    <row r="52" spans="1:23" ht="18" customHeight="1" x14ac:dyDescent="0.25">
      <c r="A52" s="11" t="str">
        <f>NGS_Archaea_Input!A7</f>
        <v>Arc_taxon_3</v>
      </c>
      <c r="B52" s="21">
        <f>IF(Inputs!$H$36="","",Inputs!$H$36*NGS_Archaea_Input!$E$7)</f>
        <v>0</v>
      </c>
      <c r="C52" s="21">
        <f>IF(B52="","",B52+Inputs!$B$5/Inputs!$B$13*(Inputs!$C$13*(Inputs!$C$29*NGS_Archaea_Input!$B$7-B52)+Inputs!$D$13*(B7-B52)+Inputs!$E$13*(Inputs!$D$29*NGS_Archaea_Input!$C$7-B52)))</f>
        <v>0</v>
      </c>
      <c r="D52" s="21">
        <f>IF(C52="","",C52+Inputs!$B$5/Inputs!$B$13*(Inputs!$C$13*(Inputs!$C$29*NGS_Archaea_Input!$B$7-C52)+Inputs!$D$13*(C7-C52)+Inputs!$E$13*(Inputs!$D$29*NGS_Archaea_Input!$C$7-C52)))</f>
        <v>0</v>
      </c>
      <c r="E52" s="21">
        <f>IF(D52="","",D52+Inputs!$B$5/Inputs!$B$13*(Inputs!$C$13*(Inputs!$C$29*NGS_Archaea_Input!$B$7-D52)+Inputs!$D$13*(D7-D52)+Inputs!$E$13*(Inputs!$D$29*NGS_Archaea_Input!$C$7-D52)))</f>
        <v>0</v>
      </c>
      <c r="F52" s="21">
        <f>IF(E52="","",E52+Inputs!$B$5/Inputs!$B$13*(Inputs!$C$13*(Inputs!$C$29*NGS_Archaea_Input!$B$7-E52)+Inputs!$D$13*(E7-E52)+Inputs!$E$13*(Inputs!$D$29*NGS_Archaea_Input!$C$7-E52)))</f>
        <v>0</v>
      </c>
      <c r="G52" s="21">
        <f>IF(F52="","",F52+Inputs!$B$5/Inputs!$B$13*(Inputs!$C$13*(Inputs!$C$29*NGS_Archaea_Input!$B$7-F52)+Inputs!$D$13*(F7-F52)+Inputs!$E$13*(Inputs!$D$29*NGS_Archaea_Input!$C$7-F52)))</f>
        <v>0</v>
      </c>
      <c r="H52" s="21">
        <f>IF(G52="","",G52+Inputs!$B$5/Inputs!$B$13*(Inputs!$C$13*(Inputs!$C$29*NGS_Archaea_Input!$B$7-G52)+Inputs!$D$13*(G7-G52)+Inputs!$E$13*(Inputs!$D$29*NGS_Archaea_Input!$C$7-G52)))</f>
        <v>0</v>
      </c>
      <c r="I52" s="21">
        <f>IF(H52="","",H52+Inputs!$B$5/Inputs!$B$13*(Inputs!$C$13*(Inputs!$C$29*NGS_Archaea_Input!$B$7-H52)+Inputs!$D$13*(H7-H52)+Inputs!$E$13*(Inputs!$D$29*NGS_Archaea_Input!$C$7-H52)))</f>
        <v>0</v>
      </c>
      <c r="J52" s="21">
        <f>IF(I52="","",I52+Inputs!$B$5/Inputs!$B$13*(Inputs!$C$13*(Inputs!$C$29*NGS_Archaea_Input!$B$7-I52)+Inputs!$D$13*(I7-I52)+Inputs!$E$13*(Inputs!$D$29*NGS_Archaea_Input!$C$7-I52)))</f>
        <v>0</v>
      </c>
      <c r="K52" s="21">
        <f>IF(J52="","",J52+Inputs!$B$5/Inputs!$B$13*(Inputs!$C$13*(Inputs!$C$29*NGS_Archaea_Input!$B$7-J52)+Inputs!$D$13*(J7-J52)+Inputs!$E$13*(Inputs!$D$29*NGS_Archaea_Input!$C$7-J52)))</f>
        <v>0</v>
      </c>
      <c r="L52" s="21">
        <f>IF(K52="","",K52+Inputs!$B$5/Inputs!$B$13*(Inputs!$C$13*(Inputs!$C$29*NGS_Archaea_Input!$B$7-K52)+Inputs!$D$13*(K7-K52)+Inputs!$E$13*(Inputs!$D$29*NGS_Archaea_Input!$C$7-K52)))</f>
        <v>0</v>
      </c>
      <c r="M52" s="21">
        <f>IF(L52="","",L52+Inputs!$B$5/Inputs!$B$13*(Inputs!$C$13*(Inputs!$C$29*NGS_Archaea_Input!$B$7-L52)+Inputs!$D$13*(L7-L52)+Inputs!$E$13*(Inputs!$D$29*NGS_Archaea_Input!$C$7-L52)))</f>
        <v>0</v>
      </c>
      <c r="N52" s="21">
        <f>IF(M52="","",M52+Inputs!$B$5/Inputs!$B$13*(Inputs!$C$13*(Inputs!$C$29*NGS_Archaea_Input!$B$7-M52)+Inputs!$D$13*(M7-M52)+Inputs!$E$13*(Inputs!$D$29*NGS_Archaea_Input!$C$7-M52)))</f>
        <v>0</v>
      </c>
      <c r="O52" s="21">
        <f>IF(N52="","",N52+Inputs!$B$5/Inputs!$B$13*(Inputs!$C$13*(Inputs!$C$29*NGS_Archaea_Input!$B$7-N52)+Inputs!$D$13*(N7-N52)+Inputs!$E$13*(Inputs!$D$29*NGS_Archaea_Input!$C$7-N52)))</f>
        <v>0</v>
      </c>
      <c r="P52" s="21">
        <f>IF(O52="","",O52+Inputs!$B$5/Inputs!$B$13*(Inputs!$C$13*(Inputs!$C$29*NGS_Archaea_Input!$B$7-O52)+Inputs!$D$13*(O7-O52)+Inputs!$E$13*(Inputs!$D$29*NGS_Archaea_Input!$C$7-O52)))</f>
        <v>0</v>
      </c>
      <c r="Q52" s="21">
        <f>IF(P52="","",P52+Inputs!$B$5/Inputs!$B$13*(Inputs!$C$13*(Inputs!$C$29*NGS_Archaea_Input!$B$7-P52)+Inputs!$D$13*(P7-P52)+Inputs!$E$13*(Inputs!$D$29*NGS_Archaea_Input!$C$7-P52)))</f>
        <v>0</v>
      </c>
      <c r="R52" s="21">
        <f>IF(Q52="","",Q52+Inputs!$B$5/Inputs!$B$13*(Inputs!$C$13*(Inputs!$C$29*NGS_Archaea_Input!$B$7-Q52)+Inputs!$D$13*(Q7-Q52)+Inputs!$E$13*(Inputs!$D$29*NGS_Archaea_Input!$C$7-Q52)))</f>
        <v>0</v>
      </c>
      <c r="S52" s="21">
        <f>IF(R52="","",R52+Inputs!$B$5/Inputs!$B$13*(Inputs!$C$13*(Inputs!$C$29*NGS_Archaea_Input!$B$7-R52)+Inputs!$D$13*(R7-R52)+Inputs!$E$13*(Inputs!$D$29*NGS_Archaea_Input!$C$7-R52)))</f>
        <v>0</v>
      </c>
      <c r="T52" s="21">
        <f>IF(S52="","",S52+Inputs!$B$5/Inputs!$B$13*(Inputs!$C$13*(Inputs!$C$29*NGS_Archaea_Input!$B$7-S52)+Inputs!$D$13*(S7-S52)+Inputs!$E$13*(Inputs!$D$29*NGS_Archaea_Input!$C$7-S52)))</f>
        <v>0</v>
      </c>
      <c r="U52" s="21">
        <f>IF(T52="","",T52+Inputs!$B$5/Inputs!$B$13*(Inputs!$C$13*(Inputs!$C$29*NGS_Archaea_Input!$B$7-T52)+Inputs!$D$13*(T7-T52)+Inputs!$E$13*(Inputs!$D$29*NGS_Archaea_Input!$C$7-T52)))</f>
        <v>0</v>
      </c>
      <c r="V52" s="21">
        <f>IF(U52="","",U52+Inputs!$B$5/Inputs!$B$13*(Inputs!$C$13*(Inputs!$C$29*NGS_Archaea_Input!$B$7-U52)+Inputs!$D$13*(U7-U52)+Inputs!$E$13*(Inputs!$D$29*NGS_Archaea_Input!$C$7-U52)))</f>
        <v>0</v>
      </c>
      <c r="W52" s="21">
        <f>IF(V52="","",V52+Inputs!$B$5/Inputs!$B$13*(Inputs!$C$13*(Inputs!$C$29*NGS_Archaea_Input!$B$7-V52)+Inputs!$D$13*(V7-V52)+Inputs!$E$13*(Inputs!$D$29*NGS_Archaea_Input!$C$7-V52)))</f>
        <v>0</v>
      </c>
    </row>
    <row r="53" spans="1:23" ht="18" customHeight="1" x14ac:dyDescent="0.25">
      <c r="A53" s="11" t="str">
        <f>NGS_Archaea_Input!A8</f>
        <v>Arc_taxon_4</v>
      </c>
      <c r="B53" s="21">
        <f>IF(Inputs!$H$36="","",Inputs!$H$36*NGS_Archaea_Input!$E$8)</f>
        <v>0</v>
      </c>
      <c r="C53" s="21">
        <f>IF(B53="","",B53+Inputs!$B$5/Inputs!$B$13*(Inputs!$C$13*(Inputs!$C$29*NGS_Archaea_Input!$B$8-B53)+Inputs!$D$13*(B8-B53)+Inputs!$E$13*(Inputs!$D$29*NGS_Archaea_Input!$C$8-B53)))</f>
        <v>0</v>
      </c>
      <c r="D53" s="21">
        <f>IF(C53="","",C53+Inputs!$B$5/Inputs!$B$13*(Inputs!$C$13*(Inputs!$C$29*NGS_Archaea_Input!$B$8-C53)+Inputs!$D$13*(C8-C53)+Inputs!$E$13*(Inputs!$D$29*NGS_Archaea_Input!$C$8-C53)))</f>
        <v>0</v>
      </c>
      <c r="E53" s="21">
        <f>IF(D53="","",D53+Inputs!$B$5/Inputs!$B$13*(Inputs!$C$13*(Inputs!$C$29*NGS_Archaea_Input!$B$8-D53)+Inputs!$D$13*(D8-D53)+Inputs!$E$13*(Inputs!$D$29*NGS_Archaea_Input!$C$8-D53)))</f>
        <v>0</v>
      </c>
      <c r="F53" s="21">
        <f>IF(E53="","",E53+Inputs!$B$5/Inputs!$B$13*(Inputs!$C$13*(Inputs!$C$29*NGS_Archaea_Input!$B$8-E53)+Inputs!$D$13*(E8-E53)+Inputs!$E$13*(Inputs!$D$29*NGS_Archaea_Input!$C$8-E53)))</f>
        <v>0</v>
      </c>
      <c r="G53" s="21">
        <f>IF(F53="","",F53+Inputs!$B$5/Inputs!$B$13*(Inputs!$C$13*(Inputs!$C$29*NGS_Archaea_Input!$B$8-F53)+Inputs!$D$13*(F8-F53)+Inputs!$E$13*(Inputs!$D$29*NGS_Archaea_Input!$C$8-F53)))</f>
        <v>0</v>
      </c>
      <c r="H53" s="21">
        <f>IF(G53="","",G53+Inputs!$B$5/Inputs!$B$13*(Inputs!$C$13*(Inputs!$C$29*NGS_Archaea_Input!$B$8-G53)+Inputs!$D$13*(G8-G53)+Inputs!$E$13*(Inputs!$D$29*NGS_Archaea_Input!$C$8-G53)))</f>
        <v>0</v>
      </c>
      <c r="I53" s="21">
        <f>IF(H53="","",H53+Inputs!$B$5/Inputs!$B$13*(Inputs!$C$13*(Inputs!$C$29*NGS_Archaea_Input!$B$8-H53)+Inputs!$D$13*(H8-H53)+Inputs!$E$13*(Inputs!$D$29*NGS_Archaea_Input!$C$8-H53)))</f>
        <v>0</v>
      </c>
      <c r="J53" s="21">
        <f>IF(I53="","",I53+Inputs!$B$5/Inputs!$B$13*(Inputs!$C$13*(Inputs!$C$29*NGS_Archaea_Input!$B$8-I53)+Inputs!$D$13*(I8-I53)+Inputs!$E$13*(Inputs!$D$29*NGS_Archaea_Input!$C$8-I53)))</f>
        <v>0</v>
      </c>
      <c r="K53" s="21">
        <f>IF(J53="","",J53+Inputs!$B$5/Inputs!$B$13*(Inputs!$C$13*(Inputs!$C$29*NGS_Archaea_Input!$B$8-J53)+Inputs!$D$13*(J8-J53)+Inputs!$E$13*(Inputs!$D$29*NGS_Archaea_Input!$C$8-J53)))</f>
        <v>0</v>
      </c>
      <c r="L53" s="21">
        <f>IF(K53="","",K53+Inputs!$B$5/Inputs!$B$13*(Inputs!$C$13*(Inputs!$C$29*NGS_Archaea_Input!$B$8-K53)+Inputs!$D$13*(K8-K53)+Inputs!$E$13*(Inputs!$D$29*NGS_Archaea_Input!$C$8-K53)))</f>
        <v>0</v>
      </c>
      <c r="M53" s="21">
        <f>IF(L53="","",L53+Inputs!$B$5/Inputs!$B$13*(Inputs!$C$13*(Inputs!$C$29*NGS_Archaea_Input!$B$8-L53)+Inputs!$D$13*(L8-L53)+Inputs!$E$13*(Inputs!$D$29*NGS_Archaea_Input!$C$8-L53)))</f>
        <v>0</v>
      </c>
      <c r="N53" s="21">
        <f>IF(M53="","",M53+Inputs!$B$5/Inputs!$B$13*(Inputs!$C$13*(Inputs!$C$29*NGS_Archaea_Input!$B$8-M53)+Inputs!$D$13*(M8-M53)+Inputs!$E$13*(Inputs!$D$29*NGS_Archaea_Input!$C$8-M53)))</f>
        <v>0</v>
      </c>
      <c r="O53" s="21">
        <f>IF(N53="","",N53+Inputs!$B$5/Inputs!$B$13*(Inputs!$C$13*(Inputs!$C$29*NGS_Archaea_Input!$B$8-N53)+Inputs!$D$13*(N8-N53)+Inputs!$E$13*(Inputs!$D$29*NGS_Archaea_Input!$C$8-N53)))</f>
        <v>0</v>
      </c>
      <c r="P53" s="21">
        <f>IF(O53="","",O53+Inputs!$B$5/Inputs!$B$13*(Inputs!$C$13*(Inputs!$C$29*NGS_Archaea_Input!$B$8-O53)+Inputs!$D$13*(O8-O53)+Inputs!$E$13*(Inputs!$D$29*NGS_Archaea_Input!$C$8-O53)))</f>
        <v>0</v>
      </c>
      <c r="Q53" s="21">
        <f>IF(P53="","",P53+Inputs!$B$5/Inputs!$B$13*(Inputs!$C$13*(Inputs!$C$29*NGS_Archaea_Input!$B$8-P53)+Inputs!$D$13*(P8-P53)+Inputs!$E$13*(Inputs!$D$29*NGS_Archaea_Input!$C$8-P53)))</f>
        <v>0</v>
      </c>
      <c r="R53" s="21">
        <f>IF(Q53="","",Q53+Inputs!$B$5/Inputs!$B$13*(Inputs!$C$13*(Inputs!$C$29*NGS_Archaea_Input!$B$8-Q53)+Inputs!$D$13*(Q8-Q53)+Inputs!$E$13*(Inputs!$D$29*NGS_Archaea_Input!$C$8-Q53)))</f>
        <v>0</v>
      </c>
      <c r="S53" s="21">
        <f>IF(R53="","",R53+Inputs!$B$5/Inputs!$B$13*(Inputs!$C$13*(Inputs!$C$29*NGS_Archaea_Input!$B$8-R53)+Inputs!$D$13*(R8-R53)+Inputs!$E$13*(Inputs!$D$29*NGS_Archaea_Input!$C$8-R53)))</f>
        <v>0</v>
      </c>
      <c r="T53" s="21">
        <f>IF(S53="","",S53+Inputs!$B$5/Inputs!$B$13*(Inputs!$C$13*(Inputs!$C$29*NGS_Archaea_Input!$B$8-S53)+Inputs!$D$13*(S8-S53)+Inputs!$E$13*(Inputs!$D$29*NGS_Archaea_Input!$C$8-S53)))</f>
        <v>0</v>
      </c>
      <c r="U53" s="21">
        <f>IF(T53="","",T53+Inputs!$B$5/Inputs!$B$13*(Inputs!$C$13*(Inputs!$C$29*NGS_Archaea_Input!$B$8-T53)+Inputs!$D$13*(T8-T53)+Inputs!$E$13*(Inputs!$D$29*NGS_Archaea_Input!$C$8-T53)))</f>
        <v>0</v>
      </c>
      <c r="V53" s="21">
        <f>IF(U53="","",U53+Inputs!$B$5/Inputs!$B$13*(Inputs!$C$13*(Inputs!$C$29*NGS_Archaea_Input!$B$8-U53)+Inputs!$D$13*(U8-U53)+Inputs!$E$13*(Inputs!$D$29*NGS_Archaea_Input!$C$8-U53)))</f>
        <v>0</v>
      </c>
      <c r="W53" s="21">
        <f>IF(V53="","",V53+Inputs!$B$5/Inputs!$B$13*(Inputs!$C$13*(Inputs!$C$29*NGS_Archaea_Input!$B$8-V53)+Inputs!$D$13*(V8-V53)+Inputs!$E$13*(Inputs!$D$29*NGS_Archaea_Input!$C$8-V53)))</f>
        <v>0</v>
      </c>
    </row>
    <row r="54" spans="1:23" ht="18" customHeight="1" x14ac:dyDescent="0.25">
      <c r="A54" s="11" t="str">
        <f>NGS_Archaea_Input!A9</f>
        <v>Arc_taxon_5</v>
      </c>
      <c r="B54" s="21">
        <f>IF(Inputs!$H$36="","",Inputs!$H$36*NGS_Archaea_Input!$E$9)</f>
        <v>0</v>
      </c>
      <c r="C54" s="21">
        <f>IF(B54="","",B54+Inputs!$B$5/Inputs!$B$13*(Inputs!$C$13*(Inputs!$C$29*NGS_Archaea_Input!$B$9-B54)+Inputs!$D$13*(B9-B54)+Inputs!$E$13*(Inputs!$D$29*NGS_Archaea_Input!$C$9-B54)))</f>
        <v>0</v>
      </c>
      <c r="D54" s="21">
        <f>IF(C54="","",C54+Inputs!$B$5/Inputs!$B$13*(Inputs!$C$13*(Inputs!$C$29*NGS_Archaea_Input!$B$9-C54)+Inputs!$D$13*(C9-C54)+Inputs!$E$13*(Inputs!$D$29*NGS_Archaea_Input!$C$9-C54)))</f>
        <v>0</v>
      </c>
      <c r="E54" s="21">
        <f>IF(D54="","",D54+Inputs!$B$5/Inputs!$B$13*(Inputs!$C$13*(Inputs!$C$29*NGS_Archaea_Input!$B$9-D54)+Inputs!$D$13*(D9-D54)+Inputs!$E$13*(Inputs!$D$29*NGS_Archaea_Input!$C$9-D54)))</f>
        <v>0</v>
      </c>
      <c r="F54" s="21">
        <f>IF(E54="","",E54+Inputs!$B$5/Inputs!$B$13*(Inputs!$C$13*(Inputs!$C$29*NGS_Archaea_Input!$B$9-E54)+Inputs!$D$13*(E9-E54)+Inputs!$E$13*(Inputs!$D$29*NGS_Archaea_Input!$C$9-E54)))</f>
        <v>0</v>
      </c>
      <c r="G54" s="21">
        <f>IF(F54="","",F54+Inputs!$B$5/Inputs!$B$13*(Inputs!$C$13*(Inputs!$C$29*NGS_Archaea_Input!$B$9-F54)+Inputs!$D$13*(F9-F54)+Inputs!$E$13*(Inputs!$D$29*NGS_Archaea_Input!$C$9-F54)))</f>
        <v>0</v>
      </c>
      <c r="H54" s="21">
        <f>IF(G54="","",G54+Inputs!$B$5/Inputs!$B$13*(Inputs!$C$13*(Inputs!$C$29*NGS_Archaea_Input!$B$9-G54)+Inputs!$D$13*(G9-G54)+Inputs!$E$13*(Inputs!$D$29*NGS_Archaea_Input!$C$9-G54)))</f>
        <v>0</v>
      </c>
      <c r="I54" s="21">
        <f>IF(H54="","",H54+Inputs!$B$5/Inputs!$B$13*(Inputs!$C$13*(Inputs!$C$29*NGS_Archaea_Input!$B$9-H54)+Inputs!$D$13*(H9-H54)+Inputs!$E$13*(Inputs!$D$29*NGS_Archaea_Input!$C$9-H54)))</f>
        <v>0</v>
      </c>
      <c r="J54" s="21">
        <f>IF(I54="","",I54+Inputs!$B$5/Inputs!$B$13*(Inputs!$C$13*(Inputs!$C$29*NGS_Archaea_Input!$B$9-I54)+Inputs!$D$13*(I9-I54)+Inputs!$E$13*(Inputs!$D$29*NGS_Archaea_Input!$C$9-I54)))</f>
        <v>0</v>
      </c>
      <c r="K54" s="21">
        <f>IF(J54="","",J54+Inputs!$B$5/Inputs!$B$13*(Inputs!$C$13*(Inputs!$C$29*NGS_Archaea_Input!$B$9-J54)+Inputs!$D$13*(J9-J54)+Inputs!$E$13*(Inputs!$D$29*NGS_Archaea_Input!$C$9-J54)))</f>
        <v>0</v>
      </c>
      <c r="L54" s="21">
        <f>IF(K54="","",K54+Inputs!$B$5/Inputs!$B$13*(Inputs!$C$13*(Inputs!$C$29*NGS_Archaea_Input!$B$9-K54)+Inputs!$D$13*(K9-K54)+Inputs!$E$13*(Inputs!$D$29*NGS_Archaea_Input!$C$9-K54)))</f>
        <v>0</v>
      </c>
      <c r="M54" s="21">
        <f>IF(L54="","",L54+Inputs!$B$5/Inputs!$B$13*(Inputs!$C$13*(Inputs!$C$29*NGS_Archaea_Input!$B$9-L54)+Inputs!$D$13*(L9-L54)+Inputs!$E$13*(Inputs!$D$29*NGS_Archaea_Input!$C$9-L54)))</f>
        <v>0</v>
      </c>
      <c r="N54" s="21">
        <f>IF(M54="","",M54+Inputs!$B$5/Inputs!$B$13*(Inputs!$C$13*(Inputs!$C$29*NGS_Archaea_Input!$B$9-M54)+Inputs!$D$13*(M9-M54)+Inputs!$E$13*(Inputs!$D$29*NGS_Archaea_Input!$C$9-M54)))</f>
        <v>0</v>
      </c>
      <c r="O54" s="21">
        <f>IF(N54="","",N54+Inputs!$B$5/Inputs!$B$13*(Inputs!$C$13*(Inputs!$C$29*NGS_Archaea_Input!$B$9-N54)+Inputs!$D$13*(N9-N54)+Inputs!$E$13*(Inputs!$D$29*NGS_Archaea_Input!$C$9-N54)))</f>
        <v>0</v>
      </c>
      <c r="P54" s="21">
        <f>IF(O54="","",O54+Inputs!$B$5/Inputs!$B$13*(Inputs!$C$13*(Inputs!$C$29*NGS_Archaea_Input!$B$9-O54)+Inputs!$D$13*(O9-O54)+Inputs!$E$13*(Inputs!$D$29*NGS_Archaea_Input!$C$9-O54)))</f>
        <v>0</v>
      </c>
      <c r="Q54" s="21">
        <f>IF(P54="","",P54+Inputs!$B$5/Inputs!$B$13*(Inputs!$C$13*(Inputs!$C$29*NGS_Archaea_Input!$B$9-P54)+Inputs!$D$13*(P9-P54)+Inputs!$E$13*(Inputs!$D$29*NGS_Archaea_Input!$C$9-P54)))</f>
        <v>0</v>
      </c>
      <c r="R54" s="21">
        <f>IF(Q54="","",Q54+Inputs!$B$5/Inputs!$B$13*(Inputs!$C$13*(Inputs!$C$29*NGS_Archaea_Input!$B$9-Q54)+Inputs!$D$13*(Q9-Q54)+Inputs!$E$13*(Inputs!$D$29*NGS_Archaea_Input!$C$9-Q54)))</f>
        <v>0</v>
      </c>
      <c r="S54" s="21">
        <f>IF(R54="","",R54+Inputs!$B$5/Inputs!$B$13*(Inputs!$C$13*(Inputs!$C$29*NGS_Archaea_Input!$B$9-R54)+Inputs!$D$13*(R9-R54)+Inputs!$E$13*(Inputs!$D$29*NGS_Archaea_Input!$C$9-R54)))</f>
        <v>0</v>
      </c>
      <c r="T54" s="21">
        <f>IF(S54="","",S54+Inputs!$B$5/Inputs!$B$13*(Inputs!$C$13*(Inputs!$C$29*NGS_Archaea_Input!$B$9-S54)+Inputs!$D$13*(S9-S54)+Inputs!$E$13*(Inputs!$D$29*NGS_Archaea_Input!$C$9-S54)))</f>
        <v>0</v>
      </c>
      <c r="U54" s="21">
        <f>IF(T54="","",T54+Inputs!$B$5/Inputs!$B$13*(Inputs!$C$13*(Inputs!$C$29*NGS_Archaea_Input!$B$9-T54)+Inputs!$D$13*(T9-T54)+Inputs!$E$13*(Inputs!$D$29*NGS_Archaea_Input!$C$9-T54)))</f>
        <v>0</v>
      </c>
      <c r="V54" s="21">
        <f>IF(U54="","",U54+Inputs!$B$5/Inputs!$B$13*(Inputs!$C$13*(Inputs!$C$29*NGS_Archaea_Input!$B$9-U54)+Inputs!$D$13*(U9-U54)+Inputs!$E$13*(Inputs!$D$29*NGS_Archaea_Input!$C$9-U54)))</f>
        <v>0</v>
      </c>
      <c r="W54" s="21">
        <f>IF(V54="","",V54+Inputs!$B$5/Inputs!$B$13*(Inputs!$C$13*(Inputs!$C$29*NGS_Archaea_Input!$B$9-V54)+Inputs!$D$13*(V9-V54)+Inputs!$E$13*(Inputs!$D$29*NGS_Archaea_Input!$C$9-V54)))</f>
        <v>0</v>
      </c>
    </row>
    <row r="55" spans="1:23" ht="18" customHeight="1" x14ac:dyDescent="0.25">
      <c r="A55" s="11" t="str">
        <f>NGS_Archaea_Input!A10</f>
        <v>Arc_taxon_6</v>
      </c>
      <c r="B55" s="21">
        <f>IF(Inputs!$H$36="","",Inputs!$H$36*NGS_Archaea_Input!$E$10)</f>
        <v>0</v>
      </c>
      <c r="C55" s="21">
        <f>IF(B55="","",B55+Inputs!$B$5/Inputs!$B$13*(Inputs!$C$13*(Inputs!$C$29*NGS_Archaea_Input!$B$10-B55)+Inputs!$D$13*(B10-B55)+Inputs!$E$13*(Inputs!$D$29*NGS_Archaea_Input!$C$10-B55)))</f>
        <v>0</v>
      </c>
      <c r="D55" s="21">
        <f>IF(C55="","",C55+Inputs!$B$5/Inputs!$B$13*(Inputs!$C$13*(Inputs!$C$29*NGS_Archaea_Input!$B$10-C55)+Inputs!$D$13*(C10-C55)+Inputs!$E$13*(Inputs!$D$29*NGS_Archaea_Input!$C$10-C55)))</f>
        <v>0</v>
      </c>
      <c r="E55" s="21">
        <f>IF(D55="","",D55+Inputs!$B$5/Inputs!$B$13*(Inputs!$C$13*(Inputs!$C$29*NGS_Archaea_Input!$B$10-D55)+Inputs!$D$13*(D10-D55)+Inputs!$E$13*(Inputs!$D$29*NGS_Archaea_Input!$C$10-D55)))</f>
        <v>0</v>
      </c>
      <c r="F55" s="21">
        <f>IF(E55="","",E55+Inputs!$B$5/Inputs!$B$13*(Inputs!$C$13*(Inputs!$C$29*NGS_Archaea_Input!$B$10-E55)+Inputs!$D$13*(E10-E55)+Inputs!$E$13*(Inputs!$D$29*NGS_Archaea_Input!$C$10-E55)))</f>
        <v>0</v>
      </c>
      <c r="G55" s="21">
        <f>IF(F55="","",F55+Inputs!$B$5/Inputs!$B$13*(Inputs!$C$13*(Inputs!$C$29*NGS_Archaea_Input!$B$10-F55)+Inputs!$D$13*(F10-F55)+Inputs!$E$13*(Inputs!$D$29*NGS_Archaea_Input!$C$10-F55)))</f>
        <v>0</v>
      </c>
      <c r="H55" s="21">
        <f>IF(G55="","",G55+Inputs!$B$5/Inputs!$B$13*(Inputs!$C$13*(Inputs!$C$29*NGS_Archaea_Input!$B$10-G55)+Inputs!$D$13*(G10-G55)+Inputs!$E$13*(Inputs!$D$29*NGS_Archaea_Input!$C$10-G55)))</f>
        <v>0</v>
      </c>
      <c r="I55" s="21">
        <f>IF(H55="","",H55+Inputs!$B$5/Inputs!$B$13*(Inputs!$C$13*(Inputs!$C$29*NGS_Archaea_Input!$B$10-H55)+Inputs!$D$13*(H10-H55)+Inputs!$E$13*(Inputs!$D$29*NGS_Archaea_Input!$C$10-H55)))</f>
        <v>0</v>
      </c>
      <c r="J55" s="21">
        <f>IF(I55="","",I55+Inputs!$B$5/Inputs!$B$13*(Inputs!$C$13*(Inputs!$C$29*NGS_Archaea_Input!$B$10-I55)+Inputs!$D$13*(I10-I55)+Inputs!$E$13*(Inputs!$D$29*NGS_Archaea_Input!$C$10-I55)))</f>
        <v>0</v>
      </c>
      <c r="K55" s="21">
        <f>IF(J55="","",J55+Inputs!$B$5/Inputs!$B$13*(Inputs!$C$13*(Inputs!$C$29*NGS_Archaea_Input!$B$10-J55)+Inputs!$D$13*(J10-J55)+Inputs!$E$13*(Inputs!$D$29*NGS_Archaea_Input!$C$10-J55)))</f>
        <v>0</v>
      </c>
      <c r="L55" s="21">
        <f>IF(K55="","",K55+Inputs!$B$5/Inputs!$B$13*(Inputs!$C$13*(Inputs!$C$29*NGS_Archaea_Input!$B$10-K55)+Inputs!$D$13*(K10-K55)+Inputs!$E$13*(Inputs!$D$29*NGS_Archaea_Input!$C$10-K55)))</f>
        <v>0</v>
      </c>
      <c r="M55" s="21">
        <f>IF(L55="","",L55+Inputs!$B$5/Inputs!$B$13*(Inputs!$C$13*(Inputs!$C$29*NGS_Archaea_Input!$B$10-L55)+Inputs!$D$13*(L10-L55)+Inputs!$E$13*(Inputs!$D$29*NGS_Archaea_Input!$C$10-L55)))</f>
        <v>0</v>
      </c>
      <c r="N55" s="21">
        <f>IF(M55="","",M55+Inputs!$B$5/Inputs!$B$13*(Inputs!$C$13*(Inputs!$C$29*NGS_Archaea_Input!$B$10-M55)+Inputs!$D$13*(M10-M55)+Inputs!$E$13*(Inputs!$D$29*NGS_Archaea_Input!$C$10-M55)))</f>
        <v>0</v>
      </c>
      <c r="O55" s="21">
        <f>IF(N55="","",N55+Inputs!$B$5/Inputs!$B$13*(Inputs!$C$13*(Inputs!$C$29*NGS_Archaea_Input!$B$10-N55)+Inputs!$D$13*(N10-N55)+Inputs!$E$13*(Inputs!$D$29*NGS_Archaea_Input!$C$10-N55)))</f>
        <v>0</v>
      </c>
      <c r="P55" s="21">
        <f>IF(O55="","",O55+Inputs!$B$5/Inputs!$B$13*(Inputs!$C$13*(Inputs!$C$29*NGS_Archaea_Input!$B$10-O55)+Inputs!$D$13*(O10-O55)+Inputs!$E$13*(Inputs!$D$29*NGS_Archaea_Input!$C$10-O55)))</f>
        <v>0</v>
      </c>
      <c r="Q55" s="21">
        <f>IF(P55="","",P55+Inputs!$B$5/Inputs!$B$13*(Inputs!$C$13*(Inputs!$C$29*NGS_Archaea_Input!$B$10-P55)+Inputs!$D$13*(P10-P55)+Inputs!$E$13*(Inputs!$D$29*NGS_Archaea_Input!$C$10-P55)))</f>
        <v>0</v>
      </c>
      <c r="R55" s="21">
        <f>IF(Q55="","",Q55+Inputs!$B$5/Inputs!$B$13*(Inputs!$C$13*(Inputs!$C$29*NGS_Archaea_Input!$B$10-Q55)+Inputs!$D$13*(Q10-Q55)+Inputs!$E$13*(Inputs!$D$29*NGS_Archaea_Input!$C$10-Q55)))</f>
        <v>0</v>
      </c>
      <c r="S55" s="21">
        <f>IF(R55="","",R55+Inputs!$B$5/Inputs!$B$13*(Inputs!$C$13*(Inputs!$C$29*NGS_Archaea_Input!$B$10-R55)+Inputs!$D$13*(R10-R55)+Inputs!$E$13*(Inputs!$D$29*NGS_Archaea_Input!$C$10-R55)))</f>
        <v>0</v>
      </c>
      <c r="T55" s="21">
        <f>IF(S55="","",S55+Inputs!$B$5/Inputs!$B$13*(Inputs!$C$13*(Inputs!$C$29*NGS_Archaea_Input!$B$10-S55)+Inputs!$D$13*(S10-S55)+Inputs!$E$13*(Inputs!$D$29*NGS_Archaea_Input!$C$10-S55)))</f>
        <v>0</v>
      </c>
      <c r="U55" s="21">
        <f>IF(T55="","",T55+Inputs!$B$5/Inputs!$B$13*(Inputs!$C$13*(Inputs!$C$29*NGS_Archaea_Input!$B$10-T55)+Inputs!$D$13*(T10-T55)+Inputs!$E$13*(Inputs!$D$29*NGS_Archaea_Input!$C$10-T55)))</f>
        <v>0</v>
      </c>
      <c r="V55" s="21">
        <f>IF(U55="","",U55+Inputs!$B$5/Inputs!$B$13*(Inputs!$C$13*(Inputs!$C$29*NGS_Archaea_Input!$B$10-U55)+Inputs!$D$13*(U10-U55)+Inputs!$E$13*(Inputs!$D$29*NGS_Archaea_Input!$C$10-U55)))</f>
        <v>0</v>
      </c>
      <c r="W55" s="21">
        <f>IF(V55="","",V55+Inputs!$B$5/Inputs!$B$13*(Inputs!$C$13*(Inputs!$C$29*NGS_Archaea_Input!$B$10-V55)+Inputs!$D$13*(V10-V55)+Inputs!$E$13*(Inputs!$D$29*NGS_Archaea_Input!$C$10-V55)))</f>
        <v>0</v>
      </c>
    </row>
    <row r="56" spans="1:23" ht="18" customHeight="1" x14ac:dyDescent="0.25">
      <c r="A56" s="11" t="str">
        <f>NGS_Archaea_Input!A11</f>
        <v>Arc_taxon_7</v>
      </c>
      <c r="B56" s="21">
        <f>IF(Inputs!$H$36="","",Inputs!$H$36*NGS_Archaea_Input!$E$11)</f>
        <v>0</v>
      </c>
      <c r="C56" s="21">
        <f>IF(B56="","",B56+Inputs!$B$5/Inputs!$B$13*(Inputs!$C$13*(Inputs!$C$29*NGS_Archaea_Input!$B$11-B56)+Inputs!$D$13*(B11-B56)+Inputs!$E$13*(Inputs!$D$29*NGS_Archaea_Input!$C$11-B56)))</f>
        <v>0</v>
      </c>
      <c r="D56" s="21">
        <f>IF(C56="","",C56+Inputs!$B$5/Inputs!$B$13*(Inputs!$C$13*(Inputs!$C$29*NGS_Archaea_Input!$B$11-C56)+Inputs!$D$13*(C11-C56)+Inputs!$E$13*(Inputs!$D$29*NGS_Archaea_Input!$C$11-C56)))</f>
        <v>0</v>
      </c>
      <c r="E56" s="21">
        <f>IF(D56="","",D56+Inputs!$B$5/Inputs!$B$13*(Inputs!$C$13*(Inputs!$C$29*NGS_Archaea_Input!$B$11-D56)+Inputs!$D$13*(D11-D56)+Inputs!$E$13*(Inputs!$D$29*NGS_Archaea_Input!$C$11-D56)))</f>
        <v>0</v>
      </c>
      <c r="F56" s="21">
        <f>IF(E56="","",E56+Inputs!$B$5/Inputs!$B$13*(Inputs!$C$13*(Inputs!$C$29*NGS_Archaea_Input!$B$11-E56)+Inputs!$D$13*(E11-E56)+Inputs!$E$13*(Inputs!$D$29*NGS_Archaea_Input!$C$11-E56)))</f>
        <v>0</v>
      </c>
      <c r="G56" s="21">
        <f>IF(F56="","",F56+Inputs!$B$5/Inputs!$B$13*(Inputs!$C$13*(Inputs!$C$29*NGS_Archaea_Input!$B$11-F56)+Inputs!$D$13*(F11-F56)+Inputs!$E$13*(Inputs!$D$29*NGS_Archaea_Input!$C$11-F56)))</f>
        <v>0</v>
      </c>
      <c r="H56" s="21">
        <f>IF(G56="","",G56+Inputs!$B$5/Inputs!$B$13*(Inputs!$C$13*(Inputs!$C$29*NGS_Archaea_Input!$B$11-G56)+Inputs!$D$13*(G11-G56)+Inputs!$E$13*(Inputs!$D$29*NGS_Archaea_Input!$C$11-G56)))</f>
        <v>0</v>
      </c>
      <c r="I56" s="21">
        <f>IF(H56="","",H56+Inputs!$B$5/Inputs!$B$13*(Inputs!$C$13*(Inputs!$C$29*NGS_Archaea_Input!$B$11-H56)+Inputs!$D$13*(H11-H56)+Inputs!$E$13*(Inputs!$D$29*NGS_Archaea_Input!$C$11-H56)))</f>
        <v>0</v>
      </c>
      <c r="J56" s="21">
        <f>IF(I56="","",I56+Inputs!$B$5/Inputs!$B$13*(Inputs!$C$13*(Inputs!$C$29*NGS_Archaea_Input!$B$11-I56)+Inputs!$D$13*(I11-I56)+Inputs!$E$13*(Inputs!$D$29*NGS_Archaea_Input!$C$11-I56)))</f>
        <v>0</v>
      </c>
      <c r="K56" s="21">
        <f>IF(J56="","",J56+Inputs!$B$5/Inputs!$B$13*(Inputs!$C$13*(Inputs!$C$29*NGS_Archaea_Input!$B$11-J56)+Inputs!$D$13*(J11-J56)+Inputs!$E$13*(Inputs!$D$29*NGS_Archaea_Input!$C$11-J56)))</f>
        <v>0</v>
      </c>
      <c r="L56" s="21">
        <f>IF(K56="","",K56+Inputs!$B$5/Inputs!$B$13*(Inputs!$C$13*(Inputs!$C$29*NGS_Archaea_Input!$B$11-K56)+Inputs!$D$13*(K11-K56)+Inputs!$E$13*(Inputs!$D$29*NGS_Archaea_Input!$C$11-K56)))</f>
        <v>0</v>
      </c>
      <c r="M56" s="21">
        <f>IF(L56="","",L56+Inputs!$B$5/Inputs!$B$13*(Inputs!$C$13*(Inputs!$C$29*NGS_Archaea_Input!$B$11-L56)+Inputs!$D$13*(L11-L56)+Inputs!$E$13*(Inputs!$D$29*NGS_Archaea_Input!$C$11-L56)))</f>
        <v>0</v>
      </c>
      <c r="N56" s="21">
        <f>IF(M56="","",M56+Inputs!$B$5/Inputs!$B$13*(Inputs!$C$13*(Inputs!$C$29*NGS_Archaea_Input!$B$11-M56)+Inputs!$D$13*(M11-M56)+Inputs!$E$13*(Inputs!$D$29*NGS_Archaea_Input!$C$11-M56)))</f>
        <v>0</v>
      </c>
      <c r="O56" s="21">
        <f>IF(N56="","",N56+Inputs!$B$5/Inputs!$B$13*(Inputs!$C$13*(Inputs!$C$29*NGS_Archaea_Input!$B$11-N56)+Inputs!$D$13*(N11-N56)+Inputs!$E$13*(Inputs!$D$29*NGS_Archaea_Input!$C$11-N56)))</f>
        <v>0</v>
      </c>
      <c r="P56" s="21">
        <f>IF(O56="","",O56+Inputs!$B$5/Inputs!$B$13*(Inputs!$C$13*(Inputs!$C$29*NGS_Archaea_Input!$B$11-O56)+Inputs!$D$13*(O11-O56)+Inputs!$E$13*(Inputs!$D$29*NGS_Archaea_Input!$C$11-O56)))</f>
        <v>0</v>
      </c>
      <c r="Q56" s="21">
        <f>IF(P56="","",P56+Inputs!$B$5/Inputs!$B$13*(Inputs!$C$13*(Inputs!$C$29*NGS_Archaea_Input!$B$11-P56)+Inputs!$D$13*(P11-P56)+Inputs!$E$13*(Inputs!$D$29*NGS_Archaea_Input!$C$11-P56)))</f>
        <v>0</v>
      </c>
      <c r="R56" s="21">
        <f>IF(Q56="","",Q56+Inputs!$B$5/Inputs!$B$13*(Inputs!$C$13*(Inputs!$C$29*NGS_Archaea_Input!$B$11-Q56)+Inputs!$D$13*(Q11-Q56)+Inputs!$E$13*(Inputs!$D$29*NGS_Archaea_Input!$C$11-Q56)))</f>
        <v>0</v>
      </c>
      <c r="S56" s="21">
        <f>IF(R56="","",R56+Inputs!$B$5/Inputs!$B$13*(Inputs!$C$13*(Inputs!$C$29*NGS_Archaea_Input!$B$11-R56)+Inputs!$D$13*(R11-R56)+Inputs!$E$13*(Inputs!$D$29*NGS_Archaea_Input!$C$11-R56)))</f>
        <v>0</v>
      </c>
      <c r="T56" s="21">
        <f>IF(S56="","",S56+Inputs!$B$5/Inputs!$B$13*(Inputs!$C$13*(Inputs!$C$29*NGS_Archaea_Input!$B$11-S56)+Inputs!$D$13*(S11-S56)+Inputs!$E$13*(Inputs!$D$29*NGS_Archaea_Input!$C$11-S56)))</f>
        <v>0</v>
      </c>
      <c r="U56" s="21">
        <f>IF(T56="","",T56+Inputs!$B$5/Inputs!$B$13*(Inputs!$C$13*(Inputs!$C$29*NGS_Archaea_Input!$B$11-T56)+Inputs!$D$13*(T11-T56)+Inputs!$E$13*(Inputs!$D$29*NGS_Archaea_Input!$C$11-T56)))</f>
        <v>0</v>
      </c>
      <c r="V56" s="21">
        <f>IF(U56="","",U56+Inputs!$B$5/Inputs!$B$13*(Inputs!$C$13*(Inputs!$C$29*NGS_Archaea_Input!$B$11-U56)+Inputs!$D$13*(U11-U56)+Inputs!$E$13*(Inputs!$D$29*NGS_Archaea_Input!$C$11-U56)))</f>
        <v>0</v>
      </c>
      <c r="W56" s="21">
        <f>IF(V56="","",V56+Inputs!$B$5/Inputs!$B$13*(Inputs!$C$13*(Inputs!$C$29*NGS_Archaea_Input!$B$11-V56)+Inputs!$D$13*(V11-V56)+Inputs!$E$13*(Inputs!$D$29*NGS_Archaea_Input!$C$11-V56)))</f>
        <v>0</v>
      </c>
    </row>
    <row r="57" spans="1:23" ht="18" customHeight="1" x14ac:dyDescent="0.25">
      <c r="A57" s="11" t="str">
        <f>NGS_Archaea_Input!A12</f>
        <v>Arc_taxon_8</v>
      </c>
      <c r="B57" s="21">
        <f>IF(Inputs!$H$36="","",Inputs!$H$36*NGS_Archaea_Input!$E$12)</f>
        <v>0</v>
      </c>
      <c r="C57" s="21">
        <f>IF(B57="","",B57+Inputs!$B$5/Inputs!$B$13*(Inputs!$C$13*(Inputs!$C$29*NGS_Archaea_Input!$B$12-B57)+Inputs!$D$13*(B12-B57)+Inputs!$E$13*(Inputs!$D$29*NGS_Archaea_Input!$C$12-B57)))</f>
        <v>0</v>
      </c>
      <c r="D57" s="21">
        <f>IF(C57="","",C57+Inputs!$B$5/Inputs!$B$13*(Inputs!$C$13*(Inputs!$C$29*NGS_Archaea_Input!$B$12-C57)+Inputs!$D$13*(C12-C57)+Inputs!$E$13*(Inputs!$D$29*NGS_Archaea_Input!$C$12-C57)))</f>
        <v>0</v>
      </c>
      <c r="E57" s="21">
        <f>IF(D57="","",D57+Inputs!$B$5/Inputs!$B$13*(Inputs!$C$13*(Inputs!$C$29*NGS_Archaea_Input!$B$12-D57)+Inputs!$D$13*(D12-D57)+Inputs!$E$13*(Inputs!$D$29*NGS_Archaea_Input!$C$12-D57)))</f>
        <v>0</v>
      </c>
      <c r="F57" s="21">
        <f>IF(E57="","",E57+Inputs!$B$5/Inputs!$B$13*(Inputs!$C$13*(Inputs!$C$29*NGS_Archaea_Input!$B$12-E57)+Inputs!$D$13*(E12-E57)+Inputs!$E$13*(Inputs!$D$29*NGS_Archaea_Input!$C$12-E57)))</f>
        <v>0</v>
      </c>
      <c r="G57" s="21">
        <f>IF(F57="","",F57+Inputs!$B$5/Inputs!$B$13*(Inputs!$C$13*(Inputs!$C$29*NGS_Archaea_Input!$B$12-F57)+Inputs!$D$13*(F12-F57)+Inputs!$E$13*(Inputs!$D$29*NGS_Archaea_Input!$C$12-F57)))</f>
        <v>0</v>
      </c>
      <c r="H57" s="21">
        <f>IF(G57="","",G57+Inputs!$B$5/Inputs!$B$13*(Inputs!$C$13*(Inputs!$C$29*NGS_Archaea_Input!$B$12-G57)+Inputs!$D$13*(G12-G57)+Inputs!$E$13*(Inputs!$D$29*NGS_Archaea_Input!$C$12-G57)))</f>
        <v>0</v>
      </c>
      <c r="I57" s="21">
        <f>IF(H57="","",H57+Inputs!$B$5/Inputs!$B$13*(Inputs!$C$13*(Inputs!$C$29*NGS_Archaea_Input!$B$12-H57)+Inputs!$D$13*(H12-H57)+Inputs!$E$13*(Inputs!$D$29*NGS_Archaea_Input!$C$12-H57)))</f>
        <v>0</v>
      </c>
      <c r="J57" s="21">
        <f>IF(I57="","",I57+Inputs!$B$5/Inputs!$B$13*(Inputs!$C$13*(Inputs!$C$29*NGS_Archaea_Input!$B$12-I57)+Inputs!$D$13*(I12-I57)+Inputs!$E$13*(Inputs!$D$29*NGS_Archaea_Input!$C$12-I57)))</f>
        <v>0</v>
      </c>
      <c r="K57" s="21">
        <f>IF(J57="","",J57+Inputs!$B$5/Inputs!$B$13*(Inputs!$C$13*(Inputs!$C$29*NGS_Archaea_Input!$B$12-J57)+Inputs!$D$13*(J12-J57)+Inputs!$E$13*(Inputs!$D$29*NGS_Archaea_Input!$C$12-J57)))</f>
        <v>0</v>
      </c>
      <c r="L57" s="21">
        <f>IF(K57="","",K57+Inputs!$B$5/Inputs!$B$13*(Inputs!$C$13*(Inputs!$C$29*NGS_Archaea_Input!$B$12-K57)+Inputs!$D$13*(K12-K57)+Inputs!$E$13*(Inputs!$D$29*NGS_Archaea_Input!$C$12-K57)))</f>
        <v>0</v>
      </c>
      <c r="M57" s="21">
        <f>IF(L57="","",L57+Inputs!$B$5/Inputs!$B$13*(Inputs!$C$13*(Inputs!$C$29*NGS_Archaea_Input!$B$12-L57)+Inputs!$D$13*(L12-L57)+Inputs!$E$13*(Inputs!$D$29*NGS_Archaea_Input!$C$12-L57)))</f>
        <v>0</v>
      </c>
      <c r="N57" s="21">
        <f>IF(M57="","",M57+Inputs!$B$5/Inputs!$B$13*(Inputs!$C$13*(Inputs!$C$29*NGS_Archaea_Input!$B$12-M57)+Inputs!$D$13*(M12-M57)+Inputs!$E$13*(Inputs!$D$29*NGS_Archaea_Input!$C$12-M57)))</f>
        <v>0</v>
      </c>
      <c r="O57" s="21">
        <f>IF(N57="","",N57+Inputs!$B$5/Inputs!$B$13*(Inputs!$C$13*(Inputs!$C$29*NGS_Archaea_Input!$B$12-N57)+Inputs!$D$13*(N12-N57)+Inputs!$E$13*(Inputs!$D$29*NGS_Archaea_Input!$C$12-N57)))</f>
        <v>0</v>
      </c>
      <c r="P57" s="21">
        <f>IF(O57="","",O57+Inputs!$B$5/Inputs!$B$13*(Inputs!$C$13*(Inputs!$C$29*NGS_Archaea_Input!$B$12-O57)+Inputs!$D$13*(O12-O57)+Inputs!$E$13*(Inputs!$D$29*NGS_Archaea_Input!$C$12-O57)))</f>
        <v>0</v>
      </c>
      <c r="Q57" s="21">
        <f>IF(P57="","",P57+Inputs!$B$5/Inputs!$B$13*(Inputs!$C$13*(Inputs!$C$29*NGS_Archaea_Input!$B$12-P57)+Inputs!$D$13*(P12-P57)+Inputs!$E$13*(Inputs!$D$29*NGS_Archaea_Input!$C$12-P57)))</f>
        <v>0</v>
      </c>
      <c r="R57" s="21">
        <f>IF(Q57="","",Q57+Inputs!$B$5/Inputs!$B$13*(Inputs!$C$13*(Inputs!$C$29*NGS_Archaea_Input!$B$12-Q57)+Inputs!$D$13*(Q12-Q57)+Inputs!$E$13*(Inputs!$D$29*NGS_Archaea_Input!$C$12-Q57)))</f>
        <v>0</v>
      </c>
      <c r="S57" s="21">
        <f>IF(R57="","",R57+Inputs!$B$5/Inputs!$B$13*(Inputs!$C$13*(Inputs!$C$29*NGS_Archaea_Input!$B$12-R57)+Inputs!$D$13*(R12-R57)+Inputs!$E$13*(Inputs!$D$29*NGS_Archaea_Input!$C$12-R57)))</f>
        <v>0</v>
      </c>
      <c r="T57" s="21">
        <f>IF(S57="","",S57+Inputs!$B$5/Inputs!$B$13*(Inputs!$C$13*(Inputs!$C$29*NGS_Archaea_Input!$B$12-S57)+Inputs!$D$13*(S12-S57)+Inputs!$E$13*(Inputs!$D$29*NGS_Archaea_Input!$C$12-S57)))</f>
        <v>0</v>
      </c>
      <c r="U57" s="21">
        <f>IF(T57="","",T57+Inputs!$B$5/Inputs!$B$13*(Inputs!$C$13*(Inputs!$C$29*NGS_Archaea_Input!$B$12-T57)+Inputs!$D$13*(T12-T57)+Inputs!$E$13*(Inputs!$D$29*NGS_Archaea_Input!$C$12-T57)))</f>
        <v>0</v>
      </c>
      <c r="V57" s="21">
        <f>IF(U57="","",U57+Inputs!$B$5/Inputs!$B$13*(Inputs!$C$13*(Inputs!$C$29*NGS_Archaea_Input!$B$12-U57)+Inputs!$D$13*(U12-U57)+Inputs!$E$13*(Inputs!$D$29*NGS_Archaea_Input!$C$12-U57)))</f>
        <v>0</v>
      </c>
      <c r="W57" s="21">
        <f>IF(V57="","",V57+Inputs!$B$5/Inputs!$B$13*(Inputs!$C$13*(Inputs!$C$29*NGS_Archaea_Input!$B$12-V57)+Inputs!$D$13*(V12-V57)+Inputs!$E$13*(Inputs!$D$29*NGS_Archaea_Input!$C$12-V57)))</f>
        <v>0</v>
      </c>
    </row>
    <row r="58" spans="1:23" ht="18" customHeight="1" x14ac:dyDescent="0.25">
      <c r="A58" s="11" t="str">
        <f>NGS_Archaea_Input!A13</f>
        <v>Arc_taxon_9</v>
      </c>
      <c r="B58" s="21">
        <f>IF(Inputs!$H$36="","",Inputs!$H$36*NGS_Archaea_Input!$E$13)</f>
        <v>0</v>
      </c>
      <c r="C58" s="21">
        <f>IF(B58="","",B58+Inputs!$B$5/Inputs!$B$13*(Inputs!$C$13*(Inputs!$C$29*NGS_Archaea_Input!$B$13-B58)+Inputs!$D$13*(B13-B58)+Inputs!$E$13*(Inputs!$D$29*NGS_Archaea_Input!$C$13-B58)))</f>
        <v>0</v>
      </c>
      <c r="D58" s="21">
        <f>IF(C58="","",C58+Inputs!$B$5/Inputs!$B$13*(Inputs!$C$13*(Inputs!$C$29*NGS_Archaea_Input!$B$13-C58)+Inputs!$D$13*(C13-C58)+Inputs!$E$13*(Inputs!$D$29*NGS_Archaea_Input!$C$13-C58)))</f>
        <v>0</v>
      </c>
      <c r="E58" s="21">
        <f>IF(D58="","",D58+Inputs!$B$5/Inputs!$B$13*(Inputs!$C$13*(Inputs!$C$29*NGS_Archaea_Input!$B$13-D58)+Inputs!$D$13*(D13-D58)+Inputs!$E$13*(Inputs!$D$29*NGS_Archaea_Input!$C$13-D58)))</f>
        <v>0</v>
      </c>
      <c r="F58" s="21">
        <f>IF(E58="","",E58+Inputs!$B$5/Inputs!$B$13*(Inputs!$C$13*(Inputs!$C$29*NGS_Archaea_Input!$B$13-E58)+Inputs!$D$13*(E13-E58)+Inputs!$E$13*(Inputs!$D$29*NGS_Archaea_Input!$C$13-E58)))</f>
        <v>0</v>
      </c>
      <c r="G58" s="21">
        <f>IF(F58="","",F58+Inputs!$B$5/Inputs!$B$13*(Inputs!$C$13*(Inputs!$C$29*NGS_Archaea_Input!$B$13-F58)+Inputs!$D$13*(F13-F58)+Inputs!$E$13*(Inputs!$D$29*NGS_Archaea_Input!$C$13-F58)))</f>
        <v>0</v>
      </c>
      <c r="H58" s="21">
        <f>IF(G58="","",G58+Inputs!$B$5/Inputs!$B$13*(Inputs!$C$13*(Inputs!$C$29*NGS_Archaea_Input!$B$13-G58)+Inputs!$D$13*(G13-G58)+Inputs!$E$13*(Inputs!$D$29*NGS_Archaea_Input!$C$13-G58)))</f>
        <v>0</v>
      </c>
      <c r="I58" s="21">
        <f>IF(H58="","",H58+Inputs!$B$5/Inputs!$B$13*(Inputs!$C$13*(Inputs!$C$29*NGS_Archaea_Input!$B$13-H58)+Inputs!$D$13*(H13-H58)+Inputs!$E$13*(Inputs!$D$29*NGS_Archaea_Input!$C$13-H58)))</f>
        <v>0</v>
      </c>
      <c r="J58" s="21">
        <f>IF(I58="","",I58+Inputs!$B$5/Inputs!$B$13*(Inputs!$C$13*(Inputs!$C$29*NGS_Archaea_Input!$B$13-I58)+Inputs!$D$13*(I13-I58)+Inputs!$E$13*(Inputs!$D$29*NGS_Archaea_Input!$C$13-I58)))</f>
        <v>0</v>
      </c>
      <c r="K58" s="21">
        <f>IF(J58="","",J58+Inputs!$B$5/Inputs!$B$13*(Inputs!$C$13*(Inputs!$C$29*NGS_Archaea_Input!$B$13-J58)+Inputs!$D$13*(J13-J58)+Inputs!$E$13*(Inputs!$D$29*NGS_Archaea_Input!$C$13-J58)))</f>
        <v>0</v>
      </c>
      <c r="L58" s="21">
        <f>IF(K58="","",K58+Inputs!$B$5/Inputs!$B$13*(Inputs!$C$13*(Inputs!$C$29*NGS_Archaea_Input!$B$13-K58)+Inputs!$D$13*(K13-K58)+Inputs!$E$13*(Inputs!$D$29*NGS_Archaea_Input!$C$13-K58)))</f>
        <v>0</v>
      </c>
      <c r="M58" s="21">
        <f>IF(L58="","",L58+Inputs!$B$5/Inputs!$B$13*(Inputs!$C$13*(Inputs!$C$29*NGS_Archaea_Input!$B$13-L58)+Inputs!$D$13*(L13-L58)+Inputs!$E$13*(Inputs!$D$29*NGS_Archaea_Input!$C$13-L58)))</f>
        <v>0</v>
      </c>
      <c r="N58" s="21">
        <f>IF(M58="","",M58+Inputs!$B$5/Inputs!$B$13*(Inputs!$C$13*(Inputs!$C$29*NGS_Archaea_Input!$B$13-M58)+Inputs!$D$13*(M13-M58)+Inputs!$E$13*(Inputs!$D$29*NGS_Archaea_Input!$C$13-M58)))</f>
        <v>0</v>
      </c>
      <c r="O58" s="21">
        <f>IF(N58="","",N58+Inputs!$B$5/Inputs!$B$13*(Inputs!$C$13*(Inputs!$C$29*NGS_Archaea_Input!$B$13-N58)+Inputs!$D$13*(N13-N58)+Inputs!$E$13*(Inputs!$D$29*NGS_Archaea_Input!$C$13-N58)))</f>
        <v>0</v>
      </c>
      <c r="P58" s="21">
        <f>IF(O58="","",O58+Inputs!$B$5/Inputs!$B$13*(Inputs!$C$13*(Inputs!$C$29*NGS_Archaea_Input!$B$13-O58)+Inputs!$D$13*(O13-O58)+Inputs!$E$13*(Inputs!$D$29*NGS_Archaea_Input!$C$13-O58)))</f>
        <v>0</v>
      </c>
      <c r="Q58" s="21">
        <f>IF(P58="","",P58+Inputs!$B$5/Inputs!$B$13*(Inputs!$C$13*(Inputs!$C$29*NGS_Archaea_Input!$B$13-P58)+Inputs!$D$13*(P13-P58)+Inputs!$E$13*(Inputs!$D$29*NGS_Archaea_Input!$C$13-P58)))</f>
        <v>0</v>
      </c>
      <c r="R58" s="21">
        <f>IF(Q58="","",Q58+Inputs!$B$5/Inputs!$B$13*(Inputs!$C$13*(Inputs!$C$29*NGS_Archaea_Input!$B$13-Q58)+Inputs!$D$13*(Q13-Q58)+Inputs!$E$13*(Inputs!$D$29*NGS_Archaea_Input!$C$13-Q58)))</f>
        <v>0</v>
      </c>
      <c r="S58" s="21">
        <f>IF(R58="","",R58+Inputs!$B$5/Inputs!$B$13*(Inputs!$C$13*(Inputs!$C$29*NGS_Archaea_Input!$B$13-R58)+Inputs!$D$13*(R13-R58)+Inputs!$E$13*(Inputs!$D$29*NGS_Archaea_Input!$C$13-R58)))</f>
        <v>0</v>
      </c>
      <c r="T58" s="21">
        <f>IF(S58="","",S58+Inputs!$B$5/Inputs!$B$13*(Inputs!$C$13*(Inputs!$C$29*NGS_Archaea_Input!$B$13-S58)+Inputs!$D$13*(S13-S58)+Inputs!$E$13*(Inputs!$D$29*NGS_Archaea_Input!$C$13-S58)))</f>
        <v>0</v>
      </c>
      <c r="U58" s="21">
        <f>IF(T58="","",T58+Inputs!$B$5/Inputs!$B$13*(Inputs!$C$13*(Inputs!$C$29*NGS_Archaea_Input!$B$13-T58)+Inputs!$D$13*(T13-T58)+Inputs!$E$13*(Inputs!$D$29*NGS_Archaea_Input!$C$13-T58)))</f>
        <v>0</v>
      </c>
      <c r="V58" s="21">
        <f>IF(U58="","",U58+Inputs!$B$5/Inputs!$B$13*(Inputs!$C$13*(Inputs!$C$29*NGS_Archaea_Input!$B$13-U58)+Inputs!$D$13*(U13-U58)+Inputs!$E$13*(Inputs!$D$29*NGS_Archaea_Input!$C$13-U58)))</f>
        <v>0</v>
      </c>
      <c r="W58" s="21">
        <f>IF(V58="","",V58+Inputs!$B$5/Inputs!$B$13*(Inputs!$C$13*(Inputs!$C$29*NGS_Archaea_Input!$B$13-V58)+Inputs!$D$13*(V13-V58)+Inputs!$E$13*(Inputs!$D$29*NGS_Archaea_Input!$C$13-V58)))</f>
        <v>0</v>
      </c>
    </row>
    <row r="59" spans="1:23" ht="18" customHeight="1" x14ac:dyDescent="0.25">
      <c r="A59" s="11" t="str">
        <f>NGS_Archaea_Input!A14</f>
        <v>Arc_taxon_10</v>
      </c>
      <c r="B59" s="21">
        <f>IF(Inputs!$H$36="","",Inputs!$H$36*NGS_Archaea_Input!$E$14)</f>
        <v>0</v>
      </c>
      <c r="C59" s="21">
        <f>IF(B59="","",B59+Inputs!$B$5/Inputs!$B$13*(Inputs!$C$13*(Inputs!$C$29*NGS_Archaea_Input!$B$14-B59)+Inputs!$D$13*(B14-B59)+Inputs!$E$13*(Inputs!$D$29*NGS_Archaea_Input!$C$14-B59)))</f>
        <v>0</v>
      </c>
      <c r="D59" s="21">
        <f>IF(C59="","",C59+Inputs!$B$5/Inputs!$B$13*(Inputs!$C$13*(Inputs!$C$29*NGS_Archaea_Input!$B$14-C59)+Inputs!$D$13*(C14-C59)+Inputs!$E$13*(Inputs!$D$29*NGS_Archaea_Input!$C$14-C59)))</f>
        <v>0</v>
      </c>
      <c r="E59" s="21">
        <f>IF(D59="","",D59+Inputs!$B$5/Inputs!$B$13*(Inputs!$C$13*(Inputs!$C$29*NGS_Archaea_Input!$B$14-D59)+Inputs!$D$13*(D14-D59)+Inputs!$E$13*(Inputs!$D$29*NGS_Archaea_Input!$C$14-D59)))</f>
        <v>0</v>
      </c>
      <c r="F59" s="21">
        <f>IF(E59="","",E59+Inputs!$B$5/Inputs!$B$13*(Inputs!$C$13*(Inputs!$C$29*NGS_Archaea_Input!$B$14-E59)+Inputs!$D$13*(E14-E59)+Inputs!$E$13*(Inputs!$D$29*NGS_Archaea_Input!$C$14-E59)))</f>
        <v>0</v>
      </c>
      <c r="G59" s="21">
        <f>IF(F59="","",F59+Inputs!$B$5/Inputs!$B$13*(Inputs!$C$13*(Inputs!$C$29*NGS_Archaea_Input!$B$14-F59)+Inputs!$D$13*(F14-F59)+Inputs!$E$13*(Inputs!$D$29*NGS_Archaea_Input!$C$14-F59)))</f>
        <v>0</v>
      </c>
      <c r="H59" s="21">
        <f>IF(G59="","",G59+Inputs!$B$5/Inputs!$B$13*(Inputs!$C$13*(Inputs!$C$29*NGS_Archaea_Input!$B$14-G59)+Inputs!$D$13*(G14-G59)+Inputs!$E$13*(Inputs!$D$29*NGS_Archaea_Input!$C$14-G59)))</f>
        <v>0</v>
      </c>
      <c r="I59" s="21">
        <f>IF(H59="","",H59+Inputs!$B$5/Inputs!$B$13*(Inputs!$C$13*(Inputs!$C$29*NGS_Archaea_Input!$B$14-H59)+Inputs!$D$13*(H14-H59)+Inputs!$E$13*(Inputs!$D$29*NGS_Archaea_Input!$C$14-H59)))</f>
        <v>0</v>
      </c>
      <c r="J59" s="21">
        <f>IF(I59="","",I59+Inputs!$B$5/Inputs!$B$13*(Inputs!$C$13*(Inputs!$C$29*NGS_Archaea_Input!$B$14-I59)+Inputs!$D$13*(I14-I59)+Inputs!$E$13*(Inputs!$D$29*NGS_Archaea_Input!$C$14-I59)))</f>
        <v>0</v>
      </c>
      <c r="K59" s="21">
        <f>IF(J59="","",J59+Inputs!$B$5/Inputs!$B$13*(Inputs!$C$13*(Inputs!$C$29*NGS_Archaea_Input!$B$14-J59)+Inputs!$D$13*(J14-J59)+Inputs!$E$13*(Inputs!$D$29*NGS_Archaea_Input!$C$14-J59)))</f>
        <v>0</v>
      </c>
      <c r="L59" s="21">
        <f>IF(K59="","",K59+Inputs!$B$5/Inputs!$B$13*(Inputs!$C$13*(Inputs!$C$29*NGS_Archaea_Input!$B$14-K59)+Inputs!$D$13*(K14-K59)+Inputs!$E$13*(Inputs!$D$29*NGS_Archaea_Input!$C$14-K59)))</f>
        <v>0</v>
      </c>
      <c r="M59" s="21">
        <f>IF(L59="","",L59+Inputs!$B$5/Inputs!$B$13*(Inputs!$C$13*(Inputs!$C$29*NGS_Archaea_Input!$B$14-L59)+Inputs!$D$13*(L14-L59)+Inputs!$E$13*(Inputs!$D$29*NGS_Archaea_Input!$C$14-L59)))</f>
        <v>0</v>
      </c>
      <c r="N59" s="21">
        <f>IF(M59="","",M59+Inputs!$B$5/Inputs!$B$13*(Inputs!$C$13*(Inputs!$C$29*NGS_Archaea_Input!$B$14-M59)+Inputs!$D$13*(M14-M59)+Inputs!$E$13*(Inputs!$D$29*NGS_Archaea_Input!$C$14-M59)))</f>
        <v>0</v>
      </c>
      <c r="O59" s="21">
        <f>IF(N59="","",N59+Inputs!$B$5/Inputs!$B$13*(Inputs!$C$13*(Inputs!$C$29*NGS_Archaea_Input!$B$14-N59)+Inputs!$D$13*(N14-N59)+Inputs!$E$13*(Inputs!$D$29*NGS_Archaea_Input!$C$14-N59)))</f>
        <v>0</v>
      </c>
      <c r="P59" s="21">
        <f>IF(O59="","",O59+Inputs!$B$5/Inputs!$B$13*(Inputs!$C$13*(Inputs!$C$29*NGS_Archaea_Input!$B$14-O59)+Inputs!$D$13*(O14-O59)+Inputs!$E$13*(Inputs!$D$29*NGS_Archaea_Input!$C$14-O59)))</f>
        <v>0</v>
      </c>
      <c r="Q59" s="21">
        <f>IF(P59="","",P59+Inputs!$B$5/Inputs!$B$13*(Inputs!$C$13*(Inputs!$C$29*NGS_Archaea_Input!$B$14-P59)+Inputs!$D$13*(P14-P59)+Inputs!$E$13*(Inputs!$D$29*NGS_Archaea_Input!$C$14-P59)))</f>
        <v>0</v>
      </c>
      <c r="R59" s="21">
        <f>IF(Q59="","",Q59+Inputs!$B$5/Inputs!$B$13*(Inputs!$C$13*(Inputs!$C$29*NGS_Archaea_Input!$B$14-Q59)+Inputs!$D$13*(Q14-Q59)+Inputs!$E$13*(Inputs!$D$29*NGS_Archaea_Input!$C$14-Q59)))</f>
        <v>0</v>
      </c>
      <c r="S59" s="21">
        <f>IF(R59="","",R59+Inputs!$B$5/Inputs!$B$13*(Inputs!$C$13*(Inputs!$C$29*NGS_Archaea_Input!$B$14-R59)+Inputs!$D$13*(R14-R59)+Inputs!$E$13*(Inputs!$D$29*NGS_Archaea_Input!$C$14-R59)))</f>
        <v>0</v>
      </c>
      <c r="T59" s="21">
        <f>IF(S59="","",S59+Inputs!$B$5/Inputs!$B$13*(Inputs!$C$13*(Inputs!$C$29*NGS_Archaea_Input!$B$14-S59)+Inputs!$D$13*(S14-S59)+Inputs!$E$13*(Inputs!$D$29*NGS_Archaea_Input!$C$14-S59)))</f>
        <v>0</v>
      </c>
      <c r="U59" s="21">
        <f>IF(T59="","",T59+Inputs!$B$5/Inputs!$B$13*(Inputs!$C$13*(Inputs!$C$29*NGS_Archaea_Input!$B$14-T59)+Inputs!$D$13*(T14-T59)+Inputs!$E$13*(Inputs!$D$29*NGS_Archaea_Input!$C$14-T59)))</f>
        <v>0</v>
      </c>
      <c r="V59" s="21">
        <f>IF(U59="","",U59+Inputs!$B$5/Inputs!$B$13*(Inputs!$C$13*(Inputs!$C$29*NGS_Archaea_Input!$B$14-U59)+Inputs!$D$13*(U14-U59)+Inputs!$E$13*(Inputs!$D$29*NGS_Archaea_Input!$C$14-U59)))</f>
        <v>0</v>
      </c>
      <c r="W59" s="21">
        <f>IF(V59="","",V59+Inputs!$B$5/Inputs!$B$13*(Inputs!$C$13*(Inputs!$C$29*NGS_Archaea_Input!$B$14-V59)+Inputs!$D$13*(V14-V59)+Inputs!$E$13*(Inputs!$D$29*NGS_Archaea_Input!$C$14-V59)))</f>
        <v>0</v>
      </c>
    </row>
    <row r="60" spans="1:23" ht="18" customHeight="1" x14ac:dyDescent="0.25">
      <c r="A60" s="11" t="str">
        <f>NGS_Archaea_Input!A15</f>
        <v>Others</v>
      </c>
      <c r="B60" s="21">
        <f>IF(Inputs!$H$36="","",Inputs!$H$36*NGS_Archaea_Input!$E$15)</f>
        <v>16068873.068391385</v>
      </c>
      <c r="C60" s="21">
        <f>IF(B60="","",B60+Inputs!$B$5/Inputs!$B$13*(Inputs!$C$13*(Inputs!$C$29*NGS_Archaea_Input!$B$15-B60)+Inputs!$D$13*(B15-B60)+Inputs!$E$13*(Inputs!$D$29*NGS_Archaea_Input!$C$15-B60)))</f>
        <v>15637454.919448497</v>
      </c>
      <c r="D60" s="21">
        <f>IF(C60="","",C60+Inputs!$B$5/Inputs!$B$13*(Inputs!$C$13*(Inputs!$C$29*NGS_Archaea_Input!$B$15-C60)+Inputs!$D$13*(C15-C60)+Inputs!$E$13*(Inputs!$D$29*NGS_Archaea_Input!$C$15-C60)))</f>
        <v>15222783.806290604</v>
      </c>
      <c r="E60" s="21">
        <f>IF(D60="","",D60+Inputs!$B$5/Inputs!$B$13*(Inputs!$C$13*(Inputs!$C$29*NGS_Archaea_Input!$B$15-D60)+Inputs!$D$13*(D15-D60)+Inputs!$E$13*(Inputs!$D$29*NGS_Archaea_Input!$C$15-D60)))</f>
        <v>14824140.390377782</v>
      </c>
      <c r="F60" s="21">
        <f>IF(E60="","",E60+Inputs!$B$5/Inputs!$B$13*(Inputs!$C$13*(Inputs!$C$29*NGS_Archaea_Input!$B$15-E60)+Inputs!$D$13*(E15-E60)+Inputs!$E$13*(Inputs!$D$29*NGS_Archaea_Input!$C$15-E60)))</f>
        <v>14440838.009326823</v>
      </c>
      <c r="G60" s="21">
        <f>IF(F60="","",F60+Inputs!$B$5/Inputs!$B$13*(Inputs!$C$13*(Inputs!$C$29*NGS_Archaea_Input!$B$15-F60)+Inputs!$D$13*(F15-F60)+Inputs!$E$13*(Inputs!$D$29*NGS_Archaea_Input!$C$15-F60)))</f>
        <v>14072221.15162044</v>
      </c>
      <c r="H60" s="21">
        <f>IF(G60="","",G60+Inputs!$B$5/Inputs!$B$13*(Inputs!$C$13*(Inputs!$C$29*NGS_Archaea_Input!$B$15-G60)+Inputs!$D$13*(G15-G60)+Inputs!$E$13*(Inputs!$D$29*NGS_Archaea_Input!$C$15-G60)))</f>
        <v>13717664.003391238</v>
      </c>
      <c r="I60" s="21">
        <f>IF(H60="","",H60+Inputs!$B$5/Inputs!$B$13*(Inputs!$C$13*(Inputs!$C$29*NGS_Archaea_Input!$B$15-H60)+Inputs!$D$13*(H15-H60)+Inputs!$E$13*(Inputs!$D$29*NGS_Archaea_Input!$C$15-H60)))</f>
        <v>13376569.063857403</v>
      </c>
      <c r="J60" s="21">
        <f>IF(I60="","",I60+Inputs!$B$5/Inputs!$B$13*(Inputs!$C$13*(Inputs!$C$29*NGS_Archaea_Input!$B$15-I60)+Inputs!$D$13*(I15-I60)+Inputs!$E$13*(Inputs!$D$29*NGS_Archaea_Input!$C$15-I60)))</f>
        <v>13048365.826149907</v>
      </c>
      <c r="K60" s="21">
        <f>IF(J60="","",J60+Inputs!$B$5/Inputs!$B$13*(Inputs!$C$13*(Inputs!$C$29*NGS_Archaea_Input!$B$15-J60)+Inputs!$D$13*(J15-J60)+Inputs!$E$13*(Inputs!$D$29*NGS_Archaea_Input!$C$15-J60)))</f>
        <v>12732509.520426132</v>
      </c>
      <c r="L60" s="21">
        <f>IF(K60="","",K60+Inputs!$B$5/Inputs!$B$13*(Inputs!$C$13*(Inputs!$C$29*NGS_Archaea_Input!$B$15-K60)+Inputs!$D$13*(K15-K60)+Inputs!$E$13*(Inputs!$D$29*NGS_Archaea_Input!$C$15-K60)))</f>
        <v>12428479.916312532</v>
      </c>
      <c r="M60" s="21">
        <f>IF(L60="","",L60+Inputs!$B$5/Inputs!$B$13*(Inputs!$C$13*(Inputs!$C$29*NGS_Archaea_Input!$B$15-L60)+Inputs!$D$13*(L15-L60)+Inputs!$E$13*(Inputs!$D$29*NGS_Archaea_Input!$C$15-L60)))</f>
        <v>12135780.181859691</v>
      </c>
      <c r="N60" s="21">
        <f>IF(M60="","",M60+Inputs!$B$5/Inputs!$B$13*(Inputs!$C$13*(Inputs!$C$29*NGS_Archaea_Input!$B$15-M60)+Inputs!$D$13*(M15-M60)+Inputs!$E$13*(Inputs!$D$29*NGS_Archaea_Input!$C$15-M60)))</f>
        <v>11853935.796327073</v>
      </c>
      <c r="O60" s="21">
        <f>IF(N60="","",N60+Inputs!$B$5/Inputs!$B$13*(Inputs!$C$13*(Inputs!$C$29*NGS_Archaea_Input!$B$15-N60)+Inputs!$D$13*(N15-N60)+Inputs!$E$13*(Inputs!$D$29*NGS_Archaea_Input!$C$15-N60)))</f>
        <v>11582493.514242465</v>
      </c>
      <c r="P60" s="21">
        <f>IF(O60="","",O60+Inputs!$B$5/Inputs!$B$13*(Inputs!$C$13*(Inputs!$C$29*NGS_Archaea_Input!$B$15-O60)+Inputs!$D$13*(O15-O60)+Inputs!$E$13*(Inputs!$D$29*NGS_Archaea_Input!$C$15-O60)))</f>
        <v>11321020.378302569</v>
      </c>
      <c r="Q60" s="21">
        <f>IF(P60="","",P60+Inputs!$B$5/Inputs!$B$13*(Inputs!$C$13*(Inputs!$C$29*NGS_Archaea_Input!$B$15-P60)+Inputs!$D$13*(P15-P60)+Inputs!$E$13*(Inputs!$D$29*NGS_Archaea_Input!$C$15-P60)))</f>
        <v>11069102.778797051</v>
      </c>
      <c r="R60" s="21">
        <f>IF(Q60="","",Q60+Inputs!$B$5/Inputs!$B$13*(Inputs!$C$13*(Inputs!$C$29*NGS_Archaea_Input!$B$15-Q60)+Inputs!$D$13*(Q15-Q60)+Inputs!$E$13*(Inputs!$D$29*NGS_Archaea_Input!$C$15-Q60)))</f>
        <v>10826345.557348555</v>
      </c>
      <c r="S60" s="21">
        <f>IF(R60="","",R60+Inputs!$B$5/Inputs!$B$13*(Inputs!$C$13*(Inputs!$C$29*NGS_Archaea_Input!$B$15-R60)+Inputs!$D$13*(R15-R60)+Inputs!$E$13*(Inputs!$D$29*NGS_Archaea_Input!$C$15-R60)))</f>
        <v>10592371.152866218</v>
      </c>
      <c r="T60" s="21">
        <f>IF(S60="","",S60+Inputs!$B$5/Inputs!$B$13*(Inputs!$C$13*(Inputs!$C$29*NGS_Archaea_Input!$B$15-S60)+Inputs!$D$13*(S15-S60)+Inputs!$E$13*(Inputs!$D$29*NGS_Archaea_Input!$C$15-S60)))</f>
        <v>10366818.787710225</v>
      </c>
      <c r="U60" s="21">
        <f>IF(T60="","",T60+Inputs!$B$5/Inputs!$B$13*(Inputs!$C$13*(Inputs!$C$29*NGS_Archaea_Input!$B$15-T60)+Inputs!$D$13*(T15-T60)+Inputs!$E$13*(Inputs!$D$29*NGS_Archaea_Input!$C$15-T60)))</f>
        <v>10149343.692160189</v>
      </c>
      <c r="V60" s="21">
        <f>IF(U60="","",U60+Inputs!$B$5/Inputs!$B$13*(Inputs!$C$13*(Inputs!$C$29*NGS_Archaea_Input!$B$15-U60)+Inputs!$D$13*(U15-U60)+Inputs!$E$13*(Inputs!$D$29*NGS_Archaea_Input!$C$15-U60)))</f>
        <v>9939616.3653708734</v>
      </c>
      <c r="W60" s="21">
        <f>IF(V60="","",V60+Inputs!$B$5/Inputs!$B$13*(Inputs!$C$13*(Inputs!$C$29*NGS_Archaea_Input!$B$15-V60)+Inputs!$D$13*(V15-V60)+Inputs!$E$13*(Inputs!$D$29*NGS_Archaea_Input!$C$15-V60)))</f>
        <v>9737321.8710851464</v>
      </c>
    </row>
    <row r="61" spans="1:23" ht="18" customHeight="1" x14ac:dyDescent="0.25"/>
    <row r="62" spans="1:23" ht="18" customHeight="1" x14ac:dyDescent="0.25">
      <c r="A62" s="25" t="s">
        <v>162</v>
      </c>
    </row>
    <row r="63" spans="1:23" ht="18" customHeight="1" x14ac:dyDescent="0.25">
      <c r="A63" s="11" t="str">
        <f>NGS_Archaea_Input!A5</f>
        <v>Arc_taxon_1</v>
      </c>
      <c r="B63" s="14">
        <f>IF(BAC_ARC_Daily!J5&lt;&gt;0,B50/BAC_ARC_Daily!J5,"")</f>
        <v>0</v>
      </c>
      <c r="C63" s="14">
        <f>IF(BAC_ARC_Daily!J6&lt;&gt;0,C50/BAC_ARC_Daily!J6,"")</f>
        <v>0</v>
      </c>
      <c r="D63" s="14">
        <f>IF(BAC_ARC_Daily!J7&lt;&gt;0,D50/BAC_ARC_Daily!J7,"")</f>
        <v>0</v>
      </c>
      <c r="E63" s="14">
        <f>IF(BAC_ARC_Daily!J8&lt;&gt;0,E50/BAC_ARC_Daily!J8,"")</f>
        <v>0</v>
      </c>
      <c r="F63" s="14">
        <f>IF(BAC_ARC_Daily!J9&lt;&gt;0,F50/BAC_ARC_Daily!J9,"")</f>
        <v>0</v>
      </c>
      <c r="G63" s="14">
        <f>IF(BAC_ARC_Daily!J10&lt;&gt;0,G50/BAC_ARC_Daily!J10,"")</f>
        <v>0</v>
      </c>
      <c r="H63" s="14">
        <f>IF(BAC_ARC_Daily!J11&lt;&gt;0,H50/BAC_ARC_Daily!J11,"")</f>
        <v>0</v>
      </c>
      <c r="I63" s="14">
        <f>IF(BAC_ARC_Daily!J12&lt;&gt;0,I50/BAC_ARC_Daily!J12,"")</f>
        <v>0</v>
      </c>
      <c r="J63" s="14">
        <f>IF(BAC_ARC_Daily!J13&lt;&gt;0,J50/BAC_ARC_Daily!J13,"")</f>
        <v>0</v>
      </c>
      <c r="K63" s="14">
        <f>IF(BAC_ARC_Daily!J14&lt;&gt;0,K50/BAC_ARC_Daily!J14,"")</f>
        <v>0</v>
      </c>
      <c r="L63" s="14">
        <f>IF(BAC_ARC_Daily!J15&lt;&gt;0,L50/BAC_ARC_Daily!J15,"")</f>
        <v>0</v>
      </c>
      <c r="M63" s="14">
        <f>IF(BAC_ARC_Daily!J16&lt;&gt;0,M50/BAC_ARC_Daily!J16,"")</f>
        <v>0</v>
      </c>
      <c r="N63" s="14">
        <f>IF(BAC_ARC_Daily!J17&lt;&gt;0,N50/BAC_ARC_Daily!J17,"")</f>
        <v>0</v>
      </c>
      <c r="O63" s="14">
        <f>IF(BAC_ARC_Daily!J18&lt;&gt;0,O50/BAC_ARC_Daily!J18,"")</f>
        <v>0</v>
      </c>
      <c r="P63" s="14">
        <f>IF(BAC_ARC_Daily!J19&lt;&gt;0,P50/BAC_ARC_Daily!J19,"")</f>
        <v>0</v>
      </c>
      <c r="Q63" s="14">
        <f>IF(BAC_ARC_Daily!J20&lt;&gt;0,Q50/BAC_ARC_Daily!J20,"")</f>
        <v>0</v>
      </c>
      <c r="R63" s="14">
        <f>IF(BAC_ARC_Daily!J21&lt;&gt;0,R50/BAC_ARC_Daily!J21,"")</f>
        <v>0</v>
      </c>
      <c r="S63" s="14">
        <f>IF(BAC_ARC_Daily!J22&lt;&gt;0,S50/BAC_ARC_Daily!J22,"")</f>
        <v>0</v>
      </c>
      <c r="T63" s="14">
        <f>IF(BAC_ARC_Daily!J23&lt;&gt;0,T50/BAC_ARC_Daily!J23,"")</f>
        <v>0</v>
      </c>
      <c r="U63" s="14">
        <f>IF(BAC_ARC_Daily!J24&lt;&gt;0,U50/BAC_ARC_Daily!J24,"")</f>
        <v>0</v>
      </c>
      <c r="V63" s="14">
        <f>IF(BAC_ARC_Daily!J25&lt;&gt;0,V50/BAC_ARC_Daily!J25,"")</f>
        <v>0</v>
      </c>
      <c r="W63" s="14">
        <f>IF(BAC_ARC_Daily!J26&lt;&gt;0,W50/BAC_ARC_Daily!J26,"")</f>
        <v>0</v>
      </c>
    </row>
    <row r="64" spans="1:23" ht="18" customHeight="1" x14ac:dyDescent="0.25">
      <c r="A64" s="11" t="str">
        <f>NGS_Archaea_Input!A6</f>
        <v>Arc_taxon_2</v>
      </c>
      <c r="B64" s="14">
        <f>IF(BAC_ARC_Daily!J5&lt;&gt;0,B51/BAC_ARC_Daily!J5,"")</f>
        <v>0</v>
      </c>
      <c r="C64" s="14">
        <f>IF(BAC_ARC_Daily!J6&lt;&gt;0,C51/BAC_ARC_Daily!J6,"")</f>
        <v>0</v>
      </c>
      <c r="D64" s="14">
        <f>IF(BAC_ARC_Daily!J7&lt;&gt;0,D51/BAC_ARC_Daily!J7,"")</f>
        <v>0</v>
      </c>
      <c r="E64" s="14">
        <f>IF(BAC_ARC_Daily!J8&lt;&gt;0,E51/BAC_ARC_Daily!J8,"")</f>
        <v>0</v>
      </c>
      <c r="F64" s="14">
        <f>IF(BAC_ARC_Daily!J9&lt;&gt;0,F51/BAC_ARC_Daily!J9,"")</f>
        <v>0</v>
      </c>
      <c r="G64" s="14">
        <f>IF(BAC_ARC_Daily!J10&lt;&gt;0,G51/BAC_ARC_Daily!J10,"")</f>
        <v>0</v>
      </c>
      <c r="H64" s="14">
        <f>IF(BAC_ARC_Daily!J11&lt;&gt;0,H51/BAC_ARC_Daily!J11,"")</f>
        <v>0</v>
      </c>
      <c r="I64" s="14">
        <f>IF(BAC_ARC_Daily!J12&lt;&gt;0,I51/BAC_ARC_Daily!J12,"")</f>
        <v>0</v>
      </c>
      <c r="J64" s="14">
        <f>IF(BAC_ARC_Daily!J13&lt;&gt;0,J51/BAC_ARC_Daily!J13,"")</f>
        <v>0</v>
      </c>
      <c r="K64" s="14">
        <f>IF(BAC_ARC_Daily!J14&lt;&gt;0,K51/BAC_ARC_Daily!J14,"")</f>
        <v>0</v>
      </c>
      <c r="L64" s="14">
        <f>IF(BAC_ARC_Daily!J15&lt;&gt;0,L51/BAC_ARC_Daily!J15,"")</f>
        <v>0</v>
      </c>
      <c r="M64" s="14">
        <f>IF(BAC_ARC_Daily!J16&lt;&gt;0,M51/BAC_ARC_Daily!J16,"")</f>
        <v>0</v>
      </c>
      <c r="N64" s="14">
        <f>IF(BAC_ARC_Daily!J17&lt;&gt;0,N51/BAC_ARC_Daily!J17,"")</f>
        <v>0</v>
      </c>
      <c r="O64" s="14">
        <f>IF(BAC_ARC_Daily!J18&lt;&gt;0,O51/BAC_ARC_Daily!J18,"")</f>
        <v>0</v>
      </c>
      <c r="P64" s="14">
        <f>IF(BAC_ARC_Daily!J19&lt;&gt;0,P51/BAC_ARC_Daily!J19,"")</f>
        <v>0</v>
      </c>
      <c r="Q64" s="14">
        <f>IF(BAC_ARC_Daily!J20&lt;&gt;0,Q51/BAC_ARC_Daily!J20,"")</f>
        <v>0</v>
      </c>
      <c r="R64" s="14">
        <f>IF(BAC_ARC_Daily!J21&lt;&gt;0,R51/BAC_ARC_Daily!J21,"")</f>
        <v>0</v>
      </c>
      <c r="S64" s="14">
        <f>IF(BAC_ARC_Daily!J22&lt;&gt;0,S51/BAC_ARC_Daily!J22,"")</f>
        <v>0</v>
      </c>
      <c r="T64" s="14">
        <f>IF(BAC_ARC_Daily!J23&lt;&gt;0,T51/BAC_ARC_Daily!J23,"")</f>
        <v>0</v>
      </c>
      <c r="U64" s="14">
        <f>IF(BAC_ARC_Daily!J24&lt;&gt;0,U51/BAC_ARC_Daily!J24,"")</f>
        <v>0</v>
      </c>
      <c r="V64" s="14">
        <f>IF(BAC_ARC_Daily!J25&lt;&gt;0,V51/BAC_ARC_Daily!J25,"")</f>
        <v>0</v>
      </c>
      <c r="W64" s="14">
        <f>IF(BAC_ARC_Daily!J26&lt;&gt;0,W51/BAC_ARC_Daily!J26,"")</f>
        <v>0</v>
      </c>
    </row>
    <row r="65" spans="1:23" ht="18" customHeight="1" x14ac:dyDescent="0.25">
      <c r="A65" s="11" t="str">
        <f>NGS_Archaea_Input!A7</f>
        <v>Arc_taxon_3</v>
      </c>
      <c r="B65" s="14">
        <f>IF(BAC_ARC_Daily!J5&lt;&gt;0,B52/BAC_ARC_Daily!J5,"")</f>
        <v>0</v>
      </c>
      <c r="C65" s="14">
        <f>IF(BAC_ARC_Daily!J6&lt;&gt;0,C52/BAC_ARC_Daily!J6,"")</f>
        <v>0</v>
      </c>
      <c r="D65" s="14">
        <f>IF(BAC_ARC_Daily!J7&lt;&gt;0,D52/BAC_ARC_Daily!J7,"")</f>
        <v>0</v>
      </c>
      <c r="E65" s="14">
        <f>IF(BAC_ARC_Daily!J8&lt;&gt;0,E52/BAC_ARC_Daily!J8,"")</f>
        <v>0</v>
      </c>
      <c r="F65" s="14">
        <f>IF(BAC_ARC_Daily!J9&lt;&gt;0,F52/BAC_ARC_Daily!J9,"")</f>
        <v>0</v>
      </c>
      <c r="G65" s="14">
        <f>IF(BAC_ARC_Daily!J10&lt;&gt;0,G52/BAC_ARC_Daily!J10,"")</f>
        <v>0</v>
      </c>
      <c r="H65" s="14">
        <f>IF(BAC_ARC_Daily!J11&lt;&gt;0,H52/BAC_ARC_Daily!J11,"")</f>
        <v>0</v>
      </c>
      <c r="I65" s="14">
        <f>IF(BAC_ARC_Daily!J12&lt;&gt;0,I52/BAC_ARC_Daily!J12,"")</f>
        <v>0</v>
      </c>
      <c r="J65" s="14">
        <f>IF(BAC_ARC_Daily!J13&lt;&gt;0,J52/BAC_ARC_Daily!J13,"")</f>
        <v>0</v>
      </c>
      <c r="K65" s="14">
        <f>IF(BAC_ARC_Daily!J14&lt;&gt;0,K52/BAC_ARC_Daily!J14,"")</f>
        <v>0</v>
      </c>
      <c r="L65" s="14">
        <f>IF(BAC_ARC_Daily!J15&lt;&gt;0,L52/BAC_ARC_Daily!J15,"")</f>
        <v>0</v>
      </c>
      <c r="M65" s="14">
        <f>IF(BAC_ARC_Daily!J16&lt;&gt;0,M52/BAC_ARC_Daily!J16,"")</f>
        <v>0</v>
      </c>
      <c r="N65" s="14">
        <f>IF(BAC_ARC_Daily!J17&lt;&gt;0,N52/BAC_ARC_Daily!J17,"")</f>
        <v>0</v>
      </c>
      <c r="O65" s="14">
        <f>IF(BAC_ARC_Daily!J18&lt;&gt;0,O52/BAC_ARC_Daily!J18,"")</f>
        <v>0</v>
      </c>
      <c r="P65" s="14">
        <f>IF(BAC_ARC_Daily!J19&lt;&gt;0,P52/BAC_ARC_Daily!J19,"")</f>
        <v>0</v>
      </c>
      <c r="Q65" s="14">
        <f>IF(BAC_ARC_Daily!J20&lt;&gt;0,Q52/BAC_ARC_Daily!J20,"")</f>
        <v>0</v>
      </c>
      <c r="R65" s="14">
        <f>IF(BAC_ARC_Daily!J21&lt;&gt;0,R52/BAC_ARC_Daily!J21,"")</f>
        <v>0</v>
      </c>
      <c r="S65" s="14">
        <f>IF(BAC_ARC_Daily!J22&lt;&gt;0,S52/BAC_ARC_Daily!J22,"")</f>
        <v>0</v>
      </c>
      <c r="T65" s="14">
        <f>IF(BAC_ARC_Daily!J23&lt;&gt;0,T52/BAC_ARC_Daily!J23,"")</f>
        <v>0</v>
      </c>
      <c r="U65" s="14">
        <f>IF(BAC_ARC_Daily!J24&lt;&gt;0,U52/BAC_ARC_Daily!J24,"")</f>
        <v>0</v>
      </c>
      <c r="V65" s="14">
        <f>IF(BAC_ARC_Daily!J25&lt;&gt;0,V52/BAC_ARC_Daily!J25,"")</f>
        <v>0</v>
      </c>
      <c r="W65" s="14">
        <f>IF(BAC_ARC_Daily!J26&lt;&gt;0,W52/BAC_ARC_Daily!J26,"")</f>
        <v>0</v>
      </c>
    </row>
    <row r="66" spans="1:23" ht="18" customHeight="1" x14ac:dyDescent="0.25">
      <c r="A66" s="11" t="str">
        <f>NGS_Archaea_Input!A8</f>
        <v>Arc_taxon_4</v>
      </c>
      <c r="B66" s="14">
        <f>IF(BAC_ARC_Daily!J5&lt;&gt;0,B53/BAC_ARC_Daily!J5,"")</f>
        <v>0</v>
      </c>
      <c r="C66" s="14">
        <f>IF(BAC_ARC_Daily!J6&lt;&gt;0,C53/BAC_ARC_Daily!J6,"")</f>
        <v>0</v>
      </c>
      <c r="D66" s="14">
        <f>IF(BAC_ARC_Daily!J7&lt;&gt;0,D53/BAC_ARC_Daily!J7,"")</f>
        <v>0</v>
      </c>
      <c r="E66" s="14">
        <f>IF(BAC_ARC_Daily!J8&lt;&gt;0,E53/BAC_ARC_Daily!J8,"")</f>
        <v>0</v>
      </c>
      <c r="F66" s="14">
        <f>IF(BAC_ARC_Daily!J9&lt;&gt;0,F53/BAC_ARC_Daily!J9,"")</f>
        <v>0</v>
      </c>
      <c r="G66" s="14">
        <f>IF(BAC_ARC_Daily!J10&lt;&gt;0,G53/BAC_ARC_Daily!J10,"")</f>
        <v>0</v>
      </c>
      <c r="H66" s="14">
        <f>IF(BAC_ARC_Daily!J11&lt;&gt;0,H53/BAC_ARC_Daily!J11,"")</f>
        <v>0</v>
      </c>
      <c r="I66" s="14">
        <f>IF(BAC_ARC_Daily!J12&lt;&gt;0,I53/BAC_ARC_Daily!J12,"")</f>
        <v>0</v>
      </c>
      <c r="J66" s="14">
        <f>IF(BAC_ARC_Daily!J13&lt;&gt;0,J53/BAC_ARC_Daily!J13,"")</f>
        <v>0</v>
      </c>
      <c r="K66" s="14">
        <f>IF(BAC_ARC_Daily!J14&lt;&gt;0,K53/BAC_ARC_Daily!J14,"")</f>
        <v>0</v>
      </c>
      <c r="L66" s="14">
        <f>IF(BAC_ARC_Daily!J15&lt;&gt;0,L53/BAC_ARC_Daily!J15,"")</f>
        <v>0</v>
      </c>
      <c r="M66" s="14">
        <f>IF(BAC_ARC_Daily!J16&lt;&gt;0,M53/BAC_ARC_Daily!J16,"")</f>
        <v>0</v>
      </c>
      <c r="N66" s="14">
        <f>IF(BAC_ARC_Daily!J17&lt;&gt;0,N53/BAC_ARC_Daily!J17,"")</f>
        <v>0</v>
      </c>
      <c r="O66" s="14">
        <f>IF(BAC_ARC_Daily!J18&lt;&gt;0,O53/BAC_ARC_Daily!J18,"")</f>
        <v>0</v>
      </c>
      <c r="P66" s="14">
        <f>IF(BAC_ARC_Daily!J19&lt;&gt;0,P53/BAC_ARC_Daily!J19,"")</f>
        <v>0</v>
      </c>
      <c r="Q66" s="14">
        <f>IF(BAC_ARC_Daily!J20&lt;&gt;0,Q53/BAC_ARC_Daily!J20,"")</f>
        <v>0</v>
      </c>
      <c r="R66" s="14">
        <f>IF(BAC_ARC_Daily!J21&lt;&gt;0,R53/BAC_ARC_Daily!J21,"")</f>
        <v>0</v>
      </c>
      <c r="S66" s="14">
        <f>IF(BAC_ARC_Daily!J22&lt;&gt;0,S53/BAC_ARC_Daily!J22,"")</f>
        <v>0</v>
      </c>
      <c r="T66" s="14">
        <f>IF(BAC_ARC_Daily!J23&lt;&gt;0,T53/BAC_ARC_Daily!J23,"")</f>
        <v>0</v>
      </c>
      <c r="U66" s="14">
        <f>IF(BAC_ARC_Daily!J24&lt;&gt;0,U53/BAC_ARC_Daily!J24,"")</f>
        <v>0</v>
      </c>
      <c r="V66" s="14">
        <f>IF(BAC_ARC_Daily!J25&lt;&gt;0,V53/BAC_ARC_Daily!J25,"")</f>
        <v>0</v>
      </c>
      <c r="W66" s="14">
        <f>IF(BAC_ARC_Daily!J26&lt;&gt;0,W53/BAC_ARC_Daily!J26,"")</f>
        <v>0</v>
      </c>
    </row>
    <row r="67" spans="1:23" ht="18" customHeight="1" x14ac:dyDescent="0.25">
      <c r="A67" s="11" t="str">
        <f>NGS_Archaea_Input!A9</f>
        <v>Arc_taxon_5</v>
      </c>
      <c r="B67" s="14">
        <f>IF(BAC_ARC_Daily!J5&lt;&gt;0,B54/BAC_ARC_Daily!J5,"")</f>
        <v>0</v>
      </c>
      <c r="C67" s="14">
        <f>IF(BAC_ARC_Daily!J6&lt;&gt;0,C54/BAC_ARC_Daily!J6,"")</f>
        <v>0</v>
      </c>
      <c r="D67" s="14">
        <f>IF(BAC_ARC_Daily!J7&lt;&gt;0,D54/BAC_ARC_Daily!J7,"")</f>
        <v>0</v>
      </c>
      <c r="E67" s="14">
        <f>IF(BAC_ARC_Daily!J8&lt;&gt;0,E54/BAC_ARC_Daily!J8,"")</f>
        <v>0</v>
      </c>
      <c r="F67" s="14">
        <f>IF(BAC_ARC_Daily!J9&lt;&gt;0,F54/BAC_ARC_Daily!J9,"")</f>
        <v>0</v>
      </c>
      <c r="G67" s="14">
        <f>IF(BAC_ARC_Daily!J10&lt;&gt;0,G54/BAC_ARC_Daily!J10,"")</f>
        <v>0</v>
      </c>
      <c r="H67" s="14">
        <f>IF(BAC_ARC_Daily!J11&lt;&gt;0,H54/BAC_ARC_Daily!J11,"")</f>
        <v>0</v>
      </c>
      <c r="I67" s="14">
        <f>IF(BAC_ARC_Daily!J12&lt;&gt;0,I54/BAC_ARC_Daily!J12,"")</f>
        <v>0</v>
      </c>
      <c r="J67" s="14">
        <f>IF(BAC_ARC_Daily!J13&lt;&gt;0,J54/BAC_ARC_Daily!J13,"")</f>
        <v>0</v>
      </c>
      <c r="K67" s="14">
        <f>IF(BAC_ARC_Daily!J14&lt;&gt;0,K54/BAC_ARC_Daily!J14,"")</f>
        <v>0</v>
      </c>
      <c r="L67" s="14">
        <f>IF(BAC_ARC_Daily!J15&lt;&gt;0,L54/BAC_ARC_Daily!J15,"")</f>
        <v>0</v>
      </c>
      <c r="M67" s="14">
        <f>IF(BAC_ARC_Daily!J16&lt;&gt;0,M54/BAC_ARC_Daily!J16,"")</f>
        <v>0</v>
      </c>
      <c r="N67" s="14">
        <f>IF(BAC_ARC_Daily!J17&lt;&gt;0,N54/BAC_ARC_Daily!J17,"")</f>
        <v>0</v>
      </c>
      <c r="O67" s="14">
        <f>IF(BAC_ARC_Daily!J18&lt;&gt;0,O54/BAC_ARC_Daily!J18,"")</f>
        <v>0</v>
      </c>
      <c r="P67" s="14">
        <f>IF(BAC_ARC_Daily!J19&lt;&gt;0,P54/BAC_ARC_Daily!J19,"")</f>
        <v>0</v>
      </c>
      <c r="Q67" s="14">
        <f>IF(BAC_ARC_Daily!J20&lt;&gt;0,Q54/BAC_ARC_Daily!J20,"")</f>
        <v>0</v>
      </c>
      <c r="R67" s="14">
        <f>IF(BAC_ARC_Daily!J21&lt;&gt;0,R54/BAC_ARC_Daily!J21,"")</f>
        <v>0</v>
      </c>
      <c r="S67" s="14">
        <f>IF(BAC_ARC_Daily!J22&lt;&gt;0,S54/BAC_ARC_Daily!J22,"")</f>
        <v>0</v>
      </c>
      <c r="T67" s="14">
        <f>IF(BAC_ARC_Daily!J23&lt;&gt;0,T54/BAC_ARC_Daily!J23,"")</f>
        <v>0</v>
      </c>
      <c r="U67" s="14">
        <f>IF(BAC_ARC_Daily!J24&lt;&gt;0,U54/BAC_ARC_Daily!J24,"")</f>
        <v>0</v>
      </c>
      <c r="V67" s="14">
        <f>IF(BAC_ARC_Daily!J25&lt;&gt;0,V54/BAC_ARC_Daily!J25,"")</f>
        <v>0</v>
      </c>
      <c r="W67" s="14">
        <f>IF(BAC_ARC_Daily!J26&lt;&gt;0,W54/BAC_ARC_Daily!J26,"")</f>
        <v>0</v>
      </c>
    </row>
    <row r="68" spans="1:23" ht="18" customHeight="1" x14ac:dyDescent="0.25">
      <c r="A68" s="11" t="str">
        <f>NGS_Archaea_Input!A10</f>
        <v>Arc_taxon_6</v>
      </c>
      <c r="B68" s="14">
        <f>IF(BAC_ARC_Daily!J5&lt;&gt;0,B55/BAC_ARC_Daily!J5,"")</f>
        <v>0</v>
      </c>
      <c r="C68" s="14">
        <f>IF(BAC_ARC_Daily!J6&lt;&gt;0,C55/BAC_ARC_Daily!J6,"")</f>
        <v>0</v>
      </c>
      <c r="D68" s="14">
        <f>IF(BAC_ARC_Daily!J7&lt;&gt;0,D55/BAC_ARC_Daily!J7,"")</f>
        <v>0</v>
      </c>
      <c r="E68" s="14">
        <f>IF(BAC_ARC_Daily!J8&lt;&gt;0,E55/BAC_ARC_Daily!J8,"")</f>
        <v>0</v>
      </c>
      <c r="F68" s="14">
        <f>IF(BAC_ARC_Daily!J9&lt;&gt;0,F55/BAC_ARC_Daily!J9,"")</f>
        <v>0</v>
      </c>
      <c r="G68" s="14">
        <f>IF(BAC_ARC_Daily!J10&lt;&gt;0,G55/BAC_ARC_Daily!J10,"")</f>
        <v>0</v>
      </c>
      <c r="H68" s="14">
        <f>IF(BAC_ARC_Daily!J11&lt;&gt;0,H55/BAC_ARC_Daily!J11,"")</f>
        <v>0</v>
      </c>
      <c r="I68" s="14">
        <f>IF(BAC_ARC_Daily!J12&lt;&gt;0,I55/BAC_ARC_Daily!J12,"")</f>
        <v>0</v>
      </c>
      <c r="J68" s="14">
        <f>IF(BAC_ARC_Daily!J13&lt;&gt;0,J55/BAC_ARC_Daily!J13,"")</f>
        <v>0</v>
      </c>
      <c r="K68" s="14">
        <f>IF(BAC_ARC_Daily!J14&lt;&gt;0,K55/BAC_ARC_Daily!J14,"")</f>
        <v>0</v>
      </c>
      <c r="L68" s="14">
        <f>IF(BAC_ARC_Daily!J15&lt;&gt;0,L55/BAC_ARC_Daily!J15,"")</f>
        <v>0</v>
      </c>
      <c r="M68" s="14">
        <f>IF(BAC_ARC_Daily!J16&lt;&gt;0,M55/BAC_ARC_Daily!J16,"")</f>
        <v>0</v>
      </c>
      <c r="N68" s="14">
        <f>IF(BAC_ARC_Daily!J17&lt;&gt;0,N55/BAC_ARC_Daily!J17,"")</f>
        <v>0</v>
      </c>
      <c r="O68" s="14">
        <f>IF(BAC_ARC_Daily!J18&lt;&gt;0,O55/BAC_ARC_Daily!J18,"")</f>
        <v>0</v>
      </c>
      <c r="P68" s="14">
        <f>IF(BAC_ARC_Daily!J19&lt;&gt;0,P55/BAC_ARC_Daily!J19,"")</f>
        <v>0</v>
      </c>
      <c r="Q68" s="14">
        <f>IF(BAC_ARC_Daily!J20&lt;&gt;0,Q55/BAC_ARC_Daily!J20,"")</f>
        <v>0</v>
      </c>
      <c r="R68" s="14">
        <f>IF(BAC_ARC_Daily!J21&lt;&gt;0,R55/BAC_ARC_Daily!J21,"")</f>
        <v>0</v>
      </c>
      <c r="S68" s="14">
        <f>IF(BAC_ARC_Daily!J22&lt;&gt;0,S55/BAC_ARC_Daily!J22,"")</f>
        <v>0</v>
      </c>
      <c r="T68" s="14">
        <f>IF(BAC_ARC_Daily!J23&lt;&gt;0,T55/BAC_ARC_Daily!J23,"")</f>
        <v>0</v>
      </c>
      <c r="U68" s="14">
        <f>IF(BAC_ARC_Daily!J24&lt;&gt;0,U55/BAC_ARC_Daily!J24,"")</f>
        <v>0</v>
      </c>
      <c r="V68" s="14">
        <f>IF(BAC_ARC_Daily!J25&lt;&gt;0,V55/BAC_ARC_Daily!J25,"")</f>
        <v>0</v>
      </c>
      <c r="W68" s="14">
        <f>IF(BAC_ARC_Daily!J26&lt;&gt;0,W55/BAC_ARC_Daily!J26,"")</f>
        <v>0</v>
      </c>
    </row>
    <row r="69" spans="1:23" ht="18" customHeight="1" x14ac:dyDescent="0.25">
      <c r="A69" s="11" t="str">
        <f>NGS_Archaea_Input!A11</f>
        <v>Arc_taxon_7</v>
      </c>
      <c r="B69" s="14">
        <f>IF(BAC_ARC_Daily!J5&lt;&gt;0,B56/BAC_ARC_Daily!J5,"")</f>
        <v>0</v>
      </c>
      <c r="C69" s="14">
        <f>IF(BAC_ARC_Daily!J6&lt;&gt;0,C56/BAC_ARC_Daily!J6,"")</f>
        <v>0</v>
      </c>
      <c r="D69" s="14">
        <f>IF(BAC_ARC_Daily!J7&lt;&gt;0,D56/BAC_ARC_Daily!J7,"")</f>
        <v>0</v>
      </c>
      <c r="E69" s="14">
        <f>IF(BAC_ARC_Daily!J8&lt;&gt;0,E56/BAC_ARC_Daily!J8,"")</f>
        <v>0</v>
      </c>
      <c r="F69" s="14">
        <f>IF(BAC_ARC_Daily!J9&lt;&gt;0,F56/BAC_ARC_Daily!J9,"")</f>
        <v>0</v>
      </c>
      <c r="G69" s="14">
        <f>IF(BAC_ARC_Daily!J10&lt;&gt;0,G56/BAC_ARC_Daily!J10,"")</f>
        <v>0</v>
      </c>
      <c r="H69" s="14">
        <f>IF(BAC_ARC_Daily!J11&lt;&gt;0,H56/BAC_ARC_Daily!J11,"")</f>
        <v>0</v>
      </c>
      <c r="I69" s="14">
        <f>IF(BAC_ARC_Daily!J12&lt;&gt;0,I56/BAC_ARC_Daily!J12,"")</f>
        <v>0</v>
      </c>
      <c r="J69" s="14">
        <f>IF(BAC_ARC_Daily!J13&lt;&gt;0,J56/BAC_ARC_Daily!J13,"")</f>
        <v>0</v>
      </c>
      <c r="K69" s="14">
        <f>IF(BAC_ARC_Daily!J14&lt;&gt;0,K56/BAC_ARC_Daily!J14,"")</f>
        <v>0</v>
      </c>
      <c r="L69" s="14">
        <f>IF(BAC_ARC_Daily!J15&lt;&gt;0,L56/BAC_ARC_Daily!J15,"")</f>
        <v>0</v>
      </c>
      <c r="M69" s="14">
        <f>IF(BAC_ARC_Daily!J16&lt;&gt;0,M56/BAC_ARC_Daily!J16,"")</f>
        <v>0</v>
      </c>
      <c r="N69" s="14">
        <f>IF(BAC_ARC_Daily!J17&lt;&gt;0,N56/BAC_ARC_Daily!J17,"")</f>
        <v>0</v>
      </c>
      <c r="O69" s="14">
        <f>IF(BAC_ARC_Daily!J18&lt;&gt;0,O56/BAC_ARC_Daily!J18,"")</f>
        <v>0</v>
      </c>
      <c r="P69" s="14">
        <f>IF(BAC_ARC_Daily!J19&lt;&gt;0,P56/BAC_ARC_Daily!J19,"")</f>
        <v>0</v>
      </c>
      <c r="Q69" s="14">
        <f>IF(BAC_ARC_Daily!J20&lt;&gt;0,Q56/BAC_ARC_Daily!J20,"")</f>
        <v>0</v>
      </c>
      <c r="R69" s="14">
        <f>IF(BAC_ARC_Daily!J21&lt;&gt;0,R56/BAC_ARC_Daily!J21,"")</f>
        <v>0</v>
      </c>
      <c r="S69" s="14">
        <f>IF(BAC_ARC_Daily!J22&lt;&gt;0,S56/BAC_ARC_Daily!J22,"")</f>
        <v>0</v>
      </c>
      <c r="T69" s="14">
        <f>IF(BAC_ARC_Daily!J23&lt;&gt;0,T56/BAC_ARC_Daily!J23,"")</f>
        <v>0</v>
      </c>
      <c r="U69" s="14">
        <f>IF(BAC_ARC_Daily!J24&lt;&gt;0,U56/BAC_ARC_Daily!J24,"")</f>
        <v>0</v>
      </c>
      <c r="V69" s="14">
        <f>IF(BAC_ARC_Daily!J25&lt;&gt;0,V56/BAC_ARC_Daily!J25,"")</f>
        <v>0</v>
      </c>
      <c r="W69" s="14">
        <f>IF(BAC_ARC_Daily!J26&lt;&gt;0,W56/BAC_ARC_Daily!J26,"")</f>
        <v>0</v>
      </c>
    </row>
    <row r="70" spans="1:23" ht="18" customHeight="1" x14ac:dyDescent="0.25">
      <c r="A70" s="11" t="str">
        <f>NGS_Archaea_Input!A12</f>
        <v>Arc_taxon_8</v>
      </c>
      <c r="B70" s="14">
        <f>IF(BAC_ARC_Daily!J5&lt;&gt;0,B57/BAC_ARC_Daily!J5,"")</f>
        <v>0</v>
      </c>
      <c r="C70" s="14">
        <f>IF(BAC_ARC_Daily!J6&lt;&gt;0,C57/BAC_ARC_Daily!J6,"")</f>
        <v>0</v>
      </c>
      <c r="D70" s="14">
        <f>IF(BAC_ARC_Daily!J7&lt;&gt;0,D57/BAC_ARC_Daily!J7,"")</f>
        <v>0</v>
      </c>
      <c r="E70" s="14">
        <f>IF(BAC_ARC_Daily!J8&lt;&gt;0,E57/BAC_ARC_Daily!J8,"")</f>
        <v>0</v>
      </c>
      <c r="F70" s="14">
        <f>IF(BAC_ARC_Daily!J9&lt;&gt;0,F57/BAC_ARC_Daily!J9,"")</f>
        <v>0</v>
      </c>
      <c r="G70" s="14">
        <f>IF(BAC_ARC_Daily!J10&lt;&gt;0,G57/BAC_ARC_Daily!J10,"")</f>
        <v>0</v>
      </c>
      <c r="H70" s="14">
        <f>IF(BAC_ARC_Daily!J11&lt;&gt;0,H57/BAC_ARC_Daily!J11,"")</f>
        <v>0</v>
      </c>
      <c r="I70" s="14">
        <f>IF(BAC_ARC_Daily!J12&lt;&gt;0,I57/BAC_ARC_Daily!J12,"")</f>
        <v>0</v>
      </c>
      <c r="J70" s="14">
        <f>IF(BAC_ARC_Daily!J13&lt;&gt;0,J57/BAC_ARC_Daily!J13,"")</f>
        <v>0</v>
      </c>
      <c r="K70" s="14">
        <f>IF(BAC_ARC_Daily!J14&lt;&gt;0,K57/BAC_ARC_Daily!J14,"")</f>
        <v>0</v>
      </c>
      <c r="L70" s="14">
        <f>IF(BAC_ARC_Daily!J15&lt;&gt;0,L57/BAC_ARC_Daily!J15,"")</f>
        <v>0</v>
      </c>
      <c r="M70" s="14">
        <f>IF(BAC_ARC_Daily!J16&lt;&gt;0,M57/BAC_ARC_Daily!J16,"")</f>
        <v>0</v>
      </c>
      <c r="N70" s="14">
        <f>IF(BAC_ARC_Daily!J17&lt;&gt;0,N57/BAC_ARC_Daily!J17,"")</f>
        <v>0</v>
      </c>
      <c r="O70" s="14">
        <f>IF(BAC_ARC_Daily!J18&lt;&gt;0,O57/BAC_ARC_Daily!J18,"")</f>
        <v>0</v>
      </c>
      <c r="P70" s="14">
        <f>IF(BAC_ARC_Daily!J19&lt;&gt;0,P57/BAC_ARC_Daily!J19,"")</f>
        <v>0</v>
      </c>
      <c r="Q70" s="14">
        <f>IF(BAC_ARC_Daily!J20&lt;&gt;0,Q57/BAC_ARC_Daily!J20,"")</f>
        <v>0</v>
      </c>
      <c r="R70" s="14">
        <f>IF(BAC_ARC_Daily!J21&lt;&gt;0,R57/BAC_ARC_Daily!J21,"")</f>
        <v>0</v>
      </c>
      <c r="S70" s="14">
        <f>IF(BAC_ARC_Daily!J22&lt;&gt;0,S57/BAC_ARC_Daily!J22,"")</f>
        <v>0</v>
      </c>
      <c r="T70" s="14">
        <f>IF(BAC_ARC_Daily!J23&lt;&gt;0,T57/BAC_ARC_Daily!J23,"")</f>
        <v>0</v>
      </c>
      <c r="U70" s="14">
        <f>IF(BAC_ARC_Daily!J24&lt;&gt;0,U57/BAC_ARC_Daily!J24,"")</f>
        <v>0</v>
      </c>
      <c r="V70" s="14">
        <f>IF(BAC_ARC_Daily!J25&lt;&gt;0,V57/BAC_ARC_Daily!J25,"")</f>
        <v>0</v>
      </c>
      <c r="W70" s="14">
        <f>IF(BAC_ARC_Daily!J26&lt;&gt;0,W57/BAC_ARC_Daily!J26,"")</f>
        <v>0</v>
      </c>
    </row>
    <row r="71" spans="1:23" ht="18" customHeight="1" x14ac:dyDescent="0.25">
      <c r="A71" s="11" t="str">
        <f>NGS_Archaea_Input!A13</f>
        <v>Arc_taxon_9</v>
      </c>
      <c r="B71" s="14">
        <f>IF(BAC_ARC_Daily!J5&lt;&gt;0,B58/BAC_ARC_Daily!J5,"")</f>
        <v>0</v>
      </c>
      <c r="C71" s="14">
        <f>IF(BAC_ARC_Daily!J6&lt;&gt;0,C58/BAC_ARC_Daily!J6,"")</f>
        <v>0</v>
      </c>
      <c r="D71" s="14">
        <f>IF(BAC_ARC_Daily!J7&lt;&gt;0,D58/BAC_ARC_Daily!J7,"")</f>
        <v>0</v>
      </c>
      <c r="E71" s="14">
        <f>IF(BAC_ARC_Daily!J8&lt;&gt;0,E58/BAC_ARC_Daily!J8,"")</f>
        <v>0</v>
      </c>
      <c r="F71" s="14">
        <f>IF(BAC_ARC_Daily!J9&lt;&gt;0,F58/BAC_ARC_Daily!J9,"")</f>
        <v>0</v>
      </c>
      <c r="G71" s="14">
        <f>IF(BAC_ARC_Daily!J10&lt;&gt;0,G58/BAC_ARC_Daily!J10,"")</f>
        <v>0</v>
      </c>
      <c r="H71" s="14">
        <f>IF(BAC_ARC_Daily!J11&lt;&gt;0,H58/BAC_ARC_Daily!J11,"")</f>
        <v>0</v>
      </c>
      <c r="I71" s="14">
        <f>IF(BAC_ARC_Daily!J12&lt;&gt;0,I58/BAC_ARC_Daily!J12,"")</f>
        <v>0</v>
      </c>
      <c r="J71" s="14">
        <f>IF(BAC_ARC_Daily!J13&lt;&gt;0,J58/BAC_ARC_Daily!J13,"")</f>
        <v>0</v>
      </c>
      <c r="K71" s="14">
        <f>IF(BAC_ARC_Daily!J14&lt;&gt;0,K58/BAC_ARC_Daily!J14,"")</f>
        <v>0</v>
      </c>
      <c r="L71" s="14">
        <f>IF(BAC_ARC_Daily!J15&lt;&gt;0,L58/BAC_ARC_Daily!J15,"")</f>
        <v>0</v>
      </c>
      <c r="M71" s="14">
        <f>IF(BAC_ARC_Daily!J16&lt;&gt;0,M58/BAC_ARC_Daily!J16,"")</f>
        <v>0</v>
      </c>
      <c r="N71" s="14">
        <f>IF(BAC_ARC_Daily!J17&lt;&gt;0,N58/BAC_ARC_Daily!J17,"")</f>
        <v>0</v>
      </c>
      <c r="O71" s="14">
        <f>IF(BAC_ARC_Daily!J18&lt;&gt;0,O58/BAC_ARC_Daily!J18,"")</f>
        <v>0</v>
      </c>
      <c r="P71" s="14">
        <f>IF(BAC_ARC_Daily!J19&lt;&gt;0,P58/BAC_ARC_Daily!J19,"")</f>
        <v>0</v>
      </c>
      <c r="Q71" s="14">
        <f>IF(BAC_ARC_Daily!J20&lt;&gt;0,Q58/BAC_ARC_Daily!J20,"")</f>
        <v>0</v>
      </c>
      <c r="R71" s="14">
        <f>IF(BAC_ARC_Daily!J21&lt;&gt;0,R58/BAC_ARC_Daily!J21,"")</f>
        <v>0</v>
      </c>
      <c r="S71" s="14">
        <f>IF(BAC_ARC_Daily!J22&lt;&gt;0,S58/BAC_ARC_Daily!J22,"")</f>
        <v>0</v>
      </c>
      <c r="T71" s="14">
        <f>IF(BAC_ARC_Daily!J23&lt;&gt;0,T58/BAC_ARC_Daily!J23,"")</f>
        <v>0</v>
      </c>
      <c r="U71" s="14">
        <f>IF(BAC_ARC_Daily!J24&lt;&gt;0,U58/BAC_ARC_Daily!J24,"")</f>
        <v>0</v>
      </c>
      <c r="V71" s="14">
        <f>IF(BAC_ARC_Daily!J25&lt;&gt;0,V58/BAC_ARC_Daily!J25,"")</f>
        <v>0</v>
      </c>
      <c r="W71" s="14">
        <f>IF(BAC_ARC_Daily!J26&lt;&gt;0,W58/BAC_ARC_Daily!J26,"")</f>
        <v>0</v>
      </c>
    </row>
    <row r="72" spans="1:23" ht="18" customHeight="1" x14ac:dyDescent="0.25">
      <c r="A72" s="11" t="str">
        <f>NGS_Archaea_Input!A14</f>
        <v>Arc_taxon_10</v>
      </c>
      <c r="B72" s="14">
        <f>IF(BAC_ARC_Daily!J5&lt;&gt;0,B59/BAC_ARC_Daily!J5,"")</f>
        <v>0</v>
      </c>
      <c r="C72" s="14">
        <f>IF(BAC_ARC_Daily!J6&lt;&gt;0,C59/BAC_ARC_Daily!J6,"")</f>
        <v>0</v>
      </c>
      <c r="D72" s="14">
        <f>IF(BAC_ARC_Daily!J7&lt;&gt;0,D59/BAC_ARC_Daily!J7,"")</f>
        <v>0</v>
      </c>
      <c r="E72" s="14">
        <f>IF(BAC_ARC_Daily!J8&lt;&gt;0,E59/BAC_ARC_Daily!J8,"")</f>
        <v>0</v>
      </c>
      <c r="F72" s="14">
        <f>IF(BAC_ARC_Daily!J9&lt;&gt;0,F59/BAC_ARC_Daily!J9,"")</f>
        <v>0</v>
      </c>
      <c r="G72" s="14">
        <f>IF(BAC_ARC_Daily!J10&lt;&gt;0,G59/BAC_ARC_Daily!J10,"")</f>
        <v>0</v>
      </c>
      <c r="H72" s="14">
        <f>IF(BAC_ARC_Daily!J11&lt;&gt;0,H59/BAC_ARC_Daily!J11,"")</f>
        <v>0</v>
      </c>
      <c r="I72" s="14">
        <f>IF(BAC_ARC_Daily!J12&lt;&gt;0,I59/BAC_ARC_Daily!J12,"")</f>
        <v>0</v>
      </c>
      <c r="J72" s="14">
        <f>IF(BAC_ARC_Daily!J13&lt;&gt;0,J59/BAC_ARC_Daily!J13,"")</f>
        <v>0</v>
      </c>
      <c r="K72" s="14">
        <f>IF(BAC_ARC_Daily!J14&lt;&gt;0,K59/BAC_ARC_Daily!J14,"")</f>
        <v>0</v>
      </c>
      <c r="L72" s="14">
        <f>IF(BAC_ARC_Daily!J15&lt;&gt;0,L59/BAC_ARC_Daily!J15,"")</f>
        <v>0</v>
      </c>
      <c r="M72" s="14">
        <f>IF(BAC_ARC_Daily!J16&lt;&gt;0,M59/BAC_ARC_Daily!J16,"")</f>
        <v>0</v>
      </c>
      <c r="N72" s="14">
        <f>IF(BAC_ARC_Daily!J17&lt;&gt;0,N59/BAC_ARC_Daily!J17,"")</f>
        <v>0</v>
      </c>
      <c r="O72" s="14">
        <f>IF(BAC_ARC_Daily!J18&lt;&gt;0,O59/BAC_ARC_Daily!J18,"")</f>
        <v>0</v>
      </c>
      <c r="P72" s="14">
        <f>IF(BAC_ARC_Daily!J19&lt;&gt;0,P59/BAC_ARC_Daily!J19,"")</f>
        <v>0</v>
      </c>
      <c r="Q72" s="14">
        <f>IF(BAC_ARC_Daily!J20&lt;&gt;0,Q59/BAC_ARC_Daily!J20,"")</f>
        <v>0</v>
      </c>
      <c r="R72" s="14">
        <f>IF(BAC_ARC_Daily!J21&lt;&gt;0,R59/BAC_ARC_Daily!J21,"")</f>
        <v>0</v>
      </c>
      <c r="S72" s="14">
        <f>IF(BAC_ARC_Daily!J22&lt;&gt;0,S59/BAC_ARC_Daily!J22,"")</f>
        <v>0</v>
      </c>
      <c r="T72" s="14">
        <f>IF(BAC_ARC_Daily!J23&lt;&gt;0,T59/BAC_ARC_Daily!J23,"")</f>
        <v>0</v>
      </c>
      <c r="U72" s="14">
        <f>IF(BAC_ARC_Daily!J24&lt;&gt;0,U59/BAC_ARC_Daily!J24,"")</f>
        <v>0</v>
      </c>
      <c r="V72" s="14">
        <f>IF(BAC_ARC_Daily!J25&lt;&gt;0,V59/BAC_ARC_Daily!J25,"")</f>
        <v>0</v>
      </c>
      <c r="W72" s="14">
        <f>IF(BAC_ARC_Daily!J26&lt;&gt;0,W59/BAC_ARC_Daily!J26,"")</f>
        <v>0</v>
      </c>
    </row>
    <row r="73" spans="1:23" ht="18" customHeight="1" x14ac:dyDescent="0.25">
      <c r="A73" s="11" t="str">
        <f>NGS_Archaea_Input!A15</f>
        <v>Others</v>
      </c>
      <c r="B73" s="14">
        <f>IF(BAC_ARC_Daily!J5&lt;&gt;0,B60/BAC_ARC_Daily!J5,"")</f>
        <v>1</v>
      </c>
      <c r="C73" s="14">
        <f>IF(BAC_ARC_Daily!J6&lt;&gt;0,C60/BAC_ARC_Daily!J6,"")</f>
        <v>1</v>
      </c>
      <c r="D73" s="14">
        <f>IF(BAC_ARC_Daily!J7&lt;&gt;0,D60/BAC_ARC_Daily!J7,"")</f>
        <v>1</v>
      </c>
      <c r="E73" s="14">
        <f>IF(BAC_ARC_Daily!J8&lt;&gt;0,E60/BAC_ARC_Daily!J8,"")</f>
        <v>1</v>
      </c>
      <c r="F73" s="14">
        <f>IF(BAC_ARC_Daily!J9&lt;&gt;0,F60/BAC_ARC_Daily!J9,"")</f>
        <v>1</v>
      </c>
      <c r="G73" s="14">
        <f>IF(BAC_ARC_Daily!J10&lt;&gt;0,G60/BAC_ARC_Daily!J10,"")</f>
        <v>1</v>
      </c>
      <c r="H73" s="14">
        <f>IF(BAC_ARC_Daily!J11&lt;&gt;0,H60/BAC_ARC_Daily!J11,"")</f>
        <v>1</v>
      </c>
      <c r="I73" s="14">
        <f>IF(BAC_ARC_Daily!J12&lt;&gt;0,I60/BAC_ARC_Daily!J12,"")</f>
        <v>1</v>
      </c>
      <c r="J73" s="14">
        <f>IF(BAC_ARC_Daily!J13&lt;&gt;0,J60/BAC_ARC_Daily!J13,"")</f>
        <v>1</v>
      </c>
      <c r="K73" s="14">
        <f>IF(BAC_ARC_Daily!J14&lt;&gt;0,K60/BAC_ARC_Daily!J14,"")</f>
        <v>1</v>
      </c>
      <c r="L73" s="14">
        <f>IF(BAC_ARC_Daily!J15&lt;&gt;0,L60/BAC_ARC_Daily!J15,"")</f>
        <v>1</v>
      </c>
      <c r="M73" s="14">
        <f>IF(BAC_ARC_Daily!J16&lt;&gt;0,M60/BAC_ARC_Daily!J16,"")</f>
        <v>1</v>
      </c>
      <c r="N73" s="14">
        <f>IF(BAC_ARC_Daily!J17&lt;&gt;0,N60/BAC_ARC_Daily!J17,"")</f>
        <v>1</v>
      </c>
      <c r="O73" s="14">
        <f>IF(BAC_ARC_Daily!J18&lt;&gt;0,O60/BAC_ARC_Daily!J18,"")</f>
        <v>1</v>
      </c>
      <c r="P73" s="14">
        <f>IF(BAC_ARC_Daily!J19&lt;&gt;0,P60/BAC_ARC_Daily!J19,"")</f>
        <v>1</v>
      </c>
      <c r="Q73" s="14">
        <f>IF(BAC_ARC_Daily!J20&lt;&gt;0,Q60/BAC_ARC_Daily!J20,"")</f>
        <v>1</v>
      </c>
      <c r="R73" s="14">
        <f>IF(BAC_ARC_Daily!J21&lt;&gt;0,R60/BAC_ARC_Daily!J21,"")</f>
        <v>1</v>
      </c>
      <c r="S73" s="14">
        <f>IF(BAC_ARC_Daily!J22&lt;&gt;0,S60/BAC_ARC_Daily!J22,"")</f>
        <v>1</v>
      </c>
      <c r="T73" s="14">
        <f>IF(BAC_ARC_Daily!J23&lt;&gt;0,T60/BAC_ARC_Daily!J23,"")</f>
        <v>1</v>
      </c>
      <c r="U73" s="14">
        <f>IF(BAC_ARC_Daily!J24&lt;&gt;0,U60/BAC_ARC_Daily!J24,"")</f>
        <v>1</v>
      </c>
      <c r="V73" s="14">
        <f>IF(BAC_ARC_Daily!J25&lt;&gt;0,V60/BAC_ARC_Daily!J25,"")</f>
        <v>1</v>
      </c>
      <c r="W73" s="14">
        <f>IF(BAC_ARC_Daily!J26&lt;&gt;0,W60/BAC_ARC_Daily!J26,"")</f>
        <v>1</v>
      </c>
    </row>
    <row r="74" spans="1:23" ht="18" customHeight="1" x14ac:dyDescent="0.25"/>
    <row r="75" spans="1:23" ht="18" customHeight="1" x14ac:dyDescent="0.25"/>
    <row r="76" spans="1:23" ht="18" customHeight="1" x14ac:dyDescent="0.25">
      <c r="A76" s="29" t="s">
        <v>52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 spans="1:23" ht="18" customHeight="1" x14ac:dyDescent="0.25">
      <c r="A77" s="25" t="s">
        <v>161</v>
      </c>
    </row>
    <row r="78" spans="1:23" ht="18" customHeight="1" x14ac:dyDescent="0.25">
      <c r="A78" s="11" t="str">
        <f>NGS_Archaea_Input!A5</f>
        <v>Arc_taxon_1</v>
      </c>
      <c r="B78" s="21">
        <f>IF(Inputs!$H$37="","",Inputs!$H$37*NGS_Archaea_Input!$F$5)</f>
        <v>0</v>
      </c>
      <c r="C78" s="21">
        <f>IF(B78="","",B78+Inputs!$B$5/Inputs!$B$14*(Inputs!$C$14*(Inputs!$C$29*NGS_Archaea_Input!$B$5-B78)+Inputs!$D$14*(B5-B78)+Inputs!$E$14*(Inputs!$D$29*NGS_Archaea_Input!$C$5-B78)))</f>
        <v>0</v>
      </c>
      <c r="D78" s="21">
        <f>IF(C78="","",C78+Inputs!$B$5/Inputs!$B$14*(Inputs!$C$14*(Inputs!$C$29*NGS_Archaea_Input!$B$5-C78)+Inputs!$D$14*(C5-C78)+Inputs!$E$14*(Inputs!$D$29*NGS_Archaea_Input!$C$5-C78)))</f>
        <v>0</v>
      </c>
      <c r="E78" s="21">
        <f>IF(D78="","",D78+Inputs!$B$5/Inputs!$B$14*(Inputs!$C$14*(Inputs!$C$29*NGS_Archaea_Input!$B$5-D78)+Inputs!$D$14*(D5-D78)+Inputs!$E$14*(Inputs!$D$29*NGS_Archaea_Input!$C$5-D78)))</f>
        <v>0</v>
      </c>
      <c r="F78" s="21">
        <f>IF(E78="","",E78+Inputs!$B$5/Inputs!$B$14*(Inputs!$C$14*(Inputs!$C$29*NGS_Archaea_Input!$B$5-E78)+Inputs!$D$14*(E5-E78)+Inputs!$E$14*(Inputs!$D$29*NGS_Archaea_Input!$C$5-E78)))</f>
        <v>0</v>
      </c>
      <c r="G78" s="21">
        <f>IF(F78="","",F78+Inputs!$B$5/Inputs!$B$14*(Inputs!$C$14*(Inputs!$C$29*NGS_Archaea_Input!$B$5-F78)+Inputs!$D$14*(F5-F78)+Inputs!$E$14*(Inputs!$D$29*NGS_Archaea_Input!$C$5-F78)))</f>
        <v>0</v>
      </c>
      <c r="H78" s="21">
        <f>IF(G78="","",G78+Inputs!$B$5/Inputs!$B$14*(Inputs!$C$14*(Inputs!$C$29*NGS_Archaea_Input!$B$5-G78)+Inputs!$D$14*(G5-G78)+Inputs!$E$14*(Inputs!$D$29*NGS_Archaea_Input!$C$5-G78)))</f>
        <v>0</v>
      </c>
      <c r="I78" s="21">
        <f>IF(H78="","",H78+Inputs!$B$5/Inputs!$B$14*(Inputs!$C$14*(Inputs!$C$29*NGS_Archaea_Input!$B$5-H78)+Inputs!$D$14*(H5-H78)+Inputs!$E$14*(Inputs!$D$29*NGS_Archaea_Input!$C$5-H78)))</f>
        <v>0</v>
      </c>
      <c r="J78" s="21">
        <f>IF(I78="","",I78+Inputs!$B$5/Inputs!$B$14*(Inputs!$C$14*(Inputs!$C$29*NGS_Archaea_Input!$B$5-I78)+Inputs!$D$14*(I5-I78)+Inputs!$E$14*(Inputs!$D$29*NGS_Archaea_Input!$C$5-I78)))</f>
        <v>0</v>
      </c>
      <c r="K78" s="21">
        <f>IF(J78="","",J78+Inputs!$B$5/Inputs!$B$14*(Inputs!$C$14*(Inputs!$C$29*NGS_Archaea_Input!$B$5-J78)+Inputs!$D$14*(J5-J78)+Inputs!$E$14*(Inputs!$D$29*NGS_Archaea_Input!$C$5-J78)))</f>
        <v>0</v>
      </c>
      <c r="L78" s="21">
        <f>IF(K78="","",K78+Inputs!$B$5/Inputs!$B$14*(Inputs!$C$14*(Inputs!$C$29*NGS_Archaea_Input!$B$5-K78)+Inputs!$D$14*(K5-K78)+Inputs!$E$14*(Inputs!$D$29*NGS_Archaea_Input!$C$5-K78)))</f>
        <v>0</v>
      </c>
      <c r="M78" s="21">
        <f>IF(L78="","",L78+Inputs!$B$5/Inputs!$B$14*(Inputs!$C$14*(Inputs!$C$29*NGS_Archaea_Input!$B$5-L78)+Inputs!$D$14*(L5-L78)+Inputs!$E$14*(Inputs!$D$29*NGS_Archaea_Input!$C$5-L78)))</f>
        <v>0</v>
      </c>
      <c r="N78" s="21">
        <f>IF(M78="","",M78+Inputs!$B$5/Inputs!$B$14*(Inputs!$C$14*(Inputs!$C$29*NGS_Archaea_Input!$B$5-M78)+Inputs!$D$14*(M5-M78)+Inputs!$E$14*(Inputs!$D$29*NGS_Archaea_Input!$C$5-M78)))</f>
        <v>0</v>
      </c>
      <c r="O78" s="21">
        <f>IF(N78="","",N78+Inputs!$B$5/Inputs!$B$14*(Inputs!$C$14*(Inputs!$C$29*NGS_Archaea_Input!$B$5-N78)+Inputs!$D$14*(N5-N78)+Inputs!$E$14*(Inputs!$D$29*NGS_Archaea_Input!$C$5-N78)))</f>
        <v>0</v>
      </c>
      <c r="P78" s="21">
        <f>IF(O78="","",O78+Inputs!$B$5/Inputs!$B$14*(Inputs!$C$14*(Inputs!$C$29*NGS_Archaea_Input!$B$5-O78)+Inputs!$D$14*(O5-O78)+Inputs!$E$14*(Inputs!$D$29*NGS_Archaea_Input!$C$5-O78)))</f>
        <v>0</v>
      </c>
      <c r="Q78" s="21">
        <f>IF(P78="","",P78+Inputs!$B$5/Inputs!$B$14*(Inputs!$C$14*(Inputs!$C$29*NGS_Archaea_Input!$B$5-P78)+Inputs!$D$14*(P5-P78)+Inputs!$E$14*(Inputs!$D$29*NGS_Archaea_Input!$C$5-P78)))</f>
        <v>0</v>
      </c>
      <c r="R78" s="21">
        <f>IF(Q78="","",Q78+Inputs!$B$5/Inputs!$B$14*(Inputs!$C$14*(Inputs!$C$29*NGS_Archaea_Input!$B$5-Q78)+Inputs!$D$14*(Q5-Q78)+Inputs!$E$14*(Inputs!$D$29*NGS_Archaea_Input!$C$5-Q78)))</f>
        <v>0</v>
      </c>
      <c r="S78" s="21">
        <f>IF(R78="","",R78+Inputs!$B$5/Inputs!$B$14*(Inputs!$C$14*(Inputs!$C$29*NGS_Archaea_Input!$B$5-R78)+Inputs!$D$14*(R5-R78)+Inputs!$E$14*(Inputs!$D$29*NGS_Archaea_Input!$C$5-R78)))</f>
        <v>0</v>
      </c>
      <c r="T78" s="21">
        <f>IF(S78="","",S78+Inputs!$B$5/Inputs!$B$14*(Inputs!$C$14*(Inputs!$C$29*NGS_Archaea_Input!$B$5-S78)+Inputs!$D$14*(S5-S78)+Inputs!$E$14*(Inputs!$D$29*NGS_Archaea_Input!$C$5-S78)))</f>
        <v>0</v>
      </c>
      <c r="U78" s="21">
        <f>IF(T78="","",T78+Inputs!$B$5/Inputs!$B$14*(Inputs!$C$14*(Inputs!$C$29*NGS_Archaea_Input!$B$5-T78)+Inputs!$D$14*(T5-T78)+Inputs!$E$14*(Inputs!$D$29*NGS_Archaea_Input!$C$5-T78)))</f>
        <v>0</v>
      </c>
      <c r="V78" s="21">
        <f>IF(U78="","",U78+Inputs!$B$5/Inputs!$B$14*(Inputs!$C$14*(Inputs!$C$29*NGS_Archaea_Input!$B$5-U78)+Inputs!$D$14*(U5-U78)+Inputs!$E$14*(Inputs!$D$29*NGS_Archaea_Input!$C$5-U78)))</f>
        <v>0</v>
      </c>
      <c r="W78" s="21">
        <f>IF(V78="","",V78+Inputs!$B$5/Inputs!$B$14*(Inputs!$C$14*(Inputs!$C$29*NGS_Archaea_Input!$B$5-V78)+Inputs!$D$14*(V5-V78)+Inputs!$E$14*(Inputs!$D$29*NGS_Archaea_Input!$C$5-V78)))</f>
        <v>0</v>
      </c>
    </row>
    <row r="79" spans="1:23" ht="18" customHeight="1" x14ac:dyDescent="0.25">
      <c r="A79" s="11" t="str">
        <f>NGS_Archaea_Input!A6</f>
        <v>Arc_taxon_2</v>
      </c>
      <c r="B79" s="21">
        <f>IF(Inputs!$H$37="","",Inputs!$H$37*NGS_Archaea_Input!$F$6)</f>
        <v>0</v>
      </c>
      <c r="C79" s="21">
        <f>IF(B79="","",B79+Inputs!$B$5/Inputs!$B$14*(Inputs!$C$14*(Inputs!$C$29*NGS_Archaea_Input!$B$6-B79)+Inputs!$D$14*(B6-B79)+Inputs!$E$14*(Inputs!$D$29*NGS_Archaea_Input!$C$6-B79)))</f>
        <v>0</v>
      </c>
      <c r="D79" s="21">
        <f>IF(C79="","",C79+Inputs!$B$5/Inputs!$B$14*(Inputs!$C$14*(Inputs!$C$29*NGS_Archaea_Input!$B$6-C79)+Inputs!$D$14*(C6-C79)+Inputs!$E$14*(Inputs!$D$29*NGS_Archaea_Input!$C$6-C79)))</f>
        <v>0</v>
      </c>
      <c r="E79" s="21">
        <f>IF(D79="","",D79+Inputs!$B$5/Inputs!$B$14*(Inputs!$C$14*(Inputs!$C$29*NGS_Archaea_Input!$B$6-D79)+Inputs!$D$14*(D6-D79)+Inputs!$E$14*(Inputs!$D$29*NGS_Archaea_Input!$C$6-D79)))</f>
        <v>0</v>
      </c>
      <c r="F79" s="21">
        <f>IF(E79="","",E79+Inputs!$B$5/Inputs!$B$14*(Inputs!$C$14*(Inputs!$C$29*NGS_Archaea_Input!$B$6-E79)+Inputs!$D$14*(E6-E79)+Inputs!$E$14*(Inputs!$D$29*NGS_Archaea_Input!$C$6-E79)))</f>
        <v>0</v>
      </c>
      <c r="G79" s="21">
        <f>IF(F79="","",F79+Inputs!$B$5/Inputs!$B$14*(Inputs!$C$14*(Inputs!$C$29*NGS_Archaea_Input!$B$6-F79)+Inputs!$D$14*(F6-F79)+Inputs!$E$14*(Inputs!$D$29*NGS_Archaea_Input!$C$6-F79)))</f>
        <v>0</v>
      </c>
      <c r="H79" s="21">
        <f>IF(G79="","",G79+Inputs!$B$5/Inputs!$B$14*(Inputs!$C$14*(Inputs!$C$29*NGS_Archaea_Input!$B$6-G79)+Inputs!$D$14*(G6-G79)+Inputs!$E$14*(Inputs!$D$29*NGS_Archaea_Input!$C$6-G79)))</f>
        <v>0</v>
      </c>
      <c r="I79" s="21">
        <f>IF(H79="","",H79+Inputs!$B$5/Inputs!$B$14*(Inputs!$C$14*(Inputs!$C$29*NGS_Archaea_Input!$B$6-H79)+Inputs!$D$14*(H6-H79)+Inputs!$E$14*(Inputs!$D$29*NGS_Archaea_Input!$C$6-H79)))</f>
        <v>0</v>
      </c>
      <c r="J79" s="21">
        <f>IF(I79="","",I79+Inputs!$B$5/Inputs!$B$14*(Inputs!$C$14*(Inputs!$C$29*NGS_Archaea_Input!$B$6-I79)+Inputs!$D$14*(I6-I79)+Inputs!$E$14*(Inputs!$D$29*NGS_Archaea_Input!$C$6-I79)))</f>
        <v>0</v>
      </c>
      <c r="K79" s="21">
        <f>IF(J79="","",J79+Inputs!$B$5/Inputs!$B$14*(Inputs!$C$14*(Inputs!$C$29*NGS_Archaea_Input!$B$6-J79)+Inputs!$D$14*(J6-J79)+Inputs!$E$14*(Inputs!$D$29*NGS_Archaea_Input!$C$6-J79)))</f>
        <v>0</v>
      </c>
      <c r="L79" s="21">
        <f>IF(K79="","",K79+Inputs!$B$5/Inputs!$B$14*(Inputs!$C$14*(Inputs!$C$29*NGS_Archaea_Input!$B$6-K79)+Inputs!$D$14*(K6-K79)+Inputs!$E$14*(Inputs!$D$29*NGS_Archaea_Input!$C$6-K79)))</f>
        <v>0</v>
      </c>
      <c r="M79" s="21">
        <f>IF(L79="","",L79+Inputs!$B$5/Inputs!$B$14*(Inputs!$C$14*(Inputs!$C$29*NGS_Archaea_Input!$B$6-L79)+Inputs!$D$14*(L6-L79)+Inputs!$E$14*(Inputs!$D$29*NGS_Archaea_Input!$C$6-L79)))</f>
        <v>0</v>
      </c>
      <c r="N79" s="21">
        <f>IF(M79="","",M79+Inputs!$B$5/Inputs!$B$14*(Inputs!$C$14*(Inputs!$C$29*NGS_Archaea_Input!$B$6-M79)+Inputs!$D$14*(M6-M79)+Inputs!$E$14*(Inputs!$D$29*NGS_Archaea_Input!$C$6-M79)))</f>
        <v>0</v>
      </c>
      <c r="O79" s="21">
        <f>IF(N79="","",N79+Inputs!$B$5/Inputs!$B$14*(Inputs!$C$14*(Inputs!$C$29*NGS_Archaea_Input!$B$6-N79)+Inputs!$D$14*(N6-N79)+Inputs!$E$14*(Inputs!$D$29*NGS_Archaea_Input!$C$6-N79)))</f>
        <v>0</v>
      </c>
      <c r="P79" s="21">
        <f>IF(O79="","",O79+Inputs!$B$5/Inputs!$B$14*(Inputs!$C$14*(Inputs!$C$29*NGS_Archaea_Input!$B$6-O79)+Inputs!$D$14*(O6-O79)+Inputs!$E$14*(Inputs!$D$29*NGS_Archaea_Input!$C$6-O79)))</f>
        <v>0</v>
      </c>
      <c r="Q79" s="21">
        <f>IF(P79="","",P79+Inputs!$B$5/Inputs!$B$14*(Inputs!$C$14*(Inputs!$C$29*NGS_Archaea_Input!$B$6-P79)+Inputs!$D$14*(P6-P79)+Inputs!$E$14*(Inputs!$D$29*NGS_Archaea_Input!$C$6-P79)))</f>
        <v>0</v>
      </c>
      <c r="R79" s="21">
        <f>IF(Q79="","",Q79+Inputs!$B$5/Inputs!$B$14*(Inputs!$C$14*(Inputs!$C$29*NGS_Archaea_Input!$B$6-Q79)+Inputs!$D$14*(Q6-Q79)+Inputs!$E$14*(Inputs!$D$29*NGS_Archaea_Input!$C$6-Q79)))</f>
        <v>0</v>
      </c>
      <c r="S79" s="21">
        <f>IF(R79="","",R79+Inputs!$B$5/Inputs!$B$14*(Inputs!$C$14*(Inputs!$C$29*NGS_Archaea_Input!$B$6-R79)+Inputs!$D$14*(R6-R79)+Inputs!$E$14*(Inputs!$D$29*NGS_Archaea_Input!$C$6-R79)))</f>
        <v>0</v>
      </c>
      <c r="T79" s="21">
        <f>IF(S79="","",S79+Inputs!$B$5/Inputs!$B$14*(Inputs!$C$14*(Inputs!$C$29*NGS_Archaea_Input!$B$6-S79)+Inputs!$D$14*(S6-S79)+Inputs!$E$14*(Inputs!$D$29*NGS_Archaea_Input!$C$6-S79)))</f>
        <v>0</v>
      </c>
      <c r="U79" s="21">
        <f>IF(T79="","",T79+Inputs!$B$5/Inputs!$B$14*(Inputs!$C$14*(Inputs!$C$29*NGS_Archaea_Input!$B$6-T79)+Inputs!$D$14*(T6-T79)+Inputs!$E$14*(Inputs!$D$29*NGS_Archaea_Input!$C$6-T79)))</f>
        <v>0</v>
      </c>
      <c r="V79" s="21">
        <f>IF(U79="","",U79+Inputs!$B$5/Inputs!$B$14*(Inputs!$C$14*(Inputs!$C$29*NGS_Archaea_Input!$B$6-U79)+Inputs!$D$14*(U6-U79)+Inputs!$E$14*(Inputs!$D$29*NGS_Archaea_Input!$C$6-U79)))</f>
        <v>0</v>
      </c>
      <c r="W79" s="21">
        <f>IF(V79="","",V79+Inputs!$B$5/Inputs!$B$14*(Inputs!$C$14*(Inputs!$C$29*NGS_Archaea_Input!$B$6-V79)+Inputs!$D$14*(V6-V79)+Inputs!$E$14*(Inputs!$D$29*NGS_Archaea_Input!$C$6-V79)))</f>
        <v>0</v>
      </c>
    </row>
    <row r="80" spans="1:23" ht="18" customHeight="1" x14ac:dyDescent="0.25">
      <c r="A80" s="11" t="str">
        <f>NGS_Archaea_Input!A7</f>
        <v>Arc_taxon_3</v>
      </c>
      <c r="B80" s="21">
        <f>IF(Inputs!$H$37="","",Inputs!$H$37*NGS_Archaea_Input!$F$7)</f>
        <v>0</v>
      </c>
      <c r="C80" s="21">
        <f>IF(B80="","",B80+Inputs!$B$5/Inputs!$B$14*(Inputs!$C$14*(Inputs!$C$29*NGS_Archaea_Input!$B$7-B80)+Inputs!$D$14*(B7-B80)+Inputs!$E$14*(Inputs!$D$29*NGS_Archaea_Input!$C$7-B80)))</f>
        <v>0</v>
      </c>
      <c r="D80" s="21">
        <f>IF(C80="","",C80+Inputs!$B$5/Inputs!$B$14*(Inputs!$C$14*(Inputs!$C$29*NGS_Archaea_Input!$B$7-C80)+Inputs!$D$14*(C7-C80)+Inputs!$E$14*(Inputs!$D$29*NGS_Archaea_Input!$C$7-C80)))</f>
        <v>0</v>
      </c>
      <c r="E80" s="21">
        <f>IF(D80="","",D80+Inputs!$B$5/Inputs!$B$14*(Inputs!$C$14*(Inputs!$C$29*NGS_Archaea_Input!$B$7-D80)+Inputs!$D$14*(D7-D80)+Inputs!$E$14*(Inputs!$D$29*NGS_Archaea_Input!$C$7-D80)))</f>
        <v>0</v>
      </c>
      <c r="F80" s="21">
        <f>IF(E80="","",E80+Inputs!$B$5/Inputs!$B$14*(Inputs!$C$14*(Inputs!$C$29*NGS_Archaea_Input!$B$7-E80)+Inputs!$D$14*(E7-E80)+Inputs!$E$14*(Inputs!$D$29*NGS_Archaea_Input!$C$7-E80)))</f>
        <v>0</v>
      </c>
      <c r="G80" s="21">
        <f>IF(F80="","",F80+Inputs!$B$5/Inputs!$B$14*(Inputs!$C$14*(Inputs!$C$29*NGS_Archaea_Input!$B$7-F80)+Inputs!$D$14*(F7-F80)+Inputs!$E$14*(Inputs!$D$29*NGS_Archaea_Input!$C$7-F80)))</f>
        <v>0</v>
      </c>
      <c r="H80" s="21">
        <f>IF(G80="","",G80+Inputs!$B$5/Inputs!$B$14*(Inputs!$C$14*(Inputs!$C$29*NGS_Archaea_Input!$B$7-G80)+Inputs!$D$14*(G7-G80)+Inputs!$E$14*(Inputs!$D$29*NGS_Archaea_Input!$C$7-G80)))</f>
        <v>0</v>
      </c>
      <c r="I80" s="21">
        <f>IF(H80="","",H80+Inputs!$B$5/Inputs!$B$14*(Inputs!$C$14*(Inputs!$C$29*NGS_Archaea_Input!$B$7-H80)+Inputs!$D$14*(H7-H80)+Inputs!$E$14*(Inputs!$D$29*NGS_Archaea_Input!$C$7-H80)))</f>
        <v>0</v>
      </c>
      <c r="J80" s="21">
        <f>IF(I80="","",I80+Inputs!$B$5/Inputs!$B$14*(Inputs!$C$14*(Inputs!$C$29*NGS_Archaea_Input!$B$7-I80)+Inputs!$D$14*(I7-I80)+Inputs!$E$14*(Inputs!$D$29*NGS_Archaea_Input!$C$7-I80)))</f>
        <v>0</v>
      </c>
      <c r="K80" s="21">
        <f>IF(J80="","",J80+Inputs!$B$5/Inputs!$B$14*(Inputs!$C$14*(Inputs!$C$29*NGS_Archaea_Input!$B$7-J80)+Inputs!$D$14*(J7-J80)+Inputs!$E$14*(Inputs!$D$29*NGS_Archaea_Input!$C$7-J80)))</f>
        <v>0</v>
      </c>
      <c r="L80" s="21">
        <f>IF(K80="","",K80+Inputs!$B$5/Inputs!$B$14*(Inputs!$C$14*(Inputs!$C$29*NGS_Archaea_Input!$B$7-K80)+Inputs!$D$14*(K7-K80)+Inputs!$E$14*(Inputs!$D$29*NGS_Archaea_Input!$C$7-K80)))</f>
        <v>0</v>
      </c>
      <c r="M80" s="21">
        <f>IF(L80="","",L80+Inputs!$B$5/Inputs!$B$14*(Inputs!$C$14*(Inputs!$C$29*NGS_Archaea_Input!$B$7-L80)+Inputs!$D$14*(L7-L80)+Inputs!$E$14*(Inputs!$D$29*NGS_Archaea_Input!$C$7-L80)))</f>
        <v>0</v>
      </c>
      <c r="N80" s="21">
        <f>IF(M80="","",M80+Inputs!$B$5/Inputs!$B$14*(Inputs!$C$14*(Inputs!$C$29*NGS_Archaea_Input!$B$7-M80)+Inputs!$D$14*(M7-M80)+Inputs!$E$14*(Inputs!$D$29*NGS_Archaea_Input!$C$7-M80)))</f>
        <v>0</v>
      </c>
      <c r="O80" s="21">
        <f>IF(N80="","",N80+Inputs!$B$5/Inputs!$B$14*(Inputs!$C$14*(Inputs!$C$29*NGS_Archaea_Input!$B$7-N80)+Inputs!$D$14*(N7-N80)+Inputs!$E$14*(Inputs!$D$29*NGS_Archaea_Input!$C$7-N80)))</f>
        <v>0</v>
      </c>
      <c r="P80" s="21">
        <f>IF(O80="","",O80+Inputs!$B$5/Inputs!$B$14*(Inputs!$C$14*(Inputs!$C$29*NGS_Archaea_Input!$B$7-O80)+Inputs!$D$14*(O7-O80)+Inputs!$E$14*(Inputs!$D$29*NGS_Archaea_Input!$C$7-O80)))</f>
        <v>0</v>
      </c>
      <c r="Q80" s="21">
        <f>IF(P80="","",P80+Inputs!$B$5/Inputs!$B$14*(Inputs!$C$14*(Inputs!$C$29*NGS_Archaea_Input!$B$7-P80)+Inputs!$D$14*(P7-P80)+Inputs!$E$14*(Inputs!$D$29*NGS_Archaea_Input!$C$7-P80)))</f>
        <v>0</v>
      </c>
      <c r="R80" s="21">
        <f>IF(Q80="","",Q80+Inputs!$B$5/Inputs!$B$14*(Inputs!$C$14*(Inputs!$C$29*NGS_Archaea_Input!$B$7-Q80)+Inputs!$D$14*(Q7-Q80)+Inputs!$E$14*(Inputs!$D$29*NGS_Archaea_Input!$C$7-Q80)))</f>
        <v>0</v>
      </c>
      <c r="S80" s="21">
        <f>IF(R80="","",R80+Inputs!$B$5/Inputs!$B$14*(Inputs!$C$14*(Inputs!$C$29*NGS_Archaea_Input!$B$7-R80)+Inputs!$D$14*(R7-R80)+Inputs!$E$14*(Inputs!$D$29*NGS_Archaea_Input!$C$7-R80)))</f>
        <v>0</v>
      </c>
      <c r="T80" s="21">
        <f>IF(S80="","",S80+Inputs!$B$5/Inputs!$B$14*(Inputs!$C$14*(Inputs!$C$29*NGS_Archaea_Input!$B$7-S80)+Inputs!$D$14*(S7-S80)+Inputs!$E$14*(Inputs!$D$29*NGS_Archaea_Input!$C$7-S80)))</f>
        <v>0</v>
      </c>
      <c r="U80" s="21">
        <f>IF(T80="","",T80+Inputs!$B$5/Inputs!$B$14*(Inputs!$C$14*(Inputs!$C$29*NGS_Archaea_Input!$B$7-T80)+Inputs!$D$14*(T7-T80)+Inputs!$E$14*(Inputs!$D$29*NGS_Archaea_Input!$C$7-T80)))</f>
        <v>0</v>
      </c>
      <c r="V80" s="21">
        <f>IF(U80="","",U80+Inputs!$B$5/Inputs!$B$14*(Inputs!$C$14*(Inputs!$C$29*NGS_Archaea_Input!$B$7-U80)+Inputs!$D$14*(U7-U80)+Inputs!$E$14*(Inputs!$D$29*NGS_Archaea_Input!$C$7-U80)))</f>
        <v>0</v>
      </c>
      <c r="W80" s="21">
        <f>IF(V80="","",V80+Inputs!$B$5/Inputs!$B$14*(Inputs!$C$14*(Inputs!$C$29*NGS_Archaea_Input!$B$7-V80)+Inputs!$D$14*(V7-V80)+Inputs!$E$14*(Inputs!$D$29*NGS_Archaea_Input!$C$7-V80)))</f>
        <v>0</v>
      </c>
    </row>
    <row r="81" spans="1:23" ht="18" customHeight="1" x14ac:dyDescent="0.25">
      <c r="A81" s="11" t="str">
        <f>NGS_Archaea_Input!A8</f>
        <v>Arc_taxon_4</v>
      </c>
      <c r="B81" s="21">
        <f>IF(Inputs!$H$37="","",Inputs!$H$37*NGS_Archaea_Input!$F$8)</f>
        <v>0</v>
      </c>
      <c r="C81" s="21">
        <f>IF(B81="","",B81+Inputs!$B$5/Inputs!$B$14*(Inputs!$C$14*(Inputs!$C$29*NGS_Archaea_Input!$B$8-B81)+Inputs!$D$14*(B8-B81)+Inputs!$E$14*(Inputs!$D$29*NGS_Archaea_Input!$C$8-B81)))</f>
        <v>0</v>
      </c>
      <c r="D81" s="21">
        <f>IF(C81="","",C81+Inputs!$B$5/Inputs!$B$14*(Inputs!$C$14*(Inputs!$C$29*NGS_Archaea_Input!$B$8-C81)+Inputs!$D$14*(C8-C81)+Inputs!$E$14*(Inputs!$D$29*NGS_Archaea_Input!$C$8-C81)))</f>
        <v>0</v>
      </c>
      <c r="E81" s="21">
        <f>IF(D81="","",D81+Inputs!$B$5/Inputs!$B$14*(Inputs!$C$14*(Inputs!$C$29*NGS_Archaea_Input!$B$8-D81)+Inputs!$D$14*(D8-D81)+Inputs!$E$14*(Inputs!$D$29*NGS_Archaea_Input!$C$8-D81)))</f>
        <v>0</v>
      </c>
      <c r="F81" s="21">
        <f>IF(E81="","",E81+Inputs!$B$5/Inputs!$B$14*(Inputs!$C$14*(Inputs!$C$29*NGS_Archaea_Input!$B$8-E81)+Inputs!$D$14*(E8-E81)+Inputs!$E$14*(Inputs!$D$29*NGS_Archaea_Input!$C$8-E81)))</f>
        <v>0</v>
      </c>
      <c r="G81" s="21">
        <f>IF(F81="","",F81+Inputs!$B$5/Inputs!$B$14*(Inputs!$C$14*(Inputs!$C$29*NGS_Archaea_Input!$B$8-F81)+Inputs!$D$14*(F8-F81)+Inputs!$E$14*(Inputs!$D$29*NGS_Archaea_Input!$C$8-F81)))</f>
        <v>0</v>
      </c>
      <c r="H81" s="21">
        <f>IF(G81="","",G81+Inputs!$B$5/Inputs!$B$14*(Inputs!$C$14*(Inputs!$C$29*NGS_Archaea_Input!$B$8-G81)+Inputs!$D$14*(G8-G81)+Inputs!$E$14*(Inputs!$D$29*NGS_Archaea_Input!$C$8-G81)))</f>
        <v>0</v>
      </c>
      <c r="I81" s="21">
        <f>IF(H81="","",H81+Inputs!$B$5/Inputs!$B$14*(Inputs!$C$14*(Inputs!$C$29*NGS_Archaea_Input!$B$8-H81)+Inputs!$D$14*(H8-H81)+Inputs!$E$14*(Inputs!$D$29*NGS_Archaea_Input!$C$8-H81)))</f>
        <v>0</v>
      </c>
      <c r="J81" s="21">
        <f>IF(I81="","",I81+Inputs!$B$5/Inputs!$B$14*(Inputs!$C$14*(Inputs!$C$29*NGS_Archaea_Input!$B$8-I81)+Inputs!$D$14*(I8-I81)+Inputs!$E$14*(Inputs!$D$29*NGS_Archaea_Input!$C$8-I81)))</f>
        <v>0</v>
      </c>
      <c r="K81" s="21">
        <f>IF(J81="","",J81+Inputs!$B$5/Inputs!$B$14*(Inputs!$C$14*(Inputs!$C$29*NGS_Archaea_Input!$B$8-J81)+Inputs!$D$14*(J8-J81)+Inputs!$E$14*(Inputs!$D$29*NGS_Archaea_Input!$C$8-J81)))</f>
        <v>0</v>
      </c>
      <c r="L81" s="21">
        <f>IF(K81="","",K81+Inputs!$B$5/Inputs!$B$14*(Inputs!$C$14*(Inputs!$C$29*NGS_Archaea_Input!$B$8-K81)+Inputs!$D$14*(K8-K81)+Inputs!$E$14*(Inputs!$D$29*NGS_Archaea_Input!$C$8-K81)))</f>
        <v>0</v>
      </c>
      <c r="M81" s="21">
        <f>IF(L81="","",L81+Inputs!$B$5/Inputs!$B$14*(Inputs!$C$14*(Inputs!$C$29*NGS_Archaea_Input!$B$8-L81)+Inputs!$D$14*(L8-L81)+Inputs!$E$14*(Inputs!$D$29*NGS_Archaea_Input!$C$8-L81)))</f>
        <v>0</v>
      </c>
      <c r="N81" s="21">
        <f>IF(M81="","",M81+Inputs!$B$5/Inputs!$B$14*(Inputs!$C$14*(Inputs!$C$29*NGS_Archaea_Input!$B$8-M81)+Inputs!$D$14*(M8-M81)+Inputs!$E$14*(Inputs!$D$29*NGS_Archaea_Input!$C$8-M81)))</f>
        <v>0</v>
      </c>
      <c r="O81" s="21">
        <f>IF(N81="","",N81+Inputs!$B$5/Inputs!$B$14*(Inputs!$C$14*(Inputs!$C$29*NGS_Archaea_Input!$B$8-N81)+Inputs!$D$14*(N8-N81)+Inputs!$E$14*(Inputs!$D$29*NGS_Archaea_Input!$C$8-N81)))</f>
        <v>0</v>
      </c>
      <c r="P81" s="21">
        <f>IF(O81="","",O81+Inputs!$B$5/Inputs!$B$14*(Inputs!$C$14*(Inputs!$C$29*NGS_Archaea_Input!$B$8-O81)+Inputs!$D$14*(O8-O81)+Inputs!$E$14*(Inputs!$D$29*NGS_Archaea_Input!$C$8-O81)))</f>
        <v>0</v>
      </c>
      <c r="Q81" s="21">
        <f>IF(P81="","",P81+Inputs!$B$5/Inputs!$B$14*(Inputs!$C$14*(Inputs!$C$29*NGS_Archaea_Input!$B$8-P81)+Inputs!$D$14*(P8-P81)+Inputs!$E$14*(Inputs!$D$29*NGS_Archaea_Input!$C$8-P81)))</f>
        <v>0</v>
      </c>
      <c r="R81" s="21">
        <f>IF(Q81="","",Q81+Inputs!$B$5/Inputs!$B$14*(Inputs!$C$14*(Inputs!$C$29*NGS_Archaea_Input!$B$8-Q81)+Inputs!$D$14*(Q8-Q81)+Inputs!$E$14*(Inputs!$D$29*NGS_Archaea_Input!$C$8-Q81)))</f>
        <v>0</v>
      </c>
      <c r="S81" s="21">
        <f>IF(R81="","",R81+Inputs!$B$5/Inputs!$B$14*(Inputs!$C$14*(Inputs!$C$29*NGS_Archaea_Input!$B$8-R81)+Inputs!$D$14*(R8-R81)+Inputs!$E$14*(Inputs!$D$29*NGS_Archaea_Input!$C$8-R81)))</f>
        <v>0</v>
      </c>
      <c r="T81" s="21">
        <f>IF(S81="","",S81+Inputs!$B$5/Inputs!$B$14*(Inputs!$C$14*(Inputs!$C$29*NGS_Archaea_Input!$B$8-S81)+Inputs!$D$14*(S8-S81)+Inputs!$E$14*(Inputs!$D$29*NGS_Archaea_Input!$C$8-S81)))</f>
        <v>0</v>
      </c>
      <c r="U81" s="21">
        <f>IF(T81="","",T81+Inputs!$B$5/Inputs!$B$14*(Inputs!$C$14*(Inputs!$C$29*NGS_Archaea_Input!$B$8-T81)+Inputs!$D$14*(T8-T81)+Inputs!$E$14*(Inputs!$D$29*NGS_Archaea_Input!$C$8-T81)))</f>
        <v>0</v>
      </c>
      <c r="V81" s="21">
        <f>IF(U81="","",U81+Inputs!$B$5/Inputs!$B$14*(Inputs!$C$14*(Inputs!$C$29*NGS_Archaea_Input!$B$8-U81)+Inputs!$D$14*(U8-U81)+Inputs!$E$14*(Inputs!$D$29*NGS_Archaea_Input!$C$8-U81)))</f>
        <v>0</v>
      </c>
      <c r="W81" s="21">
        <f>IF(V81="","",V81+Inputs!$B$5/Inputs!$B$14*(Inputs!$C$14*(Inputs!$C$29*NGS_Archaea_Input!$B$8-V81)+Inputs!$D$14*(V8-V81)+Inputs!$E$14*(Inputs!$D$29*NGS_Archaea_Input!$C$8-V81)))</f>
        <v>0</v>
      </c>
    </row>
    <row r="82" spans="1:23" ht="18" customHeight="1" x14ac:dyDescent="0.25">
      <c r="A82" s="11" t="str">
        <f>NGS_Archaea_Input!A9</f>
        <v>Arc_taxon_5</v>
      </c>
      <c r="B82" s="21">
        <f>IF(Inputs!$H$37="","",Inputs!$H$37*NGS_Archaea_Input!$F$9)</f>
        <v>0</v>
      </c>
      <c r="C82" s="21">
        <f>IF(B82="","",B82+Inputs!$B$5/Inputs!$B$14*(Inputs!$C$14*(Inputs!$C$29*NGS_Archaea_Input!$B$9-B82)+Inputs!$D$14*(B9-B82)+Inputs!$E$14*(Inputs!$D$29*NGS_Archaea_Input!$C$9-B82)))</f>
        <v>0</v>
      </c>
      <c r="D82" s="21">
        <f>IF(C82="","",C82+Inputs!$B$5/Inputs!$B$14*(Inputs!$C$14*(Inputs!$C$29*NGS_Archaea_Input!$B$9-C82)+Inputs!$D$14*(C9-C82)+Inputs!$E$14*(Inputs!$D$29*NGS_Archaea_Input!$C$9-C82)))</f>
        <v>0</v>
      </c>
      <c r="E82" s="21">
        <f>IF(D82="","",D82+Inputs!$B$5/Inputs!$B$14*(Inputs!$C$14*(Inputs!$C$29*NGS_Archaea_Input!$B$9-D82)+Inputs!$D$14*(D9-D82)+Inputs!$E$14*(Inputs!$D$29*NGS_Archaea_Input!$C$9-D82)))</f>
        <v>0</v>
      </c>
      <c r="F82" s="21">
        <f>IF(E82="","",E82+Inputs!$B$5/Inputs!$B$14*(Inputs!$C$14*(Inputs!$C$29*NGS_Archaea_Input!$B$9-E82)+Inputs!$D$14*(E9-E82)+Inputs!$E$14*(Inputs!$D$29*NGS_Archaea_Input!$C$9-E82)))</f>
        <v>0</v>
      </c>
      <c r="G82" s="21">
        <f>IF(F82="","",F82+Inputs!$B$5/Inputs!$B$14*(Inputs!$C$14*(Inputs!$C$29*NGS_Archaea_Input!$B$9-F82)+Inputs!$D$14*(F9-F82)+Inputs!$E$14*(Inputs!$D$29*NGS_Archaea_Input!$C$9-F82)))</f>
        <v>0</v>
      </c>
      <c r="H82" s="21">
        <f>IF(G82="","",G82+Inputs!$B$5/Inputs!$B$14*(Inputs!$C$14*(Inputs!$C$29*NGS_Archaea_Input!$B$9-G82)+Inputs!$D$14*(G9-G82)+Inputs!$E$14*(Inputs!$D$29*NGS_Archaea_Input!$C$9-G82)))</f>
        <v>0</v>
      </c>
      <c r="I82" s="21">
        <f>IF(H82="","",H82+Inputs!$B$5/Inputs!$B$14*(Inputs!$C$14*(Inputs!$C$29*NGS_Archaea_Input!$B$9-H82)+Inputs!$D$14*(H9-H82)+Inputs!$E$14*(Inputs!$D$29*NGS_Archaea_Input!$C$9-H82)))</f>
        <v>0</v>
      </c>
      <c r="J82" s="21">
        <f>IF(I82="","",I82+Inputs!$B$5/Inputs!$B$14*(Inputs!$C$14*(Inputs!$C$29*NGS_Archaea_Input!$B$9-I82)+Inputs!$D$14*(I9-I82)+Inputs!$E$14*(Inputs!$D$29*NGS_Archaea_Input!$C$9-I82)))</f>
        <v>0</v>
      </c>
      <c r="K82" s="21">
        <f>IF(J82="","",J82+Inputs!$B$5/Inputs!$B$14*(Inputs!$C$14*(Inputs!$C$29*NGS_Archaea_Input!$B$9-J82)+Inputs!$D$14*(J9-J82)+Inputs!$E$14*(Inputs!$D$29*NGS_Archaea_Input!$C$9-J82)))</f>
        <v>0</v>
      </c>
      <c r="L82" s="21">
        <f>IF(K82="","",K82+Inputs!$B$5/Inputs!$B$14*(Inputs!$C$14*(Inputs!$C$29*NGS_Archaea_Input!$B$9-K82)+Inputs!$D$14*(K9-K82)+Inputs!$E$14*(Inputs!$D$29*NGS_Archaea_Input!$C$9-K82)))</f>
        <v>0</v>
      </c>
      <c r="M82" s="21">
        <f>IF(L82="","",L82+Inputs!$B$5/Inputs!$B$14*(Inputs!$C$14*(Inputs!$C$29*NGS_Archaea_Input!$B$9-L82)+Inputs!$D$14*(L9-L82)+Inputs!$E$14*(Inputs!$D$29*NGS_Archaea_Input!$C$9-L82)))</f>
        <v>0</v>
      </c>
      <c r="N82" s="21">
        <f>IF(M82="","",M82+Inputs!$B$5/Inputs!$B$14*(Inputs!$C$14*(Inputs!$C$29*NGS_Archaea_Input!$B$9-M82)+Inputs!$D$14*(M9-M82)+Inputs!$E$14*(Inputs!$D$29*NGS_Archaea_Input!$C$9-M82)))</f>
        <v>0</v>
      </c>
      <c r="O82" s="21">
        <f>IF(N82="","",N82+Inputs!$B$5/Inputs!$B$14*(Inputs!$C$14*(Inputs!$C$29*NGS_Archaea_Input!$B$9-N82)+Inputs!$D$14*(N9-N82)+Inputs!$E$14*(Inputs!$D$29*NGS_Archaea_Input!$C$9-N82)))</f>
        <v>0</v>
      </c>
      <c r="P82" s="21">
        <f>IF(O82="","",O82+Inputs!$B$5/Inputs!$B$14*(Inputs!$C$14*(Inputs!$C$29*NGS_Archaea_Input!$B$9-O82)+Inputs!$D$14*(O9-O82)+Inputs!$E$14*(Inputs!$D$29*NGS_Archaea_Input!$C$9-O82)))</f>
        <v>0</v>
      </c>
      <c r="Q82" s="21">
        <f>IF(P82="","",P82+Inputs!$B$5/Inputs!$B$14*(Inputs!$C$14*(Inputs!$C$29*NGS_Archaea_Input!$B$9-P82)+Inputs!$D$14*(P9-P82)+Inputs!$E$14*(Inputs!$D$29*NGS_Archaea_Input!$C$9-P82)))</f>
        <v>0</v>
      </c>
      <c r="R82" s="21">
        <f>IF(Q82="","",Q82+Inputs!$B$5/Inputs!$B$14*(Inputs!$C$14*(Inputs!$C$29*NGS_Archaea_Input!$B$9-Q82)+Inputs!$D$14*(Q9-Q82)+Inputs!$E$14*(Inputs!$D$29*NGS_Archaea_Input!$C$9-Q82)))</f>
        <v>0</v>
      </c>
      <c r="S82" s="21">
        <f>IF(R82="","",R82+Inputs!$B$5/Inputs!$B$14*(Inputs!$C$14*(Inputs!$C$29*NGS_Archaea_Input!$B$9-R82)+Inputs!$D$14*(R9-R82)+Inputs!$E$14*(Inputs!$D$29*NGS_Archaea_Input!$C$9-R82)))</f>
        <v>0</v>
      </c>
      <c r="T82" s="21">
        <f>IF(S82="","",S82+Inputs!$B$5/Inputs!$B$14*(Inputs!$C$14*(Inputs!$C$29*NGS_Archaea_Input!$B$9-S82)+Inputs!$D$14*(S9-S82)+Inputs!$E$14*(Inputs!$D$29*NGS_Archaea_Input!$C$9-S82)))</f>
        <v>0</v>
      </c>
      <c r="U82" s="21">
        <f>IF(T82="","",T82+Inputs!$B$5/Inputs!$B$14*(Inputs!$C$14*(Inputs!$C$29*NGS_Archaea_Input!$B$9-T82)+Inputs!$D$14*(T9-T82)+Inputs!$E$14*(Inputs!$D$29*NGS_Archaea_Input!$C$9-T82)))</f>
        <v>0</v>
      </c>
      <c r="V82" s="21">
        <f>IF(U82="","",U82+Inputs!$B$5/Inputs!$B$14*(Inputs!$C$14*(Inputs!$C$29*NGS_Archaea_Input!$B$9-U82)+Inputs!$D$14*(U9-U82)+Inputs!$E$14*(Inputs!$D$29*NGS_Archaea_Input!$C$9-U82)))</f>
        <v>0</v>
      </c>
      <c r="W82" s="21">
        <f>IF(V82="","",V82+Inputs!$B$5/Inputs!$B$14*(Inputs!$C$14*(Inputs!$C$29*NGS_Archaea_Input!$B$9-V82)+Inputs!$D$14*(V9-V82)+Inputs!$E$14*(Inputs!$D$29*NGS_Archaea_Input!$C$9-V82)))</f>
        <v>0</v>
      </c>
    </row>
    <row r="83" spans="1:23" ht="18" customHeight="1" x14ac:dyDescent="0.25">
      <c r="A83" s="11" t="str">
        <f>NGS_Archaea_Input!A10</f>
        <v>Arc_taxon_6</v>
      </c>
      <c r="B83" s="21">
        <f>IF(Inputs!$H$37="","",Inputs!$H$37*NGS_Archaea_Input!$F$10)</f>
        <v>0</v>
      </c>
      <c r="C83" s="21">
        <f>IF(B83="","",B83+Inputs!$B$5/Inputs!$B$14*(Inputs!$C$14*(Inputs!$C$29*NGS_Archaea_Input!$B$10-B83)+Inputs!$D$14*(B10-B83)+Inputs!$E$14*(Inputs!$D$29*NGS_Archaea_Input!$C$10-B83)))</f>
        <v>0</v>
      </c>
      <c r="D83" s="21">
        <f>IF(C83="","",C83+Inputs!$B$5/Inputs!$B$14*(Inputs!$C$14*(Inputs!$C$29*NGS_Archaea_Input!$B$10-C83)+Inputs!$D$14*(C10-C83)+Inputs!$E$14*(Inputs!$D$29*NGS_Archaea_Input!$C$10-C83)))</f>
        <v>0</v>
      </c>
      <c r="E83" s="21">
        <f>IF(D83="","",D83+Inputs!$B$5/Inputs!$B$14*(Inputs!$C$14*(Inputs!$C$29*NGS_Archaea_Input!$B$10-D83)+Inputs!$D$14*(D10-D83)+Inputs!$E$14*(Inputs!$D$29*NGS_Archaea_Input!$C$10-D83)))</f>
        <v>0</v>
      </c>
      <c r="F83" s="21">
        <f>IF(E83="","",E83+Inputs!$B$5/Inputs!$B$14*(Inputs!$C$14*(Inputs!$C$29*NGS_Archaea_Input!$B$10-E83)+Inputs!$D$14*(E10-E83)+Inputs!$E$14*(Inputs!$D$29*NGS_Archaea_Input!$C$10-E83)))</f>
        <v>0</v>
      </c>
      <c r="G83" s="21">
        <f>IF(F83="","",F83+Inputs!$B$5/Inputs!$B$14*(Inputs!$C$14*(Inputs!$C$29*NGS_Archaea_Input!$B$10-F83)+Inputs!$D$14*(F10-F83)+Inputs!$E$14*(Inputs!$D$29*NGS_Archaea_Input!$C$10-F83)))</f>
        <v>0</v>
      </c>
      <c r="H83" s="21">
        <f>IF(G83="","",G83+Inputs!$B$5/Inputs!$B$14*(Inputs!$C$14*(Inputs!$C$29*NGS_Archaea_Input!$B$10-G83)+Inputs!$D$14*(G10-G83)+Inputs!$E$14*(Inputs!$D$29*NGS_Archaea_Input!$C$10-G83)))</f>
        <v>0</v>
      </c>
      <c r="I83" s="21">
        <f>IF(H83="","",H83+Inputs!$B$5/Inputs!$B$14*(Inputs!$C$14*(Inputs!$C$29*NGS_Archaea_Input!$B$10-H83)+Inputs!$D$14*(H10-H83)+Inputs!$E$14*(Inputs!$D$29*NGS_Archaea_Input!$C$10-H83)))</f>
        <v>0</v>
      </c>
      <c r="J83" s="21">
        <f>IF(I83="","",I83+Inputs!$B$5/Inputs!$B$14*(Inputs!$C$14*(Inputs!$C$29*NGS_Archaea_Input!$B$10-I83)+Inputs!$D$14*(I10-I83)+Inputs!$E$14*(Inputs!$D$29*NGS_Archaea_Input!$C$10-I83)))</f>
        <v>0</v>
      </c>
      <c r="K83" s="21">
        <f>IF(J83="","",J83+Inputs!$B$5/Inputs!$B$14*(Inputs!$C$14*(Inputs!$C$29*NGS_Archaea_Input!$B$10-J83)+Inputs!$D$14*(J10-J83)+Inputs!$E$14*(Inputs!$D$29*NGS_Archaea_Input!$C$10-J83)))</f>
        <v>0</v>
      </c>
      <c r="L83" s="21">
        <f>IF(K83="","",K83+Inputs!$B$5/Inputs!$B$14*(Inputs!$C$14*(Inputs!$C$29*NGS_Archaea_Input!$B$10-K83)+Inputs!$D$14*(K10-K83)+Inputs!$E$14*(Inputs!$D$29*NGS_Archaea_Input!$C$10-K83)))</f>
        <v>0</v>
      </c>
      <c r="M83" s="21">
        <f>IF(L83="","",L83+Inputs!$B$5/Inputs!$B$14*(Inputs!$C$14*(Inputs!$C$29*NGS_Archaea_Input!$B$10-L83)+Inputs!$D$14*(L10-L83)+Inputs!$E$14*(Inputs!$D$29*NGS_Archaea_Input!$C$10-L83)))</f>
        <v>0</v>
      </c>
      <c r="N83" s="21">
        <f>IF(M83="","",M83+Inputs!$B$5/Inputs!$B$14*(Inputs!$C$14*(Inputs!$C$29*NGS_Archaea_Input!$B$10-M83)+Inputs!$D$14*(M10-M83)+Inputs!$E$14*(Inputs!$D$29*NGS_Archaea_Input!$C$10-M83)))</f>
        <v>0</v>
      </c>
      <c r="O83" s="21">
        <f>IF(N83="","",N83+Inputs!$B$5/Inputs!$B$14*(Inputs!$C$14*(Inputs!$C$29*NGS_Archaea_Input!$B$10-N83)+Inputs!$D$14*(N10-N83)+Inputs!$E$14*(Inputs!$D$29*NGS_Archaea_Input!$C$10-N83)))</f>
        <v>0</v>
      </c>
      <c r="P83" s="21">
        <f>IF(O83="","",O83+Inputs!$B$5/Inputs!$B$14*(Inputs!$C$14*(Inputs!$C$29*NGS_Archaea_Input!$B$10-O83)+Inputs!$D$14*(O10-O83)+Inputs!$E$14*(Inputs!$D$29*NGS_Archaea_Input!$C$10-O83)))</f>
        <v>0</v>
      </c>
      <c r="Q83" s="21">
        <f>IF(P83="","",P83+Inputs!$B$5/Inputs!$B$14*(Inputs!$C$14*(Inputs!$C$29*NGS_Archaea_Input!$B$10-P83)+Inputs!$D$14*(P10-P83)+Inputs!$E$14*(Inputs!$D$29*NGS_Archaea_Input!$C$10-P83)))</f>
        <v>0</v>
      </c>
      <c r="R83" s="21">
        <f>IF(Q83="","",Q83+Inputs!$B$5/Inputs!$B$14*(Inputs!$C$14*(Inputs!$C$29*NGS_Archaea_Input!$B$10-Q83)+Inputs!$D$14*(Q10-Q83)+Inputs!$E$14*(Inputs!$D$29*NGS_Archaea_Input!$C$10-Q83)))</f>
        <v>0</v>
      </c>
      <c r="S83" s="21">
        <f>IF(R83="","",R83+Inputs!$B$5/Inputs!$B$14*(Inputs!$C$14*(Inputs!$C$29*NGS_Archaea_Input!$B$10-R83)+Inputs!$D$14*(R10-R83)+Inputs!$E$14*(Inputs!$D$29*NGS_Archaea_Input!$C$10-R83)))</f>
        <v>0</v>
      </c>
      <c r="T83" s="21">
        <f>IF(S83="","",S83+Inputs!$B$5/Inputs!$B$14*(Inputs!$C$14*(Inputs!$C$29*NGS_Archaea_Input!$B$10-S83)+Inputs!$D$14*(S10-S83)+Inputs!$E$14*(Inputs!$D$29*NGS_Archaea_Input!$C$10-S83)))</f>
        <v>0</v>
      </c>
      <c r="U83" s="21">
        <f>IF(T83="","",T83+Inputs!$B$5/Inputs!$B$14*(Inputs!$C$14*(Inputs!$C$29*NGS_Archaea_Input!$B$10-T83)+Inputs!$D$14*(T10-T83)+Inputs!$E$14*(Inputs!$D$29*NGS_Archaea_Input!$C$10-T83)))</f>
        <v>0</v>
      </c>
      <c r="V83" s="21">
        <f>IF(U83="","",U83+Inputs!$B$5/Inputs!$B$14*(Inputs!$C$14*(Inputs!$C$29*NGS_Archaea_Input!$B$10-U83)+Inputs!$D$14*(U10-U83)+Inputs!$E$14*(Inputs!$D$29*NGS_Archaea_Input!$C$10-U83)))</f>
        <v>0</v>
      </c>
      <c r="W83" s="21">
        <f>IF(V83="","",V83+Inputs!$B$5/Inputs!$B$14*(Inputs!$C$14*(Inputs!$C$29*NGS_Archaea_Input!$B$10-V83)+Inputs!$D$14*(V10-V83)+Inputs!$E$14*(Inputs!$D$29*NGS_Archaea_Input!$C$10-V83)))</f>
        <v>0</v>
      </c>
    </row>
    <row r="84" spans="1:23" ht="18" customHeight="1" x14ac:dyDescent="0.25">
      <c r="A84" s="11" t="str">
        <f>NGS_Archaea_Input!A11</f>
        <v>Arc_taxon_7</v>
      </c>
      <c r="B84" s="21">
        <f>IF(Inputs!$H$37="","",Inputs!$H$37*NGS_Archaea_Input!$F$11)</f>
        <v>0</v>
      </c>
      <c r="C84" s="21">
        <f>IF(B84="","",B84+Inputs!$B$5/Inputs!$B$14*(Inputs!$C$14*(Inputs!$C$29*NGS_Archaea_Input!$B$11-B84)+Inputs!$D$14*(B11-B84)+Inputs!$E$14*(Inputs!$D$29*NGS_Archaea_Input!$C$11-B84)))</f>
        <v>0</v>
      </c>
      <c r="D84" s="21">
        <f>IF(C84="","",C84+Inputs!$B$5/Inputs!$B$14*(Inputs!$C$14*(Inputs!$C$29*NGS_Archaea_Input!$B$11-C84)+Inputs!$D$14*(C11-C84)+Inputs!$E$14*(Inputs!$D$29*NGS_Archaea_Input!$C$11-C84)))</f>
        <v>0</v>
      </c>
      <c r="E84" s="21">
        <f>IF(D84="","",D84+Inputs!$B$5/Inputs!$B$14*(Inputs!$C$14*(Inputs!$C$29*NGS_Archaea_Input!$B$11-D84)+Inputs!$D$14*(D11-D84)+Inputs!$E$14*(Inputs!$D$29*NGS_Archaea_Input!$C$11-D84)))</f>
        <v>0</v>
      </c>
      <c r="F84" s="21">
        <f>IF(E84="","",E84+Inputs!$B$5/Inputs!$B$14*(Inputs!$C$14*(Inputs!$C$29*NGS_Archaea_Input!$B$11-E84)+Inputs!$D$14*(E11-E84)+Inputs!$E$14*(Inputs!$D$29*NGS_Archaea_Input!$C$11-E84)))</f>
        <v>0</v>
      </c>
      <c r="G84" s="21">
        <f>IF(F84="","",F84+Inputs!$B$5/Inputs!$B$14*(Inputs!$C$14*(Inputs!$C$29*NGS_Archaea_Input!$B$11-F84)+Inputs!$D$14*(F11-F84)+Inputs!$E$14*(Inputs!$D$29*NGS_Archaea_Input!$C$11-F84)))</f>
        <v>0</v>
      </c>
      <c r="H84" s="21">
        <f>IF(G84="","",G84+Inputs!$B$5/Inputs!$B$14*(Inputs!$C$14*(Inputs!$C$29*NGS_Archaea_Input!$B$11-G84)+Inputs!$D$14*(G11-G84)+Inputs!$E$14*(Inputs!$D$29*NGS_Archaea_Input!$C$11-G84)))</f>
        <v>0</v>
      </c>
      <c r="I84" s="21">
        <f>IF(H84="","",H84+Inputs!$B$5/Inputs!$B$14*(Inputs!$C$14*(Inputs!$C$29*NGS_Archaea_Input!$B$11-H84)+Inputs!$D$14*(H11-H84)+Inputs!$E$14*(Inputs!$D$29*NGS_Archaea_Input!$C$11-H84)))</f>
        <v>0</v>
      </c>
      <c r="J84" s="21">
        <f>IF(I84="","",I84+Inputs!$B$5/Inputs!$B$14*(Inputs!$C$14*(Inputs!$C$29*NGS_Archaea_Input!$B$11-I84)+Inputs!$D$14*(I11-I84)+Inputs!$E$14*(Inputs!$D$29*NGS_Archaea_Input!$C$11-I84)))</f>
        <v>0</v>
      </c>
      <c r="K84" s="21">
        <f>IF(J84="","",J84+Inputs!$B$5/Inputs!$B$14*(Inputs!$C$14*(Inputs!$C$29*NGS_Archaea_Input!$B$11-J84)+Inputs!$D$14*(J11-J84)+Inputs!$E$14*(Inputs!$D$29*NGS_Archaea_Input!$C$11-J84)))</f>
        <v>0</v>
      </c>
      <c r="L84" s="21">
        <f>IF(K84="","",K84+Inputs!$B$5/Inputs!$B$14*(Inputs!$C$14*(Inputs!$C$29*NGS_Archaea_Input!$B$11-K84)+Inputs!$D$14*(K11-K84)+Inputs!$E$14*(Inputs!$D$29*NGS_Archaea_Input!$C$11-K84)))</f>
        <v>0</v>
      </c>
      <c r="M84" s="21">
        <f>IF(L84="","",L84+Inputs!$B$5/Inputs!$B$14*(Inputs!$C$14*(Inputs!$C$29*NGS_Archaea_Input!$B$11-L84)+Inputs!$D$14*(L11-L84)+Inputs!$E$14*(Inputs!$D$29*NGS_Archaea_Input!$C$11-L84)))</f>
        <v>0</v>
      </c>
      <c r="N84" s="21">
        <f>IF(M84="","",M84+Inputs!$B$5/Inputs!$B$14*(Inputs!$C$14*(Inputs!$C$29*NGS_Archaea_Input!$B$11-M84)+Inputs!$D$14*(M11-M84)+Inputs!$E$14*(Inputs!$D$29*NGS_Archaea_Input!$C$11-M84)))</f>
        <v>0</v>
      </c>
      <c r="O84" s="21">
        <f>IF(N84="","",N84+Inputs!$B$5/Inputs!$B$14*(Inputs!$C$14*(Inputs!$C$29*NGS_Archaea_Input!$B$11-N84)+Inputs!$D$14*(N11-N84)+Inputs!$E$14*(Inputs!$D$29*NGS_Archaea_Input!$C$11-N84)))</f>
        <v>0</v>
      </c>
      <c r="P84" s="21">
        <f>IF(O84="","",O84+Inputs!$B$5/Inputs!$B$14*(Inputs!$C$14*(Inputs!$C$29*NGS_Archaea_Input!$B$11-O84)+Inputs!$D$14*(O11-O84)+Inputs!$E$14*(Inputs!$D$29*NGS_Archaea_Input!$C$11-O84)))</f>
        <v>0</v>
      </c>
      <c r="Q84" s="21">
        <f>IF(P84="","",P84+Inputs!$B$5/Inputs!$B$14*(Inputs!$C$14*(Inputs!$C$29*NGS_Archaea_Input!$B$11-P84)+Inputs!$D$14*(P11-P84)+Inputs!$E$14*(Inputs!$D$29*NGS_Archaea_Input!$C$11-P84)))</f>
        <v>0</v>
      </c>
      <c r="R84" s="21">
        <f>IF(Q84="","",Q84+Inputs!$B$5/Inputs!$B$14*(Inputs!$C$14*(Inputs!$C$29*NGS_Archaea_Input!$B$11-Q84)+Inputs!$D$14*(Q11-Q84)+Inputs!$E$14*(Inputs!$D$29*NGS_Archaea_Input!$C$11-Q84)))</f>
        <v>0</v>
      </c>
      <c r="S84" s="21">
        <f>IF(R84="","",R84+Inputs!$B$5/Inputs!$B$14*(Inputs!$C$14*(Inputs!$C$29*NGS_Archaea_Input!$B$11-R84)+Inputs!$D$14*(R11-R84)+Inputs!$E$14*(Inputs!$D$29*NGS_Archaea_Input!$C$11-R84)))</f>
        <v>0</v>
      </c>
      <c r="T84" s="21">
        <f>IF(S84="","",S84+Inputs!$B$5/Inputs!$B$14*(Inputs!$C$14*(Inputs!$C$29*NGS_Archaea_Input!$B$11-S84)+Inputs!$D$14*(S11-S84)+Inputs!$E$14*(Inputs!$D$29*NGS_Archaea_Input!$C$11-S84)))</f>
        <v>0</v>
      </c>
      <c r="U84" s="21">
        <f>IF(T84="","",T84+Inputs!$B$5/Inputs!$B$14*(Inputs!$C$14*(Inputs!$C$29*NGS_Archaea_Input!$B$11-T84)+Inputs!$D$14*(T11-T84)+Inputs!$E$14*(Inputs!$D$29*NGS_Archaea_Input!$C$11-T84)))</f>
        <v>0</v>
      </c>
      <c r="V84" s="21">
        <f>IF(U84="","",U84+Inputs!$B$5/Inputs!$B$14*(Inputs!$C$14*(Inputs!$C$29*NGS_Archaea_Input!$B$11-U84)+Inputs!$D$14*(U11-U84)+Inputs!$E$14*(Inputs!$D$29*NGS_Archaea_Input!$C$11-U84)))</f>
        <v>0</v>
      </c>
      <c r="W84" s="21">
        <f>IF(V84="","",V84+Inputs!$B$5/Inputs!$B$14*(Inputs!$C$14*(Inputs!$C$29*NGS_Archaea_Input!$B$11-V84)+Inputs!$D$14*(V11-V84)+Inputs!$E$14*(Inputs!$D$29*NGS_Archaea_Input!$C$11-V84)))</f>
        <v>0</v>
      </c>
    </row>
    <row r="85" spans="1:23" ht="18" customHeight="1" x14ac:dyDescent="0.25">
      <c r="A85" s="11" t="str">
        <f>NGS_Archaea_Input!A12</f>
        <v>Arc_taxon_8</v>
      </c>
      <c r="B85" s="21">
        <f>IF(Inputs!$H$37="","",Inputs!$H$37*NGS_Archaea_Input!$F$12)</f>
        <v>0</v>
      </c>
      <c r="C85" s="21">
        <f>IF(B85="","",B85+Inputs!$B$5/Inputs!$B$14*(Inputs!$C$14*(Inputs!$C$29*NGS_Archaea_Input!$B$12-B85)+Inputs!$D$14*(B12-B85)+Inputs!$E$14*(Inputs!$D$29*NGS_Archaea_Input!$C$12-B85)))</f>
        <v>0</v>
      </c>
      <c r="D85" s="21">
        <f>IF(C85="","",C85+Inputs!$B$5/Inputs!$B$14*(Inputs!$C$14*(Inputs!$C$29*NGS_Archaea_Input!$B$12-C85)+Inputs!$D$14*(C12-C85)+Inputs!$E$14*(Inputs!$D$29*NGS_Archaea_Input!$C$12-C85)))</f>
        <v>0</v>
      </c>
      <c r="E85" s="21">
        <f>IF(D85="","",D85+Inputs!$B$5/Inputs!$B$14*(Inputs!$C$14*(Inputs!$C$29*NGS_Archaea_Input!$B$12-D85)+Inputs!$D$14*(D12-D85)+Inputs!$E$14*(Inputs!$D$29*NGS_Archaea_Input!$C$12-D85)))</f>
        <v>0</v>
      </c>
      <c r="F85" s="21">
        <f>IF(E85="","",E85+Inputs!$B$5/Inputs!$B$14*(Inputs!$C$14*(Inputs!$C$29*NGS_Archaea_Input!$B$12-E85)+Inputs!$D$14*(E12-E85)+Inputs!$E$14*(Inputs!$D$29*NGS_Archaea_Input!$C$12-E85)))</f>
        <v>0</v>
      </c>
      <c r="G85" s="21">
        <f>IF(F85="","",F85+Inputs!$B$5/Inputs!$B$14*(Inputs!$C$14*(Inputs!$C$29*NGS_Archaea_Input!$B$12-F85)+Inputs!$D$14*(F12-F85)+Inputs!$E$14*(Inputs!$D$29*NGS_Archaea_Input!$C$12-F85)))</f>
        <v>0</v>
      </c>
      <c r="H85" s="21">
        <f>IF(G85="","",G85+Inputs!$B$5/Inputs!$B$14*(Inputs!$C$14*(Inputs!$C$29*NGS_Archaea_Input!$B$12-G85)+Inputs!$D$14*(G12-G85)+Inputs!$E$14*(Inputs!$D$29*NGS_Archaea_Input!$C$12-G85)))</f>
        <v>0</v>
      </c>
      <c r="I85" s="21">
        <f>IF(H85="","",H85+Inputs!$B$5/Inputs!$B$14*(Inputs!$C$14*(Inputs!$C$29*NGS_Archaea_Input!$B$12-H85)+Inputs!$D$14*(H12-H85)+Inputs!$E$14*(Inputs!$D$29*NGS_Archaea_Input!$C$12-H85)))</f>
        <v>0</v>
      </c>
      <c r="J85" s="21">
        <f>IF(I85="","",I85+Inputs!$B$5/Inputs!$B$14*(Inputs!$C$14*(Inputs!$C$29*NGS_Archaea_Input!$B$12-I85)+Inputs!$D$14*(I12-I85)+Inputs!$E$14*(Inputs!$D$29*NGS_Archaea_Input!$C$12-I85)))</f>
        <v>0</v>
      </c>
      <c r="K85" s="21">
        <f>IF(J85="","",J85+Inputs!$B$5/Inputs!$B$14*(Inputs!$C$14*(Inputs!$C$29*NGS_Archaea_Input!$B$12-J85)+Inputs!$D$14*(J12-J85)+Inputs!$E$14*(Inputs!$D$29*NGS_Archaea_Input!$C$12-J85)))</f>
        <v>0</v>
      </c>
      <c r="L85" s="21">
        <f>IF(K85="","",K85+Inputs!$B$5/Inputs!$B$14*(Inputs!$C$14*(Inputs!$C$29*NGS_Archaea_Input!$B$12-K85)+Inputs!$D$14*(K12-K85)+Inputs!$E$14*(Inputs!$D$29*NGS_Archaea_Input!$C$12-K85)))</f>
        <v>0</v>
      </c>
      <c r="M85" s="21">
        <f>IF(L85="","",L85+Inputs!$B$5/Inputs!$B$14*(Inputs!$C$14*(Inputs!$C$29*NGS_Archaea_Input!$B$12-L85)+Inputs!$D$14*(L12-L85)+Inputs!$E$14*(Inputs!$D$29*NGS_Archaea_Input!$C$12-L85)))</f>
        <v>0</v>
      </c>
      <c r="N85" s="21">
        <f>IF(M85="","",M85+Inputs!$B$5/Inputs!$B$14*(Inputs!$C$14*(Inputs!$C$29*NGS_Archaea_Input!$B$12-M85)+Inputs!$D$14*(M12-M85)+Inputs!$E$14*(Inputs!$D$29*NGS_Archaea_Input!$C$12-M85)))</f>
        <v>0</v>
      </c>
      <c r="O85" s="21">
        <f>IF(N85="","",N85+Inputs!$B$5/Inputs!$B$14*(Inputs!$C$14*(Inputs!$C$29*NGS_Archaea_Input!$B$12-N85)+Inputs!$D$14*(N12-N85)+Inputs!$E$14*(Inputs!$D$29*NGS_Archaea_Input!$C$12-N85)))</f>
        <v>0</v>
      </c>
      <c r="P85" s="21">
        <f>IF(O85="","",O85+Inputs!$B$5/Inputs!$B$14*(Inputs!$C$14*(Inputs!$C$29*NGS_Archaea_Input!$B$12-O85)+Inputs!$D$14*(O12-O85)+Inputs!$E$14*(Inputs!$D$29*NGS_Archaea_Input!$C$12-O85)))</f>
        <v>0</v>
      </c>
      <c r="Q85" s="21">
        <f>IF(P85="","",P85+Inputs!$B$5/Inputs!$B$14*(Inputs!$C$14*(Inputs!$C$29*NGS_Archaea_Input!$B$12-P85)+Inputs!$D$14*(P12-P85)+Inputs!$E$14*(Inputs!$D$29*NGS_Archaea_Input!$C$12-P85)))</f>
        <v>0</v>
      </c>
      <c r="R85" s="21">
        <f>IF(Q85="","",Q85+Inputs!$B$5/Inputs!$B$14*(Inputs!$C$14*(Inputs!$C$29*NGS_Archaea_Input!$B$12-Q85)+Inputs!$D$14*(Q12-Q85)+Inputs!$E$14*(Inputs!$D$29*NGS_Archaea_Input!$C$12-Q85)))</f>
        <v>0</v>
      </c>
      <c r="S85" s="21">
        <f>IF(R85="","",R85+Inputs!$B$5/Inputs!$B$14*(Inputs!$C$14*(Inputs!$C$29*NGS_Archaea_Input!$B$12-R85)+Inputs!$D$14*(R12-R85)+Inputs!$E$14*(Inputs!$D$29*NGS_Archaea_Input!$C$12-R85)))</f>
        <v>0</v>
      </c>
      <c r="T85" s="21">
        <f>IF(S85="","",S85+Inputs!$B$5/Inputs!$B$14*(Inputs!$C$14*(Inputs!$C$29*NGS_Archaea_Input!$B$12-S85)+Inputs!$D$14*(S12-S85)+Inputs!$E$14*(Inputs!$D$29*NGS_Archaea_Input!$C$12-S85)))</f>
        <v>0</v>
      </c>
      <c r="U85" s="21">
        <f>IF(T85="","",T85+Inputs!$B$5/Inputs!$B$14*(Inputs!$C$14*(Inputs!$C$29*NGS_Archaea_Input!$B$12-T85)+Inputs!$D$14*(T12-T85)+Inputs!$E$14*(Inputs!$D$29*NGS_Archaea_Input!$C$12-T85)))</f>
        <v>0</v>
      </c>
      <c r="V85" s="21">
        <f>IF(U85="","",U85+Inputs!$B$5/Inputs!$B$14*(Inputs!$C$14*(Inputs!$C$29*NGS_Archaea_Input!$B$12-U85)+Inputs!$D$14*(U12-U85)+Inputs!$E$14*(Inputs!$D$29*NGS_Archaea_Input!$C$12-U85)))</f>
        <v>0</v>
      </c>
      <c r="W85" s="21">
        <f>IF(V85="","",V85+Inputs!$B$5/Inputs!$B$14*(Inputs!$C$14*(Inputs!$C$29*NGS_Archaea_Input!$B$12-V85)+Inputs!$D$14*(V12-V85)+Inputs!$E$14*(Inputs!$D$29*NGS_Archaea_Input!$C$12-V85)))</f>
        <v>0</v>
      </c>
    </row>
    <row r="86" spans="1:23" ht="18" customHeight="1" x14ac:dyDescent="0.25">
      <c r="A86" s="11" t="str">
        <f>NGS_Archaea_Input!A13</f>
        <v>Arc_taxon_9</v>
      </c>
      <c r="B86" s="21">
        <f>IF(Inputs!$H$37="","",Inputs!$H$37*NGS_Archaea_Input!$F$13)</f>
        <v>0</v>
      </c>
      <c r="C86" s="21">
        <f>IF(B86="","",B86+Inputs!$B$5/Inputs!$B$14*(Inputs!$C$14*(Inputs!$C$29*NGS_Archaea_Input!$B$13-B86)+Inputs!$D$14*(B13-B86)+Inputs!$E$14*(Inputs!$D$29*NGS_Archaea_Input!$C$13-B86)))</f>
        <v>0</v>
      </c>
      <c r="D86" s="21">
        <f>IF(C86="","",C86+Inputs!$B$5/Inputs!$B$14*(Inputs!$C$14*(Inputs!$C$29*NGS_Archaea_Input!$B$13-C86)+Inputs!$D$14*(C13-C86)+Inputs!$E$14*(Inputs!$D$29*NGS_Archaea_Input!$C$13-C86)))</f>
        <v>0</v>
      </c>
      <c r="E86" s="21">
        <f>IF(D86="","",D86+Inputs!$B$5/Inputs!$B$14*(Inputs!$C$14*(Inputs!$C$29*NGS_Archaea_Input!$B$13-D86)+Inputs!$D$14*(D13-D86)+Inputs!$E$14*(Inputs!$D$29*NGS_Archaea_Input!$C$13-D86)))</f>
        <v>0</v>
      </c>
      <c r="F86" s="21">
        <f>IF(E86="","",E86+Inputs!$B$5/Inputs!$B$14*(Inputs!$C$14*(Inputs!$C$29*NGS_Archaea_Input!$B$13-E86)+Inputs!$D$14*(E13-E86)+Inputs!$E$14*(Inputs!$D$29*NGS_Archaea_Input!$C$13-E86)))</f>
        <v>0</v>
      </c>
      <c r="G86" s="21">
        <f>IF(F86="","",F86+Inputs!$B$5/Inputs!$B$14*(Inputs!$C$14*(Inputs!$C$29*NGS_Archaea_Input!$B$13-F86)+Inputs!$D$14*(F13-F86)+Inputs!$E$14*(Inputs!$D$29*NGS_Archaea_Input!$C$13-F86)))</f>
        <v>0</v>
      </c>
      <c r="H86" s="21">
        <f>IF(G86="","",G86+Inputs!$B$5/Inputs!$B$14*(Inputs!$C$14*(Inputs!$C$29*NGS_Archaea_Input!$B$13-G86)+Inputs!$D$14*(G13-G86)+Inputs!$E$14*(Inputs!$D$29*NGS_Archaea_Input!$C$13-G86)))</f>
        <v>0</v>
      </c>
      <c r="I86" s="21">
        <f>IF(H86="","",H86+Inputs!$B$5/Inputs!$B$14*(Inputs!$C$14*(Inputs!$C$29*NGS_Archaea_Input!$B$13-H86)+Inputs!$D$14*(H13-H86)+Inputs!$E$14*(Inputs!$D$29*NGS_Archaea_Input!$C$13-H86)))</f>
        <v>0</v>
      </c>
      <c r="J86" s="21">
        <f>IF(I86="","",I86+Inputs!$B$5/Inputs!$B$14*(Inputs!$C$14*(Inputs!$C$29*NGS_Archaea_Input!$B$13-I86)+Inputs!$D$14*(I13-I86)+Inputs!$E$14*(Inputs!$D$29*NGS_Archaea_Input!$C$13-I86)))</f>
        <v>0</v>
      </c>
      <c r="K86" s="21">
        <f>IF(J86="","",J86+Inputs!$B$5/Inputs!$B$14*(Inputs!$C$14*(Inputs!$C$29*NGS_Archaea_Input!$B$13-J86)+Inputs!$D$14*(J13-J86)+Inputs!$E$14*(Inputs!$D$29*NGS_Archaea_Input!$C$13-J86)))</f>
        <v>0</v>
      </c>
      <c r="L86" s="21">
        <f>IF(K86="","",K86+Inputs!$B$5/Inputs!$B$14*(Inputs!$C$14*(Inputs!$C$29*NGS_Archaea_Input!$B$13-K86)+Inputs!$D$14*(K13-K86)+Inputs!$E$14*(Inputs!$D$29*NGS_Archaea_Input!$C$13-K86)))</f>
        <v>0</v>
      </c>
      <c r="M86" s="21">
        <f>IF(L86="","",L86+Inputs!$B$5/Inputs!$B$14*(Inputs!$C$14*(Inputs!$C$29*NGS_Archaea_Input!$B$13-L86)+Inputs!$D$14*(L13-L86)+Inputs!$E$14*(Inputs!$D$29*NGS_Archaea_Input!$C$13-L86)))</f>
        <v>0</v>
      </c>
      <c r="N86" s="21">
        <f>IF(M86="","",M86+Inputs!$B$5/Inputs!$B$14*(Inputs!$C$14*(Inputs!$C$29*NGS_Archaea_Input!$B$13-M86)+Inputs!$D$14*(M13-M86)+Inputs!$E$14*(Inputs!$D$29*NGS_Archaea_Input!$C$13-M86)))</f>
        <v>0</v>
      </c>
      <c r="O86" s="21">
        <f>IF(N86="","",N86+Inputs!$B$5/Inputs!$B$14*(Inputs!$C$14*(Inputs!$C$29*NGS_Archaea_Input!$B$13-N86)+Inputs!$D$14*(N13-N86)+Inputs!$E$14*(Inputs!$D$29*NGS_Archaea_Input!$C$13-N86)))</f>
        <v>0</v>
      </c>
      <c r="P86" s="21">
        <f>IF(O86="","",O86+Inputs!$B$5/Inputs!$B$14*(Inputs!$C$14*(Inputs!$C$29*NGS_Archaea_Input!$B$13-O86)+Inputs!$D$14*(O13-O86)+Inputs!$E$14*(Inputs!$D$29*NGS_Archaea_Input!$C$13-O86)))</f>
        <v>0</v>
      </c>
      <c r="Q86" s="21">
        <f>IF(P86="","",P86+Inputs!$B$5/Inputs!$B$14*(Inputs!$C$14*(Inputs!$C$29*NGS_Archaea_Input!$B$13-P86)+Inputs!$D$14*(P13-P86)+Inputs!$E$14*(Inputs!$D$29*NGS_Archaea_Input!$C$13-P86)))</f>
        <v>0</v>
      </c>
      <c r="R86" s="21">
        <f>IF(Q86="","",Q86+Inputs!$B$5/Inputs!$B$14*(Inputs!$C$14*(Inputs!$C$29*NGS_Archaea_Input!$B$13-Q86)+Inputs!$D$14*(Q13-Q86)+Inputs!$E$14*(Inputs!$D$29*NGS_Archaea_Input!$C$13-Q86)))</f>
        <v>0</v>
      </c>
      <c r="S86" s="21">
        <f>IF(R86="","",R86+Inputs!$B$5/Inputs!$B$14*(Inputs!$C$14*(Inputs!$C$29*NGS_Archaea_Input!$B$13-R86)+Inputs!$D$14*(R13-R86)+Inputs!$E$14*(Inputs!$D$29*NGS_Archaea_Input!$C$13-R86)))</f>
        <v>0</v>
      </c>
      <c r="T86" s="21">
        <f>IF(S86="","",S86+Inputs!$B$5/Inputs!$B$14*(Inputs!$C$14*(Inputs!$C$29*NGS_Archaea_Input!$B$13-S86)+Inputs!$D$14*(S13-S86)+Inputs!$E$14*(Inputs!$D$29*NGS_Archaea_Input!$C$13-S86)))</f>
        <v>0</v>
      </c>
      <c r="U86" s="21">
        <f>IF(T86="","",T86+Inputs!$B$5/Inputs!$B$14*(Inputs!$C$14*(Inputs!$C$29*NGS_Archaea_Input!$B$13-T86)+Inputs!$D$14*(T13-T86)+Inputs!$E$14*(Inputs!$D$29*NGS_Archaea_Input!$C$13-T86)))</f>
        <v>0</v>
      </c>
      <c r="V86" s="21">
        <f>IF(U86="","",U86+Inputs!$B$5/Inputs!$B$14*(Inputs!$C$14*(Inputs!$C$29*NGS_Archaea_Input!$B$13-U86)+Inputs!$D$14*(U13-U86)+Inputs!$E$14*(Inputs!$D$29*NGS_Archaea_Input!$C$13-U86)))</f>
        <v>0</v>
      </c>
      <c r="W86" s="21">
        <f>IF(V86="","",V86+Inputs!$B$5/Inputs!$B$14*(Inputs!$C$14*(Inputs!$C$29*NGS_Archaea_Input!$B$13-V86)+Inputs!$D$14*(V13-V86)+Inputs!$E$14*(Inputs!$D$29*NGS_Archaea_Input!$C$13-V86)))</f>
        <v>0</v>
      </c>
    </row>
    <row r="87" spans="1:23" ht="18" customHeight="1" x14ac:dyDescent="0.25">
      <c r="A87" s="11" t="str">
        <f>NGS_Archaea_Input!A14</f>
        <v>Arc_taxon_10</v>
      </c>
      <c r="B87" s="21">
        <f>IF(Inputs!$H$37="","",Inputs!$H$37*NGS_Archaea_Input!$F$14)</f>
        <v>0</v>
      </c>
      <c r="C87" s="21">
        <f>IF(B87="","",B87+Inputs!$B$5/Inputs!$B$14*(Inputs!$C$14*(Inputs!$C$29*NGS_Archaea_Input!$B$14-B87)+Inputs!$D$14*(B14-B87)+Inputs!$E$14*(Inputs!$D$29*NGS_Archaea_Input!$C$14-B87)))</f>
        <v>0</v>
      </c>
      <c r="D87" s="21">
        <f>IF(C87="","",C87+Inputs!$B$5/Inputs!$B$14*(Inputs!$C$14*(Inputs!$C$29*NGS_Archaea_Input!$B$14-C87)+Inputs!$D$14*(C14-C87)+Inputs!$E$14*(Inputs!$D$29*NGS_Archaea_Input!$C$14-C87)))</f>
        <v>0</v>
      </c>
      <c r="E87" s="21">
        <f>IF(D87="","",D87+Inputs!$B$5/Inputs!$B$14*(Inputs!$C$14*(Inputs!$C$29*NGS_Archaea_Input!$B$14-D87)+Inputs!$D$14*(D14-D87)+Inputs!$E$14*(Inputs!$D$29*NGS_Archaea_Input!$C$14-D87)))</f>
        <v>0</v>
      </c>
      <c r="F87" s="21">
        <f>IF(E87="","",E87+Inputs!$B$5/Inputs!$B$14*(Inputs!$C$14*(Inputs!$C$29*NGS_Archaea_Input!$B$14-E87)+Inputs!$D$14*(E14-E87)+Inputs!$E$14*(Inputs!$D$29*NGS_Archaea_Input!$C$14-E87)))</f>
        <v>0</v>
      </c>
      <c r="G87" s="21">
        <f>IF(F87="","",F87+Inputs!$B$5/Inputs!$B$14*(Inputs!$C$14*(Inputs!$C$29*NGS_Archaea_Input!$B$14-F87)+Inputs!$D$14*(F14-F87)+Inputs!$E$14*(Inputs!$D$29*NGS_Archaea_Input!$C$14-F87)))</f>
        <v>0</v>
      </c>
      <c r="H87" s="21">
        <f>IF(G87="","",G87+Inputs!$B$5/Inputs!$B$14*(Inputs!$C$14*(Inputs!$C$29*NGS_Archaea_Input!$B$14-G87)+Inputs!$D$14*(G14-G87)+Inputs!$E$14*(Inputs!$D$29*NGS_Archaea_Input!$C$14-G87)))</f>
        <v>0</v>
      </c>
      <c r="I87" s="21">
        <f>IF(H87="","",H87+Inputs!$B$5/Inputs!$B$14*(Inputs!$C$14*(Inputs!$C$29*NGS_Archaea_Input!$B$14-H87)+Inputs!$D$14*(H14-H87)+Inputs!$E$14*(Inputs!$D$29*NGS_Archaea_Input!$C$14-H87)))</f>
        <v>0</v>
      </c>
      <c r="J87" s="21">
        <f>IF(I87="","",I87+Inputs!$B$5/Inputs!$B$14*(Inputs!$C$14*(Inputs!$C$29*NGS_Archaea_Input!$B$14-I87)+Inputs!$D$14*(I14-I87)+Inputs!$E$14*(Inputs!$D$29*NGS_Archaea_Input!$C$14-I87)))</f>
        <v>0</v>
      </c>
      <c r="K87" s="21">
        <f>IF(J87="","",J87+Inputs!$B$5/Inputs!$B$14*(Inputs!$C$14*(Inputs!$C$29*NGS_Archaea_Input!$B$14-J87)+Inputs!$D$14*(J14-J87)+Inputs!$E$14*(Inputs!$D$29*NGS_Archaea_Input!$C$14-J87)))</f>
        <v>0</v>
      </c>
      <c r="L87" s="21">
        <f>IF(K87="","",K87+Inputs!$B$5/Inputs!$B$14*(Inputs!$C$14*(Inputs!$C$29*NGS_Archaea_Input!$B$14-K87)+Inputs!$D$14*(K14-K87)+Inputs!$E$14*(Inputs!$D$29*NGS_Archaea_Input!$C$14-K87)))</f>
        <v>0</v>
      </c>
      <c r="M87" s="21">
        <f>IF(L87="","",L87+Inputs!$B$5/Inputs!$B$14*(Inputs!$C$14*(Inputs!$C$29*NGS_Archaea_Input!$B$14-L87)+Inputs!$D$14*(L14-L87)+Inputs!$E$14*(Inputs!$D$29*NGS_Archaea_Input!$C$14-L87)))</f>
        <v>0</v>
      </c>
      <c r="N87" s="21">
        <f>IF(M87="","",M87+Inputs!$B$5/Inputs!$B$14*(Inputs!$C$14*(Inputs!$C$29*NGS_Archaea_Input!$B$14-M87)+Inputs!$D$14*(M14-M87)+Inputs!$E$14*(Inputs!$D$29*NGS_Archaea_Input!$C$14-M87)))</f>
        <v>0</v>
      </c>
      <c r="O87" s="21">
        <f>IF(N87="","",N87+Inputs!$B$5/Inputs!$B$14*(Inputs!$C$14*(Inputs!$C$29*NGS_Archaea_Input!$B$14-N87)+Inputs!$D$14*(N14-N87)+Inputs!$E$14*(Inputs!$D$29*NGS_Archaea_Input!$C$14-N87)))</f>
        <v>0</v>
      </c>
      <c r="P87" s="21">
        <f>IF(O87="","",O87+Inputs!$B$5/Inputs!$B$14*(Inputs!$C$14*(Inputs!$C$29*NGS_Archaea_Input!$B$14-O87)+Inputs!$D$14*(O14-O87)+Inputs!$E$14*(Inputs!$D$29*NGS_Archaea_Input!$C$14-O87)))</f>
        <v>0</v>
      </c>
      <c r="Q87" s="21">
        <f>IF(P87="","",P87+Inputs!$B$5/Inputs!$B$14*(Inputs!$C$14*(Inputs!$C$29*NGS_Archaea_Input!$B$14-P87)+Inputs!$D$14*(P14-P87)+Inputs!$E$14*(Inputs!$D$29*NGS_Archaea_Input!$C$14-P87)))</f>
        <v>0</v>
      </c>
      <c r="R87" s="21">
        <f>IF(Q87="","",Q87+Inputs!$B$5/Inputs!$B$14*(Inputs!$C$14*(Inputs!$C$29*NGS_Archaea_Input!$B$14-Q87)+Inputs!$D$14*(Q14-Q87)+Inputs!$E$14*(Inputs!$D$29*NGS_Archaea_Input!$C$14-Q87)))</f>
        <v>0</v>
      </c>
      <c r="S87" s="21">
        <f>IF(R87="","",R87+Inputs!$B$5/Inputs!$B$14*(Inputs!$C$14*(Inputs!$C$29*NGS_Archaea_Input!$B$14-R87)+Inputs!$D$14*(R14-R87)+Inputs!$E$14*(Inputs!$D$29*NGS_Archaea_Input!$C$14-R87)))</f>
        <v>0</v>
      </c>
      <c r="T87" s="21">
        <f>IF(S87="","",S87+Inputs!$B$5/Inputs!$B$14*(Inputs!$C$14*(Inputs!$C$29*NGS_Archaea_Input!$B$14-S87)+Inputs!$D$14*(S14-S87)+Inputs!$E$14*(Inputs!$D$29*NGS_Archaea_Input!$C$14-S87)))</f>
        <v>0</v>
      </c>
      <c r="U87" s="21">
        <f>IF(T87="","",T87+Inputs!$B$5/Inputs!$B$14*(Inputs!$C$14*(Inputs!$C$29*NGS_Archaea_Input!$B$14-T87)+Inputs!$D$14*(T14-T87)+Inputs!$E$14*(Inputs!$D$29*NGS_Archaea_Input!$C$14-T87)))</f>
        <v>0</v>
      </c>
      <c r="V87" s="21">
        <f>IF(U87="","",U87+Inputs!$B$5/Inputs!$B$14*(Inputs!$C$14*(Inputs!$C$29*NGS_Archaea_Input!$B$14-U87)+Inputs!$D$14*(U14-U87)+Inputs!$E$14*(Inputs!$D$29*NGS_Archaea_Input!$C$14-U87)))</f>
        <v>0</v>
      </c>
      <c r="W87" s="21">
        <f>IF(V87="","",V87+Inputs!$B$5/Inputs!$B$14*(Inputs!$C$14*(Inputs!$C$29*NGS_Archaea_Input!$B$14-V87)+Inputs!$D$14*(V14-V87)+Inputs!$E$14*(Inputs!$D$29*NGS_Archaea_Input!$C$14-V87)))</f>
        <v>0</v>
      </c>
    </row>
    <row r="88" spans="1:23" ht="18" customHeight="1" x14ac:dyDescent="0.25">
      <c r="A88" s="11" t="str">
        <f>NGS_Archaea_Input!A15</f>
        <v>Others</v>
      </c>
      <c r="B88" s="21">
        <f>IF(Inputs!$H$37="","",Inputs!$H$37*NGS_Archaea_Input!$F$15)</f>
        <v>13068242.528229246</v>
      </c>
      <c r="C88" s="21">
        <f>IF(B88="","",B88+Inputs!$B$5/Inputs!$B$14*(Inputs!$C$14*(Inputs!$C$29*NGS_Archaea_Input!$B$15-B88)+Inputs!$D$14*(B15-B88)+Inputs!$E$14*(Inputs!$D$29*NGS_Archaea_Input!$C$15-B88)))</f>
        <v>12791371.695973534</v>
      </c>
      <c r="D88" s="21">
        <f>IF(C88="","",C88+Inputs!$B$5/Inputs!$B$14*(Inputs!$C$14*(Inputs!$C$29*NGS_Archaea_Input!$B$15-C88)+Inputs!$D$14*(C15-C88)+Inputs!$E$14*(Inputs!$D$29*NGS_Archaea_Input!$C$15-C88)))</f>
        <v>12522543.182113154</v>
      </c>
      <c r="E88" s="21">
        <f>IF(D88="","",D88+Inputs!$B$5/Inputs!$B$14*(Inputs!$C$14*(Inputs!$C$29*NGS_Archaea_Input!$B$15-D88)+Inputs!$D$14*(D15-D88)+Inputs!$E$14*(Inputs!$D$29*NGS_Archaea_Input!$C$15-D88)))</f>
        <v>12261511.419739768</v>
      </c>
      <c r="F88" s="21">
        <f>IF(E88="","",E88+Inputs!$B$5/Inputs!$B$14*(Inputs!$C$14*(Inputs!$C$29*NGS_Archaea_Input!$B$15-E88)+Inputs!$D$14*(E15-E88)+Inputs!$E$14*(Inputs!$D$29*NGS_Archaea_Input!$C$15-E88)))</f>
        <v>12008038.351750029</v>
      </c>
      <c r="G88" s="21">
        <f>IF(F88="","",F88+Inputs!$B$5/Inputs!$B$14*(Inputs!$C$14*(Inputs!$C$29*NGS_Archaea_Input!$B$15-F88)+Inputs!$D$14*(F15-F88)+Inputs!$E$14*(Inputs!$D$29*NGS_Archaea_Input!$C$15-F88)))</f>
        <v>11761893.218386779</v>
      </c>
      <c r="H88" s="21">
        <f>IF(G88="","",G88+Inputs!$B$5/Inputs!$B$14*(Inputs!$C$14*(Inputs!$C$29*NGS_Archaea_Input!$B$15-G88)+Inputs!$D$14*(G15-G88)+Inputs!$E$14*(Inputs!$D$29*NGS_Archaea_Input!$C$15-G88)))</f>
        <v>11522852.349320007</v>
      </c>
      <c r="I88" s="21">
        <f>IF(H88="","",H88+Inputs!$B$5/Inputs!$B$14*(Inputs!$C$14*(Inputs!$C$29*NGS_Archaea_Input!$B$15-H88)+Inputs!$D$14*(H15-H88)+Inputs!$E$14*(Inputs!$D$29*NGS_Archaea_Input!$C$15-H88)))</f>
        <v>11290698.960280297</v>
      </c>
      <c r="J88" s="21">
        <f>IF(I88="","",I88+Inputs!$B$5/Inputs!$B$14*(Inputs!$C$14*(Inputs!$C$29*NGS_Archaea_Input!$B$15-I88)+Inputs!$D$14*(I15-I88)+Inputs!$E$14*(Inputs!$D$29*NGS_Archaea_Input!$C$15-I88)))</f>
        <v>11065222.954247085</v>
      </c>
      <c r="K88" s="21">
        <f>IF(J88="","",J88+Inputs!$B$5/Inputs!$B$14*(Inputs!$C$14*(Inputs!$C$29*NGS_Archaea_Input!$B$15-J88)+Inputs!$D$14*(J15-J88)+Inputs!$E$14*(Inputs!$D$29*NGS_Archaea_Input!$C$15-J88)))</f>
        <v>10846220.727184683</v>
      </c>
      <c r="L88" s="21">
        <f>IF(K88="","",K88+Inputs!$B$5/Inputs!$B$14*(Inputs!$C$14*(Inputs!$C$29*NGS_Archaea_Input!$B$15-K88)+Inputs!$D$14*(K15-K88)+Inputs!$E$14*(Inputs!$D$29*NGS_Archaea_Input!$C$15-K88)))</f>
        <v>10633494.978310363</v>
      </c>
      <c r="M88" s="21">
        <f>IF(L88="","",L88+Inputs!$B$5/Inputs!$B$14*(Inputs!$C$14*(Inputs!$C$29*NGS_Archaea_Input!$B$15-L88)+Inputs!$D$14*(L15-L88)+Inputs!$E$14*(Inputs!$D$29*NGS_Archaea_Input!$C$15-L88)))</f>
        <v>10426854.524871072</v>
      </c>
      <c r="N88" s="21">
        <f>IF(M88="","",M88+Inputs!$B$5/Inputs!$B$14*(Inputs!$C$14*(Inputs!$C$29*NGS_Archaea_Input!$B$15-M88)+Inputs!$D$14*(M15-M88)+Inputs!$E$14*(Inputs!$D$29*NGS_Archaea_Input!$C$15-M88)))</f>
        <v>10226114.121398237</v>
      </c>
      <c r="O88" s="21">
        <f>IF(N88="","",N88+Inputs!$B$5/Inputs!$B$14*(Inputs!$C$14*(Inputs!$C$29*NGS_Archaea_Input!$B$15-N88)+Inputs!$D$14*(N15-N88)+Inputs!$E$14*(Inputs!$D$29*NGS_Archaea_Input!$C$15-N88)))</f>
        <v>10031094.283403823</v>
      </c>
      <c r="P88" s="21">
        <f>IF(O88="","",O88+Inputs!$B$5/Inputs!$B$14*(Inputs!$C$14*(Inputs!$C$29*NGS_Archaea_Input!$B$15-O88)+Inputs!$D$14*(O15-O88)+Inputs!$E$14*(Inputs!$D$29*NGS_Archaea_Input!$C$15-O88)))</f>
        <v>9841621.1154750492</v>
      </c>
      <c r="Q88" s="21">
        <f>IF(P88="","",P88+Inputs!$B$5/Inputs!$B$14*(Inputs!$C$14*(Inputs!$C$29*NGS_Archaea_Input!$B$15-P88)+Inputs!$D$14*(P15-P88)+Inputs!$E$14*(Inputs!$D$29*NGS_Archaea_Input!$C$15-P88)))</f>
        <v>9657526.1437200494</v>
      </c>
      <c r="R88" s="21">
        <f>IF(Q88="","",Q88+Inputs!$B$5/Inputs!$B$14*(Inputs!$C$14*(Inputs!$C$29*NGS_Archaea_Input!$B$15-Q88)+Inputs!$D$14*(Q15-Q88)+Inputs!$E$14*(Inputs!$D$29*NGS_Archaea_Input!$C$15-Q88)))</f>
        <v>9478646.1525122188</v>
      </c>
      <c r="S88" s="21">
        <f>IF(R88="","",R88+Inputs!$B$5/Inputs!$B$14*(Inputs!$C$14*(Inputs!$C$29*NGS_Archaea_Input!$B$15-R88)+Inputs!$D$14*(R15-R88)+Inputs!$E$14*(Inputs!$D$29*NGS_Archaea_Input!$C$15-R88)))</f>
        <v>9304823.0254769269</v>
      </c>
      <c r="T88" s="21">
        <f>IF(S88="","",S88+Inputs!$B$5/Inputs!$B$14*(Inputs!$C$14*(Inputs!$C$29*NGS_Archaea_Input!$B$15-S88)+Inputs!$D$14*(S15-S88)+Inputs!$E$14*(Inputs!$D$29*NGS_Archaea_Input!$C$15-S88)))</f>
        <v>9135903.5906606782</v>
      </c>
      <c r="U88" s="21">
        <f>IF(T88="","",T88+Inputs!$B$5/Inputs!$B$14*(Inputs!$C$14*(Inputs!$C$29*NGS_Archaea_Input!$B$15-T88)+Inputs!$D$14*(T15-T88)+Inputs!$E$14*(Inputs!$D$29*NGS_Archaea_Input!$C$15-T88)))</f>
        <v>8971739.4698196873</v>
      </c>
      <c r="V88" s="21">
        <f>IF(U88="","",U88+Inputs!$B$5/Inputs!$B$14*(Inputs!$C$14*(Inputs!$C$29*NGS_Archaea_Input!$B$15-U88)+Inputs!$D$14*(U15-U88)+Inputs!$E$14*(Inputs!$D$29*NGS_Archaea_Input!$C$15-U88)))</f>
        <v>8812186.9317621142</v>
      </c>
      <c r="W88" s="21">
        <f>IF(V88="","",V88+Inputs!$B$5/Inputs!$B$14*(Inputs!$C$14*(Inputs!$C$29*NGS_Archaea_Input!$B$15-V88)+Inputs!$D$14*(V15-V88)+Inputs!$E$14*(Inputs!$D$29*NGS_Archaea_Input!$C$15-V88)))</f>
        <v>8657106.7496758271</v>
      </c>
    </row>
    <row r="89" spans="1:23" ht="18" customHeight="1" x14ac:dyDescent="0.25"/>
    <row r="90" spans="1:23" ht="18" customHeight="1" x14ac:dyDescent="0.25">
      <c r="A90" s="25" t="s">
        <v>162</v>
      </c>
    </row>
    <row r="91" spans="1:23" ht="18" customHeight="1" x14ac:dyDescent="0.25">
      <c r="A91" s="11" t="str">
        <f>NGS_Archaea_Input!A5</f>
        <v>Arc_taxon_1</v>
      </c>
      <c r="B91" s="14">
        <f>IF(BAC_ARC_Daily!Q5&lt;&gt;0,B78/BAC_ARC_Daily!Q5,"")</f>
        <v>0</v>
      </c>
      <c r="C91" s="14">
        <f>IF(BAC_ARC_Daily!Q6&lt;&gt;0,C78/BAC_ARC_Daily!Q6,"")</f>
        <v>0</v>
      </c>
      <c r="D91" s="14">
        <f>IF(BAC_ARC_Daily!Q7&lt;&gt;0,D78/BAC_ARC_Daily!Q7,"")</f>
        <v>0</v>
      </c>
      <c r="E91" s="14">
        <f>IF(BAC_ARC_Daily!Q8&lt;&gt;0,E78/BAC_ARC_Daily!Q8,"")</f>
        <v>0</v>
      </c>
      <c r="F91" s="14">
        <f>IF(BAC_ARC_Daily!Q9&lt;&gt;0,F78/BAC_ARC_Daily!Q9,"")</f>
        <v>0</v>
      </c>
      <c r="G91" s="14">
        <f>IF(BAC_ARC_Daily!Q10&lt;&gt;0,G78/BAC_ARC_Daily!Q10,"")</f>
        <v>0</v>
      </c>
      <c r="H91" s="14">
        <f>IF(BAC_ARC_Daily!Q11&lt;&gt;0,H78/BAC_ARC_Daily!Q11,"")</f>
        <v>0</v>
      </c>
      <c r="I91" s="14">
        <f>IF(BAC_ARC_Daily!Q12&lt;&gt;0,I78/BAC_ARC_Daily!Q12,"")</f>
        <v>0</v>
      </c>
      <c r="J91" s="14">
        <f>IF(BAC_ARC_Daily!Q13&lt;&gt;0,J78/BAC_ARC_Daily!Q13,"")</f>
        <v>0</v>
      </c>
      <c r="K91" s="14">
        <f>IF(BAC_ARC_Daily!Q14&lt;&gt;0,K78/BAC_ARC_Daily!Q14,"")</f>
        <v>0</v>
      </c>
      <c r="L91" s="14">
        <f>IF(BAC_ARC_Daily!Q15&lt;&gt;0,L78/BAC_ARC_Daily!Q15,"")</f>
        <v>0</v>
      </c>
      <c r="M91" s="14">
        <f>IF(BAC_ARC_Daily!Q16&lt;&gt;0,M78/BAC_ARC_Daily!Q16,"")</f>
        <v>0</v>
      </c>
      <c r="N91" s="14">
        <f>IF(BAC_ARC_Daily!Q17&lt;&gt;0,N78/BAC_ARC_Daily!Q17,"")</f>
        <v>0</v>
      </c>
      <c r="O91" s="14">
        <f>IF(BAC_ARC_Daily!Q18&lt;&gt;0,O78/BAC_ARC_Daily!Q18,"")</f>
        <v>0</v>
      </c>
      <c r="P91" s="14">
        <f>IF(BAC_ARC_Daily!Q19&lt;&gt;0,P78/BAC_ARC_Daily!Q19,"")</f>
        <v>0</v>
      </c>
      <c r="Q91" s="14">
        <f>IF(BAC_ARC_Daily!Q20&lt;&gt;0,Q78/BAC_ARC_Daily!Q20,"")</f>
        <v>0</v>
      </c>
      <c r="R91" s="14">
        <f>IF(BAC_ARC_Daily!Q21&lt;&gt;0,R78/BAC_ARC_Daily!Q21,"")</f>
        <v>0</v>
      </c>
      <c r="S91" s="14">
        <f>IF(BAC_ARC_Daily!Q22&lt;&gt;0,S78/BAC_ARC_Daily!Q22,"")</f>
        <v>0</v>
      </c>
      <c r="T91" s="14">
        <f>IF(BAC_ARC_Daily!Q23&lt;&gt;0,T78/BAC_ARC_Daily!Q23,"")</f>
        <v>0</v>
      </c>
      <c r="U91" s="14">
        <f>IF(BAC_ARC_Daily!Q24&lt;&gt;0,U78/BAC_ARC_Daily!Q24,"")</f>
        <v>0</v>
      </c>
      <c r="V91" s="14">
        <f>IF(BAC_ARC_Daily!Q25&lt;&gt;0,V78/BAC_ARC_Daily!Q25,"")</f>
        <v>0</v>
      </c>
      <c r="W91" s="14">
        <f>IF(BAC_ARC_Daily!Q26&lt;&gt;0,W78/BAC_ARC_Daily!Q26,"")</f>
        <v>0</v>
      </c>
    </row>
    <row r="92" spans="1:23" ht="18" customHeight="1" x14ac:dyDescent="0.25">
      <c r="A92" s="11" t="str">
        <f>NGS_Archaea_Input!A6</f>
        <v>Arc_taxon_2</v>
      </c>
      <c r="B92" s="14">
        <f>IF(BAC_ARC_Daily!Q5&lt;&gt;0,B79/BAC_ARC_Daily!Q5,"")</f>
        <v>0</v>
      </c>
      <c r="C92" s="14">
        <f>IF(BAC_ARC_Daily!Q6&lt;&gt;0,C79/BAC_ARC_Daily!Q6,"")</f>
        <v>0</v>
      </c>
      <c r="D92" s="14">
        <f>IF(BAC_ARC_Daily!Q7&lt;&gt;0,D79/BAC_ARC_Daily!Q7,"")</f>
        <v>0</v>
      </c>
      <c r="E92" s="14">
        <f>IF(BAC_ARC_Daily!Q8&lt;&gt;0,E79/BAC_ARC_Daily!Q8,"")</f>
        <v>0</v>
      </c>
      <c r="F92" s="14">
        <f>IF(BAC_ARC_Daily!Q9&lt;&gt;0,F79/BAC_ARC_Daily!Q9,"")</f>
        <v>0</v>
      </c>
      <c r="G92" s="14">
        <f>IF(BAC_ARC_Daily!Q10&lt;&gt;0,G79/BAC_ARC_Daily!Q10,"")</f>
        <v>0</v>
      </c>
      <c r="H92" s="14">
        <f>IF(BAC_ARC_Daily!Q11&lt;&gt;0,H79/BAC_ARC_Daily!Q11,"")</f>
        <v>0</v>
      </c>
      <c r="I92" s="14">
        <f>IF(BAC_ARC_Daily!Q12&lt;&gt;0,I79/BAC_ARC_Daily!Q12,"")</f>
        <v>0</v>
      </c>
      <c r="J92" s="14">
        <f>IF(BAC_ARC_Daily!Q13&lt;&gt;0,J79/BAC_ARC_Daily!Q13,"")</f>
        <v>0</v>
      </c>
      <c r="K92" s="14">
        <f>IF(BAC_ARC_Daily!Q14&lt;&gt;0,K79/BAC_ARC_Daily!Q14,"")</f>
        <v>0</v>
      </c>
      <c r="L92" s="14">
        <f>IF(BAC_ARC_Daily!Q15&lt;&gt;0,L79/BAC_ARC_Daily!Q15,"")</f>
        <v>0</v>
      </c>
      <c r="M92" s="14">
        <f>IF(BAC_ARC_Daily!Q16&lt;&gt;0,M79/BAC_ARC_Daily!Q16,"")</f>
        <v>0</v>
      </c>
      <c r="N92" s="14">
        <f>IF(BAC_ARC_Daily!Q17&lt;&gt;0,N79/BAC_ARC_Daily!Q17,"")</f>
        <v>0</v>
      </c>
      <c r="O92" s="14">
        <f>IF(BAC_ARC_Daily!Q18&lt;&gt;0,O79/BAC_ARC_Daily!Q18,"")</f>
        <v>0</v>
      </c>
      <c r="P92" s="14">
        <f>IF(BAC_ARC_Daily!Q19&lt;&gt;0,P79/BAC_ARC_Daily!Q19,"")</f>
        <v>0</v>
      </c>
      <c r="Q92" s="14">
        <f>IF(BAC_ARC_Daily!Q20&lt;&gt;0,Q79/BAC_ARC_Daily!Q20,"")</f>
        <v>0</v>
      </c>
      <c r="R92" s="14">
        <f>IF(BAC_ARC_Daily!Q21&lt;&gt;0,R79/BAC_ARC_Daily!Q21,"")</f>
        <v>0</v>
      </c>
      <c r="S92" s="14">
        <f>IF(BAC_ARC_Daily!Q22&lt;&gt;0,S79/BAC_ARC_Daily!Q22,"")</f>
        <v>0</v>
      </c>
      <c r="T92" s="14">
        <f>IF(BAC_ARC_Daily!Q23&lt;&gt;0,T79/BAC_ARC_Daily!Q23,"")</f>
        <v>0</v>
      </c>
      <c r="U92" s="14">
        <f>IF(BAC_ARC_Daily!Q24&lt;&gt;0,U79/BAC_ARC_Daily!Q24,"")</f>
        <v>0</v>
      </c>
      <c r="V92" s="14">
        <f>IF(BAC_ARC_Daily!Q25&lt;&gt;0,V79/BAC_ARC_Daily!Q25,"")</f>
        <v>0</v>
      </c>
      <c r="W92" s="14">
        <f>IF(BAC_ARC_Daily!Q26&lt;&gt;0,W79/BAC_ARC_Daily!Q26,"")</f>
        <v>0</v>
      </c>
    </row>
    <row r="93" spans="1:23" ht="18" customHeight="1" x14ac:dyDescent="0.25">
      <c r="A93" s="11" t="str">
        <f>NGS_Archaea_Input!A7</f>
        <v>Arc_taxon_3</v>
      </c>
      <c r="B93" s="14">
        <f>IF(BAC_ARC_Daily!Q5&lt;&gt;0,B80/BAC_ARC_Daily!Q5,"")</f>
        <v>0</v>
      </c>
      <c r="C93" s="14">
        <f>IF(BAC_ARC_Daily!Q6&lt;&gt;0,C80/BAC_ARC_Daily!Q6,"")</f>
        <v>0</v>
      </c>
      <c r="D93" s="14">
        <f>IF(BAC_ARC_Daily!Q7&lt;&gt;0,D80/BAC_ARC_Daily!Q7,"")</f>
        <v>0</v>
      </c>
      <c r="E93" s="14">
        <f>IF(BAC_ARC_Daily!Q8&lt;&gt;0,E80/BAC_ARC_Daily!Q8,"")</f>
        <v>0</v>
      </c>
      <c r="F93" s="14">
        <f>IF(BAC_ARC_Daily!Q9&lt;&gt;0,F80/BAC_ARC_Daily!Q9,"")</f>
        <v>0</v>
      </c>
      <c r="G93" s="14">
        <f>IF(BAC_ARC_Daily!Q10&lt;&gt;0,G80/BAC_ARC_Daily!Q10,"")</f>
        <v>0</v>
      </c>
      <c r="H93" s="14">
        <f>IF(BAC_ARC_Daily!Q11&lt;&gt;0,H80/BAC_ARC_Daily!Q11,"")</f>
        <v>0</v>
      </c>
      <c r="I93" s="14">
        <f>IF(BAC_ARC_Daily!Q12&lt;&gt;0,I80/BAC_ARC_Daily!Q12,"")</f>
        <v>0</v>
      </c>
      <c r="J93" s="14">
        <f>IF(BAC_ARC_Daily!Q13&lt;&gt;0,J80/BAC_ARC_Daily!Q13,"")</f>
        <v>0</v>
      </c>
      <c r="K93" s="14">
        <f>IF(BAC_ARC_Daily!Q14&lt;&gt;0,K80/BAC_ARC_Daily!Q14,"")</f>
        <v>0</v>
      </c>
      <c r="L93" s="14">
        <f>IF(BAC_ARC_Daily!Q15&lt;&gt;0,L80/BAC_ARC_Daily!Q15,"")</f>
        <v>0</v>
      </c>
      <c r="M93" s="14">
        <f>IF(BAC_ARC_Daily!Q16&lt;&gt;0,M80/BAC_ARC_Daily!Q16,"")</f>
        <v>0</v>
      </c>
      <c r="N93" s="14">
        <f>IF(BAC_ARC_Daily!Q17&lt;&gt;0,N80/BAC_ARC_Daily!Q17,"")</f>
        <v>0</v>
      </c>
      <c r="O93" s="14">
        <f>IF(BAC_ARC_Daily!Q18&lt;&gt;0,O80/BAC_ARC_Daily!Q18,"")</f>
        <v>0</v>
      </c>
      <c r="P93" s="14">
        <f>IF(BAC_ARC_Daily!Q19&lt;&gt;0,P80/BAC_ARC_Daily!Q19,"")</f>
        <v>0</v>
      </c>
      <c r="Q93" s="14">
        <f>IF(BAC_ARC_Daily!Q20&lt;&gt;0,Q80/BAC_ARC_Daily!Q20,"")</f>
        <v>0</v>
      </c>
      <c r="R93" s="14">
        <f>IF(BAC_ARC_Daily!Q21&lt;&gt;0,R80/BAC_ARC_Daily!Q21,"")</f>
        <v>0</v>
      </c>
      <c r="S93" s="14">
        <f>IF(BAC_ARC_Daily!Q22&lt;&gt;0,S80/BAC_ARC_Daily!Q22,"")</f>
        <v>0</v>
      </c>
      <c r="T93" s="14">
        <f>IF(BAC_ARC_Daily!Q23&lt;&gt;0,T80/BAC_ARC_Daily!Q23,"")</f>
        <v>0</v>
      </c>
      <c r="U93" s="14">
        <f>IF(BAC_ARC_Daily!Q24&lt;&gt;0,U80/BAC_ARC_Daily!Q24,"")</f>
        <v>0</v>
      </c>
      <c r="V93" s="14">
        <f>IF(BAC_ARC_Daily!Q25&lt;&gt;0,V80/BAC_ARC_Daily!Q25,"")</f>
        <v>0</v>
      </c>
      <c r="W93" s="14">
        <f>IF(BAC_ARC_Daily!Q26&lt;&gt;0,W80/BAC_ARC_Daily!Q26,"")</f>
        <v>0</v>
      </c>
    </row>
    <row r="94" spans="1:23" ht="18" customHeight="1" x14ac:dyDescent="0.25">
      <c r="A94" s="11" t="str">
        <f>NGS_Archaea_Input!A8</f>
        <v>Arc_taxon_4</v>
      </c>
      <c r="B94" s="14">
        <f>IF(BAC_ARC_Daily!Q5&lt;&gt;0,B81/BAC_ARC_Daily!Q5,"")</f>
        <v>0</v>
      </c>
      <c r="C94" s="14">
        <f>IF(BAC_ARC_Daily!Q6&lt;&gt;0,C81/BAC_ARC_Daily!Q6,"")</f>
        <v>0</v>
      </c>
      <c r="D94" s="14">
        <f>IF(BAC_ARC_Daily!Q7&lt;&gt;0,D81/BAC_ARC_Daily!Q7,"")</f>
        <v>0</v>
      </c>
      <c r="E94" s="14">
        <f>IF(BAC_ARC_Daily!Q8&lt;&gt;0,E81/BAC_ARC_Daily!Q8,"")</f>
        <v>0</v>
      </c>
      <c r="F94" s="14">
        <f>IF(BAC_ARC_Daily!Q9&lt;&gt;0,F81/BAC_ARC_Daily!Q9,"")</f>
        <v>0</v>
      </c>
      <c r="G94" s="14">
        <f>IF(BAC_ARC_Daily!Q10&lt;&gt;0,G81/BAC_ARC_Daily!Q10,"")</f>
        <v>0</v>
      </c>
      <c r="H94" s="14">
        <f>IF(BAC_ARC_Daily!Q11&lt;&gt;0,H81/BAC_ARC_Daily!Q11,"")</f>
        <v>0</v>
      </c>
      <c r="I94" s="14">
        <f>IF(BAC_ARC_Daily!Q12&lt;&gt;0,I81/BAC_ARC_Daily!Q12,"")</f>
        <v>0</v>
      </c>
      <c r="J94" s="14">
        <f>IF(BAC_ARC_Daily!Q13&lt;&gt;0,J81/BAC_ARC_Daily!Q13,"")</f>
        <v>0</v>
      </c>
      <c r="K94" s="14">
        <f>IF(BAC_ARC_Daily!Q14&lt;&gt;0,K81/BAC_ARC_Daily!Q14,"")</f>
        <v>0</v>
      </c>
      <c r="L94" s="14">
        <f>IF(BAC_ARC_Daily!Q15&lt;&gt;0,L81/BAC_ARC_Daily!Q15,"")</f>
        <v>0</v>
      </c>
      <c r="M94" s="14">
        <f>IF(BAC_ARC_Daily!Q16&lt;&gt;0,M81/BAC_ARC_Daily!Q16,"")</f>
        <v>0</v>
      </c>
      <c r="N94" s="14">
        <f>IF(BAC_ARC_Daily!Q17&lt;&gt;0,N81/BAC_ARC_Daily!Q17,"")</f>
        <v>0</v>
      </c>
      <c r="O94" s="14">
        <f>IF(BAC_ARC_Daily!Q18&lt;&gt;0,O81/BAC_ARC_Daily!Q18,"")</f>
        <v>0</v>
      </c>
      <c r="P94" s="14">
        <f>IF(BAC_ARC_Daily!Q19&lt;&gt;0,P81/BAC_ARC_Daily!Q19,"")</f>
        <v>0</v>
      </c>
      <c r="Q94" s="14">
        <f>IF(BAC_ARC_Daily!Q20&lt;&gt;0,Q81/BAC_ARC_Daily!Q20,"")</f>
        <v>0</v>
      </c>
      <c r="R94" s="14">
        <f>IF(BAC_ARC_Daily!Q21&lt;&gt;0,R81/BAC_ARC_Daily!Q21,"")</f>
        <v>0</v>
      </c>
      <c r="S94" s="14">
        <f>IF(BAC_ARC_Daily!Q22&lt;&gt;0,S81/BAC_ARC_Daily!Q22,"")</f>
        <v>0</v>
      </c>
      <c r="T94" s="14">
        <f>IF(BAC_ARC_Daily!Q23&lt;&gt;0,T81/BAC_ARC_Daily!Q23,"")</f>
        <v>0</v>
      </c>
      <c r="U94" s="14">
        <f>IF(BAC_ARC_Daily!Q24&lt;&gt;0,U81/BAC_ARC_Daily!Q24,"")</f>
        <v>0</v>
      </c>
      <c r="V94" s="14">
        <f>IF(BAC_ARC_Daily!Q25&lt;&gt;0,V81/BAC_ARC_Daily!Q25,"")</f>
        <v>0</v>
      </c>
      <c r="W94" s="14">
        <f>IF(BAC_ARC_Daily!Q26&lt;&gt;0,W81/BAC_ARC_Daily!Q26,"")</f>
        <v>0</v>
      </c>
    </row>
    <row r="95" spans="1:23" ht="18" customHeight="1" x14ac:dyDescent="0.25">
      <c r="A95" s="11" t="str">
        <f>NGS_Archaea_Input!A9</f>
        <v>Arc_taxon_5</v>
      </c>
      <c r="B95" s="14">
        <f>IF(BAC_ARC_Daily!Q5&lt;&gt;0,B82/BAC_ARC_Daily!Q5,"")</f>
        <v>0</v>
      </c>
      <c r="C95" s="14">
        <f>IF(BAC_ARC_Daily!Q6&lt;&gt;0,C82/BAC_ARC_Daily!Q6,"")</f>
        <v>0</v>
      </c>
      <c r="D95" s="14">
        <f>IF(BAC_ARC_Daily!Q7&lt;&gt;0,D82/BAC_ARC_Daily!Q7,"")</f>
        <v>0</v>
      </c>
      <c r="E95" s="14">
        <f>IF(BAC_ARC_Daily!Q8&lt;&gt;0,E82/BAC_ARC_Daily!Q8,"")</f>
        <v>0</v>
      </c>
      <c r="F95" s="14">
        <f>IF(BAC_ARC_Daily!Q9&lt;&gt;0,F82/BAC_ARC_Daily!Q9,"")</f>
        <v>0</v>
      </c>
      <c r="G95" s="14">
        <f>IF(BAC_ARC_Daily!Q10&lt;&gt;0,G82/BAC_ARC_Daily!Q10,"")</f>
        <v>0</v>
      </c>
      <c r="H95" s="14">
        <f>IF(BAC_ARC_Daily!Q11&lt;&gt;0,H82/BAC_ARC_Daily!Q11,"")</f>
        <v>0</v>
      </c>
      <c r="I95" s="14">
        <f>IF(BAC_ARC_Daily!Q12&lt;&gt;0,I82/BAC_ARC_Daily!Q12,"")</f>
        <v>0</v>
      </c>
      <c r="J95" s="14">
        <f>IF(BAC_ARC_Daily!Q13&lt;&gt;0,J82/BAC_ARC_Daily!Q13,"")</f>
        <v>0</v>
      </c>
      <c r="K95" s="14">
        <f>IF(BAC_ARC_Daily!Q14&lt;&gt;0,K82/BAC_ARC_Daily!Q14,"")</f>
        <v>0</v>
      </c>
      <c r="L95" s="14">
        <f>IF(BAC_ARC_Daily!Q15&lt;&gt;0,L82/BAC_ARC_Daily!Q15,"")</f>
        <v>0</v>
      </c>
      <c r="M95" s="14">
        <f>IF(BAC_ARC_Daily!Q16&lt;&gt;0,M82/BAC_ARC_Daily!Q16,"")</f>
        <v>0</v>
      </c>
      <c r="N95" s="14">
        <f>IF(BAC_ARC_Daily!Q17&lt;&gt;0,N82/BAC_ARC_Daily!Q17,"")</f>
        <v>0</v>
      </c>
      <c r="O95" s="14">
        <f>IF(BAC_ARC_Daily!Q18&lt;&gt;0,O82/BAC_ARC_Daily!Q18,"")</f>
        <v>0</v>
      </c>
      <c r="P95" s="14">
        <f>IF(BAC_ARC_Daily!Q19&lt;&gt;0,P82/BAC_ARC_Daily!Q19,"")</f>
        <v>0</v>
      </c>
      <c r="Q95" s="14">
        <f>IF(BAC_ARC_Daily!Q20&lt;&gt;0,Q82/BAC_ARC_Daily!Q20,"")</f>
        <v>0</v>
      </c>
      <c r="R95" s="14">
        <f>IF(BAC_ARC_Daily!Q21&lt;&gt;0,R82/BAC_ARC_Daily!Q21,"")</f>
        <v>0</v>
      </c>
      <c r="S95" s="14">
        <f>IF(BAC_ARC_Daily!Q22&lt;&gt;0,S82/BAC_ARC_Daily!Q22,"")</f>
        <v>0</v>
      </c>
      <c r="T95" s="14">
        <f>IF(BAC_ARC_Daily!Q23&lt;&gt;0,T82/BAC_ARC_Daily!Q23,"")</f>
        <v>0</v>
      </c>
      <c r="U95" s="14">
        <f>IF(BAC_ARC_Daily!Q24&lt;&gt;0,U82/BAC_ARC_Daily!Q24,"")</f>
        <v>0</v>
      </c>
      <c r="V95" s="14">
        <f>IF(BAC_ARC_Daily!Q25&lt;&gt;0,V82/BAC_ARC_Daily!Q25,"")</f>
        <v>0</v>
      </c>
      <c r="W95" s="14">
        <f>IF(BAC_ARC_Daily!Q26&lt;&gt;0,W82/BAC_ARC_Daily!Q26,"")</f>
        <v>0</v>
      </c>
    </row>
    <row r="96" spans="1:23" ht="18" customHeight="1" x14ac:dyDescent="0.25">
      <c r="A96" s="11" t="str">
        <f>NGS_Archaea_Input!A10</f>
        <v>Arc_taxon_6</v>
      </c>
      <c r="B96" s="14">
        <f>IF(BAC_ARC_Daily!Q5&lt;&gt;0,B83/BAC_ARC_Daily!Q5,"")</f>
        <v>0</v>
      </c>
      <c r="C96" s="14">
        <f>IF(BAC_ARC_Daily!Q6&lt;&gt;0,C83/BAC_ARC_Daily!Q6,"")</f>
        <v>0</v>
      </c>
      <c r="D96" s="14">
        <f>IF(BAC_ARC_Daily!Q7&lt;&gt;0,D83/BAC_ARC_Daily!Q7,"")</f>
        <v>0</v>
      </c>
      <c r="E96" s="14">
        <f>IF(BAC_ARC_Daily!Q8&lt;&gt;0,E83/BAC_ARC_Daily!Q8,"")</f>
        <v>0</v>
      </c>
      <c r="F96" s="14">
        <f>IF(BAC_ARC_Daily!Q9&lt;&gt;0,F83/BAC_ARC_Daily!Q9,"")</f>
        <v>0</v>
      </c>
      <c r="G96" s="14">
        <f>IF(BAC_ARC_Daily!Q10&lt;&gt;0,G83/BAC_ARC_Daily!Q10,"")</f>
        <v>0</v>
      </c>
      <c r="H96" s="14">
        <f>IF(BAC_ARC_Daily!Q11&lt;&gt;0,H83/BAC_ARC_Daily!Q11,"")</f>
        <v>0</v>
      </c>
      <c r="I96" s="14">
        <f>IF(BAC_ARC_Daily!Q12&lt;&gt;0,I83/BAC_ARC_Daily!Q12,"")</f>
        <v>0</v>
      </c>
      <c r="J96" s="14">
        <f>IF(BAC_ARC_Daily!Q13&lt;&gt;0,J83/BAC_ARC_Daily!Q13,"")</f>
        <v>0</v>
      </c>
      <c r="K96" s="14">
        <f>IF(BAC_ARC_Daily!Q14&lt;&gt;0,K83/BAC_ARC_Daily!Q14,"")</f>
        <v>0</v>
      </c>
      <c r="L96" s="14">
        <f>IF(BAC_ARC_Daily!Q15&lt;&gt;0,L83/BAC_ARC_Daily!Q15,"")</f>
        <v>0</v>
      </c>
      <c r="M96" s="14">
        <f>IF(BAC_ARC_Daily!Q16&lt;&gt;0,M83/BAC_ARC_Daily!Q16,"")</f>
        <v>0</v>
      </c>
      <c r="N96" s="14">
        <f>IF(BAC_ARC_Daily!Q17&lt;&gt;0,N83/BAC_ARC_Daily!Q17,"")</f>
        <v>0</v>
      </c>
      <c r="O96" s="14">
        <f>IF(BAC_ARC_Daily!Q18&lt;&gt;0,O83/BAC_ARC_Daily!Q18,"")</f>
        <v>0</v>
      </c>
      <c r="P96" s="14">
        <f>IF(BAC_ARC_Daily!Q19&lt;&gt;0,P83/BAC_ARC_Daily!Q19,"")</f>
        <v>0</v>
      </c>
      <c r="Q96" s="14">
        <f>IF(BAC_ARC_Daily!Q20&lt;&gt;0,Q83/BAC_ARC_Daily!Q20,"")</f>
        <v>0</v>
      </c>
      <c r="R96" s="14">
        <f>IF(BAC_ARC_Daily!Q21&lt;&gt;0,R83/BAC_ARC_Daily!Q21,"")</f>
        <v>0</v>
      </c>
      <c r="S96" s="14">
        <f>IF(BAC_ARC_Daily!Q22&lt;&gt;0,S83/BAC_ARC_Daily!Q22,"")</f>
        <v>0</v>
      </c>
      <c r="T96" s="14">
        <f>IF(BAC_ARC_Daily!Q23&lt;&gt;0,T83/BAC_ARC_Daily!Q23,"")</f>
        <v>0</v>
      </c>
      <c r="U96" s="14">
        <f>IF(BAC_ARC_Daily!Q24&lt;&gt;0,U83/BAC_ARC_Daily!Q24,"")</f>
        <v>0</v>
      </c>
      <c r="V96" s="14">
        <f>IF(BAC_ARC_Daily!Q25&lt;&gt;0,V83/BAC_ARC_Daily!Q25,"")</f>
        <v>0</v>
      </c>
      <c r="W96" s="14">
        <f>IF(BAC_ARC_Daily!Q26&lt;&gt;0,W83/BAC_ARC_Daily!Q26,"")</f>
        <v>0</v>
      </c>
    </row>
    <row r="97" spans="1:23" ht="18" customHeight="1" x14ac:dyDescent="0.25">
      <c r="A97" s="11" t="str">
        <f>NGS_Archaea_Input!A11</f>
        <v>Arc_taxon_7</v>
      </c>
      <c r="B97" s="14">
        <f>IF(BAC_ARC_Daily!Q5&lt;&gt;0,B84/BAC_ARC_Daily!Q5,"")</f>
        <v>0</v>
      </c>
      <c r="C97" s="14">
        <f>IF(BAC_ARC_Daily!Q6&lt;&gt;0,C84/BAC_ARC_Daily!Q6,"")</f>
        <v>0</v>
      </c>
      <c r="D97" s="14">
        <f>IF(BAC_ARC_Daily!Q7&lt;&gt;0,D84/BAC_ARC_Daily!Q7,"")</f>
        <v>0</v>
      </c>
      <c r="E97" s="14">
        <f>IF(BAC_ARC_Daily!Q8&lt;&gt;0,E84/BAC_ARC_Daily!Q8,"")</f>
        <v>0</v>
      </c>
      <c r="F97" s="14">
        <f>IF(BAC_ARC_Daily!Q9&lt;&gt;0,F84/BAC_ARC_Daily!Q9,"")</f>
        <v>0</v>
      </c>
      <c r="G97" s="14">
        <f>IF(BAC_ARC_Daily!Q10&lt;&gt;0,G84/BAC_ARC_Daily!Q10,"")</f>
        <v>0</v>
      </c>
      <c r="H97" s="14">
        <f>IF(BAC_ARC_Daily!Q11&lt;&gt;0,H84/BAC_ARC_Daily!Q11,"")</f>
        <v>0</v>
      </c>
      <c r="I97" s="14">
        <f>IF(BAC_ARC_Daily!Q12&lt;&gt;0,I84/BAC_ARC_Daily!Q12,"")</f>
        <v>0</v>
      </c>
      <c r="J97" s="14">
        <f>IF(BAC_ARC_Daily!Q13&lt;&gt;0,J84/BAC_ARC_Daily!Q13,"")</f>
        <v>0</v>
      </c>
      <c r="K97" s="14">
        <f>IF(BAC_ARC_Daily!Q14&lt;&gt;0,K84/BAC_ARC_Daily!Q14,"")</f>
        <v>0</v>
      </c>
      <c r="L97" s="14">
        <f>IF(BAC_ARC_Daily!Q15&lt;&gt;0,L84/BAC_ARC_Daily!Q15,"")</f>
        <v>0</v>
      </c>
      <c r="M97" s="14">
        <f>IF(BAC_ARC_Daily!Q16&lt;&gt;0,M84/BAC_ARC_Daily!Q16,"")</f>
        <v>0</v>
      </c>
      <c r="N97" s="14">
        <f>IF(BAC_ARC_Daily!Q17&lt;&gt;0,N84/BAC_ARC_Daily!Q17,"")</f>
        <v>0</v>
      </c>
      <c r="O97" s="14">
        <f>IF(BAC_ARC_Daily!Q18&lt;&gt;0,O84/BAC_ARC_Daily!Q18,"")</f>
        <v>0</v>
      </c>
      <c r="P97" s="14">
        <f>IF(BAC_ARC_Daily!Q19&lt;&gt;0,P84/BAC_ARC_Daily!Q19,"")</f>
        <v>0</v>
      </c>
      <c r="Q97" s="14">
        <f>IF(BAC_ARC_Daily!Q20&lt;&gt;0,Q84/BAC_ARC_Daily!Q20,"")</f>
        <v>0</v>
      </c>
      <c r="R97" s="14">
        <f>IF(BAC_ARC_Daily!Q21&lt;&gt;0,R84/BAC_ARC_Daily!Q21,"")</f>
        <v>0</v>
      </c>
      <c r="S97" s="14">
        <f>IF(BAC_ARC_Daily!Q22&lt;&gt;0,S84/BAC_ARC_Daily!Q22,"")</f>
        <v>0</v>
      </c>
      <c r="T97" s="14">
        <f>IF(BAC_ARC_Daily!Q23&lt;&gt;0,T84/BAC_ARC_Daily!Q23,"")</f>
        <v>0</v>
      </c>
      <c r="U97" s="14">
        <f>IF(BAC_ARC_Daily!Q24&lt;&gt;0,U84/BAC_ARC_Daily!Q24,"")</f>
        <v>0</v>
      </c>
      <c r="V97" s="14">
        <f>IF(BAC_ARC_Daily!Q25&lt;&gt;0,V84/BAC_ARC_Daily!Q25,"")</f>
        <v>0</v>
      </c>
      <c r="W97" s="14">
        <f>IF(BAC_ARC_Daily!Q26&lt;&gt;0,W84/BAC_ARC_Daily!Q26,"")</f>
        <v>0</v>
      </c>
    </row>
    <row r="98" spans="1:23" ht="18" customHeight="1" x14ac:dyDescent="0.25">
      <c r="A98" s="11" t="str">
        <f>NGS_Archaea_Input!A12</f>
        <v>Arc_taxon_8</v>
      </c>
      <c r="B98" s="14">
        <f>IF(BAC_ARC_Daily!Q5&lt;&gt;0,B85/BAC_ARC_Daily!Q5,"")</f>
        <v>0</v>
      </c>
      <c r="C98" s="14">
        <f>IF(BAC_ARC_Daily!Q6&lt;&gt;0,C85/BAC_ARC_Daily!Q6,"")</f>
        <v>0</v>
      </c>
      <c r="D98" s="14">
        <f>IF(BAC_ARC_Daily!Q7&lt;&gt;0,D85/BAC_ARC_Daily!Q7,"")</f>
        <v>0</v>
      </c>
      <c r="E98" s="14">
        <f>IF(BAC_ARC_Daily!Q8&lt;&gt;0,E85/BAC_ARC_Daily!Q8,"")</f>
        <v>0</v>
      </c>
      <c r="F98" s="14">
        <f>IF(BAC_ARC_Daily!Q9&lt;&gt;0,F85/BAC_ARC_Daily!Q9,"")</f>
        <v>0</v>
      </c>
      <c r="G98" s="14">
        <f>IF(BAC_ARC_Daily!Q10&lt;&gt;0,G85/BAC_ARC_Daily!Q10,"")</f>
        <v>0</v>
      </c>
      <c r="H98" s="14">
        <f>IF(BAC_ARC_Daily!Q11&lt;&gt;0,H85/BAC_ARC_Daily!Q11,"")</f>
        <v>0</v>
      </c>
      <c r="I98" s="14">
        <f>IF(BAC_ARC_Daily!Q12&lt;&gt;0,I85/BAC_ARC_Daily!Q12,"")</f>
        <v>0</v>
      </c>
      <c r="J98" s="14">
        <f>IF(BAC_ARC_Daily!Q13&lt;&gt;0,J85/BAC_ARC_Daily!Q13,"")</f>
        <v>0</v>
      </c>
      <c r="K98" s="14">
        <f>IF(BAC_ARC_Daily!Q14&lt;&gt;0,K85/BAC_ARC_Daily!Q14,"")</f>
        <v>0</v>
      </c>
      <c r="L98" s="14">
        <f>IF(BAC_ARC_Daily!Q15&lt;&gt;0,L85/BAC_ARC_Daily!Q15,"")</f>
        <v>0</v>
      </c>
      <c r="M98" s="14">
        <f>IF(BAC_ARC_Daily!Q16&lt;&gt;0,M85/BAC_ARC_Daily!Q16,"")</f>
        <v>0</v>
      </c>
      <c r="N98" s="14">
        <f>IF(BAC_ARC_Daily!Q17&lt;&gt;0,N85/BAC_ARC_Daily!Q17,"")</f>
        <v>0</v>
      </c>
      <c r="O98" s="14">
        <f>IF(BAC_ARC_Daily!Q18&lt;&gt;0,O85/BAC_ARC_Daily!Q18,"")</f>
        <v>0</v>
      </c>
      <c r="P98" s="14">
        <f>IF(BAC_ARC_Daily!Q19&lt;&gt;0,P85/BAC_ARC_Daily!Q19,"")</f>
        <v>0</v>
      </c>
      <c r="Q98" s="14">
        <f>IF(BAC_ARC_Daily!Q20&lt;&gt;0,Q85/BAC_ARC_Daily!Q20,"")</f>
        <v>0</v>
      </c>
      <c r="R98" s="14">
        <f>IF(BAC_ARC_Daily!Q21&lt;&gt;0,R85/BAC_ARC_Daily!Q21,"")</f>
        <v>0</v>
      </c>
      <c r="S98" s="14">
        <f>IF(BAC_ARC_Daily!Q22&lt;&gt;0,S85/BAC_ARC_Daily!Q22,"")</f>
        <v>0</v>
      </c>
      <c r="T98" s="14">
        <f>IF(BAC_ARC_Daily!Q23&lt;&gt;0,T85/BAC_ARC_Daily!Q23,"")</f>
        <v>0</v>
      </c>
      <c r="U98" s="14">
        <f>IF(BAC_ARC_Daily!Q24&lt;&gt;0,U85/BAC_ARC_Daily!Q24,"")</f>
        <v>0</v>
      </c>
      <c r="V98" s="14">
        <f>IF(BAC_ARC_Daily!Q25&lt;&gt;0,V85/BAC_ARC_Daily!Q25,"")</f>
        <v>0</v>
      </c>
      <c r="W98" s="14">
        <f>IF(BAC_ARC_Daily!Q26&lt;&gt;0,W85/BAC_ARC_Daily!Q26,"")</f>
        <v>0</v>
      </c>
    </row>
    <row r="99" spans="1:23" ht="18" customHeight="1" x14ac:dyDescent="0.25">
      <c r="A99" s="11" t="str">
        <f>NGS_Archaea_Input!A13</f>
        <v>Arc_taxon_9</v>
      </c>
      <c r="B99" s="14">
        <f>IF(BAC_ARC_Daily!Q5&lt;&gt;0,B86/BAC_ARC_Daily!Q5,"")</f>
        <v>0</v>
      </c>
      <c r="C99" s="14">
        <f>IF(BAC_ARC_Daily!Q6&lt;&gt;0,C86/BAC_ARC_Daily!Q6,"")</f>
        <v>0</v>
      </c>
      <c r="D99" s="14">
        <f>IF(BAC_ARC_Daily!Q7&lt;&gt;0,D86/BAC_ARC_Daily!Q7,"")</f>
        <v>0</v>
      </c>
      <c r="E99" s="14">
        <f>IF(BAC_ARC_Daily!Q8&lt;&gt;0,E86/BAC_ARC_Daily!Q8,"")</f>
        <v>0</v>
      </c>
      <c r="F99" s="14">
        <f>IF(BAC_ARC_Daily!Q9&lt;&gt;0,F86/BAC_ARC_Daily!Q9,"")</f>
        <v>0</v>
      </c>
      <c r="G99" s="14">
        <f>IF(BAC_ARC_Daily!Q10&lt;&gt;0,G86/BAC_ARC_Daily!Q10,"")</f>
        <v>0</v>
      </c>
      <c r="H99" s="14">
        <f>IF(BAC_ARC_Daily!Q11&lt;&gt;0,H86/BAC_ARC_Daily!Q11,"")</f>
        <v>0</v>
      </c>
      <c r="I99" s="14">
        <f>IF(BAC_ARC_Daily!Q12&lt;&gt;0,I86/BAC_ARC_Daily!Q12,"")</f>
        <v>0</v>
      </c>
      <c r="J99" s="14">
        <f>IF(BAC_ARC_Daily!Q13&lt;&gt;0,J86/BAC_ARC_Daily!Q13,"")</f>
        <v>0</v>
      </c>
      <c r="K99" s="14">
        <f>IF(BAC_ARC_Daily!Q14&lt;&gt;0,K86/BAC_ARC_Daily!Q14,"")</f>
        <v>0</v>
      </c>
      <c r="L99" s="14">
        <f>IF(BAC_ARC_Daily!Q15&lt;&gt;0,L86/BAC_ARC_Daily!Q15,"")</f>
        <v>0</v>
      </c>
      <c r="M99" s="14">
        <f>IF(BAC_ARC_Daily!Q16&lt;&gt;0,M86/BAC_ARC_Daily!Q16,"")</f>
        <v>0</v>
      </c>
      <c r="N99" s="14">
        <f>IF(BAC_ARC_Daily!Q17&lt;&gt;0,N86/BAC_ARC_Daily!Q17,"")</f>
        <v>0</v>
      </c>
      <c r="O99" s="14">
        <f>IF(BAC_ARC_Daily!Q18&lt;&gt;0,O86/BAC_ARC_Daily!Q18,"")</f>
        <v>0</v>
      </c>
      <c r="P99" s="14">
        <f>IF(BAC_ARC_Daily!Q19&lt;&gt;0,P86/BAC_ARC_Daily!Q19,"")</f>
        <v>0</v>
      </c>
      <c r="Q99" s="14">
        <f>IF(BAC_ARC_Daily!Q20&lt;&gt;0,Q86/BAC_ARC_Daily!Q20,"")</f>
        <v>0</v>
      </c>
      <c r="R99" s="14">
        <f>IF(BAC_ARC_Daily!Q21&lt;&gt;0,R86/BAC_ARC_Daily!Q21,"")</f>
        <v>0</v>
      </c>
      <c r="S99" s="14">
        <f>IF(BAC_ARC_Daily!Q22&lt;&gt;0,S86/BAC_ARC_Daily!Q22,"")</f>
        <v>0</v>
      </c>
      <c r="T99" s="14">
        <f>IF(BAC_ARC_Daily!Q23&lt;&gt;0,T86/BAC_ARC_Daily!Q23,"")</f>
        <v>0</v>
      </c>
      <c r="U99" s="14">
        <f>IF(BAC_ARC_Daily!Q24&lt;&gt;0,U86/BAC_ARC_Daily!Q24,"")</f>
        <v>0</v>
      </c>
      <c r="V99" s="14">
        <f>IF(BAC_ARC_Daily!Q25&lt;&gt;0,V86/BAC_ARC_Daily!Q25,"")</f>
        <v>0</v>
      </c>
      <c r="W99" s="14">
        <f>IF(BAC_ARC_Daily!Q26&lt;&gt;0,W86/BAC_ARC_Daily!Q26,"")</f>
        <v>0</v>
      </c>
    </row>
    <row r="100" spans="1:23" ht="18" customHeight="1" x14ac:dyDescent="0.25">
      <c r="A100" s="11" t="str">
        <f>NGS_Archaea_Input!A14</f>
        <v>Arc_taxon_10</v>
      </c>
      <c r="B100" s="14">
        <f>IF(BAC_ARC_Daily!Q5&lt;&gt;0,B87/BAC_ARC_Daily!Q5,"")</f>
        <v>0</v>
      </c>
      <c r="C100" s="14">
        <f>IF(BAC_ARC_Daily!Q6&lt;&gt;0,C87/BAC_ARC_Daily!Q6,"")</f>
        <v>0</v>
      </c>
      <c r="D100" s="14">
        <f>IF(BAC_ARC_Daily!Q7&lt;&gt;0,D87/BAC_ARC_Daily!Q7,"")</f>
        <v>0</v>
      </c>
      <c r="E100" s="14">
        <f>IF(BAC_ARC_Daily!Q8&lt;&gt;0,E87/BAC_ARC_Daily!Q8,"")</f>
        <v>0</v>
      </c>
      <c r="F100" s="14">
        <f>IF(BAC_ARC_Daily!Q9&lt;&gt;0,F87/BAC_ARC_Daily!Q9,"")</f>
        <v>0</v>
      </c>
      <c r="G100" s="14">
        <f>IF(BAC_ARC_Daily!Q10&lt;&gt;0,G87/BAC_ARC_Daily!Q10,"")</f>
        <v>0</v>
      </c>
      <c r="H100" s="14">
        <f>IF(BAC_ARC_Daily!Q11&lt;&gt;0,H87/BAC_ARC_Daily!Q11,"")</f>
        <v>0</v>
      </c>
      <c r="I100" s="14">
        <f>IF(BAC_ARC_Daily!Q12&lt;&gt;0,I87/BAC_ARC_Daily!Q12,"")</f>
        <v>0</v>
      </c>
      <c r="J100" s="14">
        <f>IF(BAC_ARC_Daily!Q13&lt;&gt;0,J87/BAC_ARC_Daily!Q13,"")</f>
        <v>0</v>
      </c>
      <c r="K100" s="14">
        <f>IF(BAC_ARC_Daily!Q14&lt;&gt;0,K87/BAC_ARC_Daily!Q14,"")</f>
        <v>0</v>
      </c>
      <c r="L100" s="14">
        <f>IF(BAC_ARC_Daily!Q15&lt;&gt;0,L87/BAC_ARC_Daily!Q15,"")</f>
        <v>0</v>
      </c>
      <c r="M100" s="14">
        <f>IF(BAC_ARC_Daily!Q16&lt;&gt;0,M87/BAC_ARC_Daily!Q16,"")</f>
        <v>0</v>
      </c>
      <c r="N100" s="14">
        <f>IF(BAC_ARC_Daily!Q17&lt;&gt;0,N87/BAC_ARC_Daily!Q17,"")</f>
        <v>0</v>
      </c>
      <c r="O100" s="14">
        <f>IF(BAC_ARC_Daily!Q18&lt;&gt;0,O87/BAC_ARC_Daily!Q18,"")</f>
        <v>0</v>
      </c>
      <c r="P100" s="14">
        <f>IF(BAC_ARC_Daily!Q19&lt;&gt;0,P87/BAC_ARC_Daily!Q19,"")</f>
        <v>0</v>
      </c>
      <c r="Q100" s="14">
        <f>IF(BAC_ARC_Daily!Q20&lt;&gt;0,Q87/BAC_ARC_Daily!Q20,"")</f>
        <v>0</v>
      </c>
      <c r="R100" s="14">
        <f>IF(BAC_ARC_Daily!Q21&lt;&gt;0,R87/BAC_ARC_Daily!Q21,"")</f>
        <v>0</v>
      </c>
      <c r="S100" s="14">
        <f>IF(BAC_ARC_Daily!Q22&lt;&gt;0,S87/BAC_ARC_Daily!Q22,"")</f>
        <v>0</v>
      </c>
      <c r="T100" s="14">
        <f>IF(BAC_ARC_Daily!Q23&lt;&gt;0,T87/BAC_ARC_Daily!Q23,"")</f>
        <v>0</v>
      </c>
      <c r="U100" s="14">
        <f>IF(BAC_ARC_Daily!Q24&lt;&gt;0,U87/BAC_ARC_Daily!Q24,"")</f>
        <v>0</v>
      </c>
      <c r="V100" s="14">
        <f>IF(BAC_ARC_Daily!Q25&lt;&gt;0,V87/BAC_ARC_Daily!Q25,"")</f>
        <v>0</v>
      </c>
      <c r="W100" s="14">
        <f>IF(BAC_ARC_Daily!Q26&lt;&gt;0,W87/BAC_ARC_Daily!Q26,"")</f>
        <v>0</v>
      </c>
    </row>
    <row r="101" spans="1:23" ht="18" customHeight="1" x14ac:dyDescent="0.25">
      <c r="A101" s="11" t="str">
        <f>NGS_Archaea_Input!A15</f>
        <v>Others</v>
      </c>
      <c r="B101" s="14">
        <f>IF(BAC_ARC_Daily!Q5&lt;&gt;0,B88/BAC_ARC_Daily!Q5,"")</f>
        <v>1</v>
      </c>
      <c r="C101" s="14">
        <f>IF(BAC_ARC_Daily!Q6&lt;&gt;0,C88/BAC_ARC_Daily!Q6,"")</f>
        <v>1</v>
      </c>
      <c r="D101" s="14">
        <f>IF(BAC_ARC_Daily!Q7&lt;&gt;0,D88/BAC_ARC_Daily!Q7,"")</f>
        <v>1</v>
      </c>
      <c r="E101" s="14">
        <f>IF(BAC_ARC_Daily!Q8&lt;&gt;0,E88/BAC_ARC_Daily!Q8,"")</f>
        <v>1</v>
      </c>
      <c r="F101" s="14">
        <f>IF(BAC_ARC_Daily!Q9&lt;&gt;0,F88/BAC_ARC_Daily!Q9,"")</f>
        <v>1</v>
      </c>
      <c r="G101" s="14">
        <f>IF(BAC_ARC_Daily!Q10&lt;&gt;0,G88/BAC_ARC_Daily!Q10,"")</f>
        <v>1</v>
      </c>
      <c r="H101" s="14">
        <f>IF(BAC_ARC_Daily!Q11&lt;&gt;0,H88/BAC_ARC_Daily!Q11,"")</f>
        <v>1</v>
      </c>
      <c r="I101" s="14">
        <f>IF(BAC_ARC_Daily!Q12&lt;&gt;0,I88/BAC_ARC_Daily!Q12,"")</f>
        <v>1</v>
      </c>
      <c r="J101" s="14">
        <f>IF(BAC_ARC_Daily!Q13&lt;&gt;0,J88/BAC_ARC_Daily!Q13,"")</f>
        <v>1</v>
      </c>
      <c r="K101" s="14">
        <f>IF(BAC_ARC_Daily!Q14&lt;&gt;0,K88/BAC_ARC_Daily!Q14,"")</f>
        <v>1</v>
      </c>
      <c r="L101" s="14">
        <f>IF(BAC_ARC_Daily!Q15&lt;&gt;0,L88/BAC_ARC_Daily!Q15,"")</f>
        <v>1</v>
      </c>
      <c r="M101" s="14">
        <f>IF(BAC_ARC_Daily!Q16&lt;&gt;0,M88/BAC_ARC_Daily!Q16,"")</f>
        <v>1</v>
      </c>
      <c r="N101" s="14">
        <f>IF(BAC_ARC_Daily!Q17&lt;&gt;0,N88/BAC_ARC_Daily!Q17,"")</f>
        <v>1</v>
      </c>
      <c r="O101" s="14">
        <f>IF(BAC_ARC_Daily!Q18&lt;&gt;0,O88/BAC_ARC_Daily!Q18,"")</f>
        <v>1</v>
      </c>
      <c r="P101" s="14">
        <f>IF(BAC_ARC_Daily!Q19&lt;&gt;0,P88/BAC_ARC_Daily!Q19,"")</f>
        <v>1</v>
      </c>
      <c r="Q101" s="14">
        <f>IF(BAC_ARC_Daily!Q20&lt;&gt;0,Q88/BAC_ARC_Daily!Q20,"")</f>
        <v>1</v>
      </c>
      <c r="R101" s="14">
        <f>IF(BAC_ARC_Daily!Q21&lt;&gt;0,R88/BAC_ARC_Daily!Q21,"")</f>
        <v>1</v>
      </c>
      <c r="S101" s="14">
        <f>IF(BAC_ARC_Daily!Q22&lt;&gt;0,S88/BAC_ARC_Daily!Q22,"")</f>
        <v>1</v>
      </c>
      <c r="T101" s="14">
        <f>IF(BAC_ARC_Daily!Q23&lt;&gt;0,T88/BAC_ARC_Daily!Q23,"")</f>
        <v>1</v>
      </c>
      <c r="U101" s="14">
        <f>IF(BAC_ARC_Daily!Q24&lt;&gt;0,U88/BAC_ARC_Daily!Q24,"")</f>
        <v>1</v>
      </c>
      <c r="V101" s="14">
        <f>IF(BAC_ARC_Daily!Q25&lt;&gt;0,V88/BAC_ARC_Daily!Q25,"")</f>
        <v>1</v>
      </c>
      <c r="W101" s="14">
        <f>IF(BAC_ARC_Daily!Q26&lt;&gt;0,W88/BAC_ARC_Daily!Q26,"")</f>
        <v>1</v>
      </c>
    </row>
    <row r="102" spans="1:23" ht="18" customHeight="1" x14ac:dyDescent="0.25"/>
    <row r="103" spans="1:23" ht="18" customHeight="1" x14ac:dyDescent="0.25"/>
    <row r="104" spans="1:23" ht="18" customHeight="1" x14ac:dyDescent="0.25">
      <c r="A104" s="29" t="s">
        <v>54</v>
      </c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</row>
    <row r="105" spans="1:23" ht="18" customHeight="1" x14ac:dyDescent="0.25">
      <c r="A105" s="25" t="s">
        <v>161</v>
      </c>
    </row>
    <row r="106" spans="1:23" ht="18" customHeight="1" x14ac:dyDescent="0.25">
      <c r="A106" s="11" t="str">
        <f>NGS_Archaea_Input!A5</f>
        <v>Arc_taxon_1</v>
      </c>
      <c r="B106" s="21">
        <f>IF(Inputs!$H$38="","",Inputs!$H$38*NGS_Archaea_Input!$G$5)</f>
        <v>0</v>
      </c>
      <c r="C106" s="21">
        <f>IF(B106="","",B106+Inputs!$B$5/Inputs!$B$15*(Inputs!$C$15*(Inputs!$C$29*NGS_Archaea_Input!$B$5-B106)+Inputs!$D$15*(B5-B106)+Inputs!$E$15*(Inputs!$D$29*NGS_Archaea_Input!$C$5-B106)))</f>
        <v>0</v>
      </c>
      <c r="D106" s="21">
        <f>IF(C106="","",C106+Inputs!$B$5/Inputs!$B$15*(Inputs!$C$15*(Inputs!$C$29*NGS_Archaea_Input!$B$5-C106)+Inputs!$D$15*(C5-C106)+Inputs!$E$15*(Inputs!$D$29*NGS_Archaea_Input!$C$5-C106)))</f>
        <v>0</v>
      </c>
      <c r="E106" s="21">
        <f>IF(D106="","",D106+Inputs!$B$5/Inputs!$B$15*(Inputs!$C$15*(Inputs!$C$29*NGS_Archaea_Input!$B$5-D106)+Inputs!$D$15*(D5-D106)+Inputs!$E$15*(Inputs!$D$29*NGS_Archaea_Input!$C$5-D106)))</f>
        <v>0</v>
      </c>
      <c r="F106" s="21">
        <f>IF(E106="","",E106+Inputs!$B$5/Inputs!$B$15*(Inputs!$C$15*(Inputs!$C$29*NGS_Archaea_Input!$B$5-E106)+Inputs!$D$15*(E5-E106)+Inputs!$E$15*(Inputs!$D$29*NGS_Archaea_Input!$C$5-E106)))</f>
        <v>0</v>
      </c>
      <c r="G106" s="21">
        <f>IF(F106="","",F106+Inputs!$B$5/Inputs!$B$15*(Inputs!$C$15*(Inputs!$C$29*NGS_Archaea_Input!$B$5-F106)+Inputs!$D$15*(F5-F106)+Inputs!$E$15*(Inputs!$D$29*NGS_Archaea_Input!$C$5-F106)))</f>
        <v>0</v>
      </c>
      <c r="H106" s="21">
        <f>IF(G106="","",G106+Inputs!$B$5/Inputs!$B$15*(Inputs!$C$15*(Inputs!$C$29*NGS_Archaea_Input!$B$5-G106)+Inputs!$D$15*(G5-G106)+Inputs!$E$15*(Inputs!$D$29*NGS_Archaea_Input!$C$5-G106)))</f>
        <v>0</v>
      </c>
      <c r="I106" s="21">
        <f>IF(H106="","",H106+Inputs!$B$5/Inputs!$B$15*(Inputs!$C$15*(Inputs!$C$29*NGS_Archaea_Input!$B$5-H106)+Inputs!$D$15*(H5-H106)+Inputs!$E$15*(Inputs!$D$29*NGS_Archaea_Input!$C$5-H106)))</f>
        <v>0</v>
      </c>
      <c r="J106" s="21">
        <f>IF(I106="","",I106+Inputs!$B$5/Inputs!$B$15*(Inputs!$C$15*(Inputs!$C$29*NGS_Archaea_Input!$B$5-I106)+Inputs!$D$15*(I5-I106)+Inputs!$E$15*(Inputs!$D$29*NGS_Archaea_Input!$C$5-I106)))</f>
        <v>0</v>
      </c>
      <c r="K106" s="21">
        <f>IF(J106="","",J106+Inputs!$B$5/Inputs!$B$15*(Inputs!$C$15*(Inputs!$C$29*NGS_Archaea_Input!$B$5-J106)+Inputs!$D$15*(J5-J106)+Inputs!$E$15*(Inputs!$D$29*NGS_Archaea_Input!$C$5-J106)))</f>
        <v>0</v>
      </c>
      <c r="L106" s="21">
        <f>IF(K106="","",K106+Inputs!$B$5/Inputs!$B$15*(Inputs!$C$15*(Inputs!$C$29*NGS_Archaea_Input!$B$5-K106)+Inputs!$D$15*(K5-K106)+Inputs!$E$15*(Inputs!$D$29*NGS_Archaea_Input!$C$5-K106)))</f>
        <v>0</v>
      </c>
      <c r="M106" s="21">
        <f>IF(L106="","",L106+Inputs!$B$5/Inputs!$B$15*(Inputs!$C$15*(Inputs!$C$29*NGS_Archaea_Input!$B$5-L106)+Inputs!$D$15*(L5-L106)+Inputs!$E$15*(Inputs!$D$29*NGS_Archaea_Input!$C$5-L106)))</f>
        <v>0</v>
      </c>
      <c r="N106" s="21">
        <f>IF(M106="","",M106+Inputs!$B$5/Inputs!$B$15*(Inputs!$C$15*(Inputs!$C$29*NGS_Archaea_Input!$B$5-M106)+Inputs!$D$15*(M5-M106)+Inputs!$E$15*(Inputs!$D$29*NGS_Archaea_Input!$C$5-M106)))</f>
        <v>0</v>
      </c>
      <c r="O106" s="21">
        <f>IF(N106="","",N106+Inputs!$B$5/Inputs!$B$15*(Inputs!$C$15*(Inputs!$C$29*NGS_Archaea_Input!$B$5-N106)+Inputs!$D$15*(N5-N106)+Inputs!$E$15*(Inputs!$D$29*NGS_Archaea_Input!$C$5-N106)))</f>
        <v>0</v>
      </c>
      <c r="P106" s="21">
        <f>IF(O106="","",O106+Inputs!$B$5/Inputs!$B$15*(Inputs!$C$15*(Inputs!$C$29*NGS_Archaea_Input!$B$5-O106)+Inputs!$D$15*(O5-O106)+Inputs!$E$15*(Inputs!$D$29*NGS_Archaea_Input!$C$5-O106)))</f>
        <v>0</v>
      </c>
      <c r="Q106" s="21">
        <f>IF(P106="","",P106+Inputs!$B$5/Inputs!$B$15*(Inputs!$C$15*(Inputs!$C$29*NGS_Archaea_Input!$B$5-P106)+Inputs!$D$15*(P5-P106)+Inputs!$E$15*(Inputs!$D$29*NGS_Archaea_Input!$C$5-P106)))</f>
        <v>0</v>
      </c>
      <c r="R106" s="21">
        <f>IF(Q106="","",Q106+Inputs!$B$5/Inputs!$B$15*(Inputs!$C$15*(Inputs!$C$29*NGS_Archaea_Input!$B$5-Q106)+Inputs!$D$15*(Q5-Q106)+Inputs!$E$15*(Inputs!$D$29*NGS_Archaea_Input!$C$5-Q106)))</f>
        <v>0</v>
      </c>
      <c r="S106" s="21">
        <f>IF(R106="","",R106+Inputs!$B$5/Inputs!$B$15*(Inputs!$C$15*(Inputs!$C$29*NGS_Archaea_Input!$B$5-R106)+Inputs!$D$15*(R5-R106)+Inputs!$E$15*(Inputs!$D$29*NGS_Archaea_Input!$C$5-R106)))</f>
        <v>0</v>
      </c>
      <c r="T106" s="21">
        <f>IF(S106="","",S106+Inputs!$B$5/Inputs!$B$15*(Inputs!$C$15*(Inputs!$C$29*NGS_Archaea_Input!$B$5-S106)+Inputs!$D$15*(S5-S106)+Inputs!$E$15*(Inputs!$D$29*NGS_Archaea_Input!$C$5-S106)))</f>
        <v>0</v>
      </c>
      <c r="U106" s="21">
        <f>IF(T106="","",T106+Inputs!$B$5/Inputs!$B$15*(Inputs!$C$15*(Inputs!$C$29*NGS_Archaea_Input!$B$5-T106)+Inputs!$D$15*(T5-T106)+Inputs!$E$15*(Inputs!$D$29*NGS_Archaea_Input!$C$5-T106)))</f>
        <v>0</v>
      </c>
      <c r="V106" s="21">
        <f>IF(U106="","",U106+Inputs!$B$5/Inputs!$B$15*(Inputs!$C$15*(Inputs!$C$29*NGS_Archaea_Input!$B$5-U106)+Inputs!$D$15*(U5-U106)+Inputs!$E$15*(Inputs!$D$29*NGS_Archaea_Input!$C$5-U106)))</f>
        <v>0</v>
      </c>
      <c r="W106" s="21">
        <f>IF(V106="","",V106+Inputs!$B$5/Inputs!$B$15*(Inputs!$C$15*(Inputs!$C$29*NGS_Archaea_Input!$B$5-V106)+Inputs!$D$15*(V5-V106)+Inputs!$E$15*(Inputs!$D$29*NGS_Archaea_Input!$C$5-V106)))</f>
        <v>0</v>
      </c>
    </row>
    <row r="107" spans="1:23" ht="18" customHeight="1" x14ac:dyDescent="0.25">
      <c r="A107" s="11" t="str">
        <f>NGS_Archaea_Input!A6</f>
        <v>Arc_taxon_2</v>
      </c>
      <c r="B107" s="21">
        <f>IF(Inputs!$H$38="","",Inputs!$H$38*NGS_Archaea_Input!$G$6)</f>
        <v>0</v>
      </c>
      <c r="C107" s="21">
        <f>IF(B107="","",B107+Inputs!$B$5/Inputs!$B$15*(Inputs!$C$15*(Inputs!$C$29*NGS_Archaea_Input!$B$6-B107)+Inputs!$D$15*(B6-B107)+Inputs!$E$15*(Inputs!$D$29*NGS_Archaea_Input!$C$6-B107)))</f>
        <v>0</v>
      </c>
      <c r="D107" s="21">
        <f>IF(C107="","",C107+Inputs!$B$5/Inputs!$B$15*(Inputs!$C$15*(Inputs!$C$29*NGS_Archaea_Input!$B$6-C107)+Inputs!$D$15*(C6-C107)+Inputs!$E$15*(Inputs!$D$29*NGS_Archaea_Input!$C$6-C107)))</f>
        <v>0</v>
      </c>
      <c r="E107" s="21">
        <f>IF(D107="","",D107+Inputs!$B$5/Inputs!$B$15*(Inputs!$C$15*(Inputs!$C$29*NGS_Archaea_Input!$B$6-D107)+Inputs!$D$15*(D6-D107)+Inputs!$E$15*(Inputs!$D$29*NGS_Archaea_Input!$C$6-D107)))</f>
        <v>0</v>
      </c>
      <c r="F107" s="21">
        <f>IF(E107="","",E107+Inputs!$B$5/Inputs!$B$15*(Inputs!$C$15*(Inputs!$C$29*NGS_Archaea_Input!$B$6-E107)+Inputs!$D$15*(E6-E107)+Inputs!$E$15*(Inputs!$D$29*NGS_Archaea_Input!$C$6-E107)))</f>
        <v>0</v>
      </c>
      <c r="G107" s="21">
        <f>IF(F107="","",F107+Inputs!$B$5/Inputs!$B$15*(Inputs!$C$15*(Inputs!$C$29*NGS_Archaea_Input!$B$6-F107)+Inputs!$D$15*(F6-F107)+Inputs!$E$15*(Inputs!$D$29*NGS_Archaea_Input!$C$6-F107)))</f>
        <v>0</v>
      </c>
      <c r="H107" s="21">
        <f>IF(G107="","",G107+Inputs!$B$5/Inputs!$B$15*(Inputs!$C$15*(Inputs!$C$29*NGS_Archaea_Input!$B$6-G107)+Inputs!$D$15*(G6-G107)+Inputs!$E$15*(Inputs!$D$29*NGS_Archaea_Input!$C$6-G107)))</f>
        <v>0</v>
      </c>
      <c r="I107" s="21">
        <f>IF(H107="","",H107+Inputs!$B$5/Inputs!$B$15*(Inputs!$C$15*(Inputs!$C$29*NGS_Archaea_Input!$B$6-H107)+Inputs!$D$15*(H6-H107)+Inputs!$E$15*(Inputs!$D$29*NGS_Archaea_Input!$C$6-H107)))</f>
        <v>0</v>
      </c>
      <c r="J107" s="21">
        <f>IF(I107="","",I107+Inputs!$B$5/Inputs!$B$15*(Inputs!$C$15*(Inputs!$C$29*NGS_Archaea_Input!$B$6-I107)+Inputs!$D$15*(I6-I107)+Inputs!$E$15*(Inputs!$D$29*NGS_Archaea_Input!$C$6-I107)))</f>
        <v>0</v>
      </c>
      <c r="K107" s="21">
        <f>IF(J107="","",J107+Inputs!$B$5/Inputs!$B$15*(Inputs!$C$15*(Inputs!$C$29*NGS_Archaea_Input!$B$6-J107)+Inputs!$D$15*(J6-J107)+Inputs!$E$15*(Inputs!$D$29*NGS_Archaea_Input!$C$6-J107)))</f>
        <v>0</v>
      </c>
      <c r="L107" s="21">
        <f>IF(K107="","",K107+Inputs!$B$5/Inputs!$B$15*(Inputs!$C$15*(Inputs!$C$29*NGS_Archaea_Input!$B$6-K107)+Inputs!$D$15*(K6-K107)+Inputs!$E$15*(Inputs!$D$29*NGS_Archaea_Input!$C$6-K107)))</f>
        <v>0</v>
      </c>
      <c r="M107" s="21">
        <f>IF(L107="","",L107+Inputs!$B$5/Inputs!$B$15*(Inputs!$C$15*(Inputs!$C$29*NGS_Archaea_Input!$B$6-L107)+Inputs!$D$15*(L6-L107)+Inputs!$E$15*(Inputs!$D$29*NGS_Archaea_Input!$C$6-L107)))</f>
        <v>0</v>
      </c>
      <c r="N107" s="21">
        <f>IF(M107="","",M107+Inputs!$B$5/Inputs!$B$15*(Inputs!$C$15*(Inputs!$C$29*NGS_Archaea_Input!$B$6-M107)+Inputs!$D$15*(M6-M107)+Inputs!$E$15*(Inputs!$D$29*NGS_Archaea_Input!$C$6-M107)))</f>
        <v>0</v>
      </c>
      <c r="O107" s="21">
        <f>IF(N107="","",N107+Inputs!$B$5/Inputs!$B$15*(Inputs!$C$15*(Inputs!$C$29*NGS_Archaea_Input!$B$6-N107)+Inputs!$D$15*(N6-N107)+Inputs!$E$15*(Inputs!$D$29*NGS_Archaea_Input!$C$6-N107)))</f>
        <v>0</v>
      </c>
      <c r="P107" s="21">
        <f>IF(O107="","",O107+Inputs!$B$5/Inputs!$B$15*(Inputs!$C$15*(Inputs!$C$29*NGS_Archaea_Input!$B$6-O107)+Inputs!$D$15*(O6-O107)+Inputs!$E$15*(Inputs!$D$29*NGS_Archaea_Input!$C$6-O107)))</f>
        <v>0</v>
      </c>
      <c r="Q107" s="21">
        <f>IF(P107="","",P107+Inputs!$B$5/Inputs!$B$15*(Inputs!$C$15*(Inputs!$C$29*NGS_Archaea_Input!$B$6-P107)+Inputs!$D$15*(P6-P107)+Inputs!$E$15*(Inputs!$D$29*NGS_Archaea_Input!$C$6-P107)))</f>
        <v>0</v>
      </c>
      <c r="R107" s="21">
        <f>IF(Q107="","",Q107+Inputs!$B$5/Inputs!$B$15*(Inputs!$C$15*(Inputs!$C$29*NGS_Archaea_Input!$B$6-Q107)+Inputs!$D$15*(Q6-Q107)+Inputs!$E$15*(Inputs!$D$29*NGS_Archaea_Input!$C$6-Q107)))</f>
        <v>0</v>
      </c>
      <c r="S107" s="21">
        <f>IF(R107="","",R107+Inputs!$B$5/Inputs!$B$15*(Inputs!$C$15*(Inputs!$C$29*NGS_Archaea_Input!$B$6-R107)+Inputs!$D$15*(R6-R107)+Inputs!$E$15*(Inputs!$D$29*NGS_Archaea_Input!$C$6-R107)))</f>
        <v>0</v>
      </c>
      <c r="T107" s="21">
        <f>IF(S107="","",S107+Inputs!$B$5/Inputs!$B$15*(Inputs!$C$15*(Inputs!$C$29*NGS_Archaea_Input!$B$6-S107)+Inputs!$D$15*(S6-S107)+Inputs!$E$15*(Inputs!$D$29*NGS_Archaea_Input!$C$6-S107)))</f>
        <v>0</v>
      </c>
      <c r="U107" s="21">
        <f>IF(T107="","",T107+Inputs!$B$5/Inputs!$B$15*(Inputs!$C$15*(Inputs!$C$29*NGS_Archaea_Input!$B$6-T107)+Inputs!$D$15*(T6-T107)+Inputs!$E$15*(Inputs!$D$29*NGS_Archaea_Input!$C$6-T107)))</f>
        <v>0</v>
      </c>
      <c r="V107" s="21">
        <f>IF(U107="","",U107+Inputs!$B$5/Inputs!$B$15*(Inputs!$C$15*(Inputs!$C$29*NGS_Archaea_Input!$B$6-U107)+Inputs!$D$15*(U6-U107)+Inputs!$E$15*(Inputs!$D$29*NGS_Archaea_Input!$C$6-U107)))</f>
        <v>0</v>
      </c>
      <c r="W107" s="21">
        <f>IF(V107="","",V107+Inputs!$B$5/Inputs!$B$15*(Inputs!$C$15*(Inputs!$C$29*NGS_Archaea_Input!$B$6-V107)+Inputs!$D$15*(V6-V107)+Inputs!$E$15*(Inputs!$D$29*NGS_Archaea_Input!$C$6-V107)))</f>
        <v>0</v>
      </c>
    </row>
    <row r="108" spans="1:23" ht="18" customHeight="1" x14ac:dyDescent="0.25">
      <c r="A108" s="11" t="str">
        <f>NGS_Archaea_Input!A7</f>
        <v>Arc_taxon_3</v>
      </c>
      <c r="B108" s="21">
        <f>IF(Inputs!$H$38="","",Inputs!$H$38*NGS_Archaea_Input!$G$7)</f>
        <v>0</v>
      </c>
      <c r="C108" s="21">
        <f>IF(B108="","",B108+Inputs!$B$5/Inputs!$B$15*(Inputs!$C$15*(Inputs!$C$29*NGS_Archaea_Input!$B$7-B108)+Inputs!$D$15*(B7-B108)+Inputs!$E$15*(Inputs!$D$29*NGS_Archaea_Input!$C$7-B108)))</f>
        <v>0</v>
      </c>
      <c r="D108" s="21">
        <f>IF(C108="","",C108+Inputs!$B$5/Inputs!$B$15*(Inputs!$C$15*(Inputs!$C$29*NGS_Archaea_Input!$B$7-C108)+Inputs!$D$15*(C7-C108)+Inputs!$E$15*(Inputs!$D$29*NGS_Archaea_Input!$C$7-C108)))</f>
        <v>0</v>
      </c>
      <c r="E108" s="21">
        <f>IF(D108="","",D108+Inputs!$B$5/Inputs!$B$15*(Inputs!$C$15*(Inputs!$C$29*NGS_Archaea_Input!$B$7-D108)+Inputs!$D$15*(D7-D108)+Inputs!$E$15*(Inputs!$D$29*NGS_Archaea_Input!$C$7-D108)))</f>
        <v>0</v>
      </c>
      <c r="F108" s="21">
        <f>IF(E108="","",E108+Inputs!$B$5/Inputs!$B$15*(Inputs!$C$15*(Inputs!$C$29*NGS_Archaea_Input!$B$7-E108)+Inputs!$D$15*(E7-E108)+Inputs!$E$15*(Inputs!$D$29*NGS_Archaea_Input!$C$7-E108)))</f>
        <v>0</v>
      </c>
      <c r="G108" s="21">
        <f>IF(F108="","",F108+Inputs!$B$5/Inputs!$B$15*(Inputs!$C$15*(Inputs!$C$29*NGS_Archaea_Input!$B$7-F108)+Inputs!$D$15*(F7-F108)+Inputs!$E$15*(Inputs!$D$29*NGS_Archaea_Input!$C$7-F108)))</f>
        <v>0</v>
      </c>
      <c r="H108" s="21">
        <f>IF(G108="","",G108+Inputs!$B$5/Inputs!$B$15*(Inputs!$C$15*(Inputs!$C$29*NGS_Archaea_Input!$B$7-G108)+Inputs!$D$15*(G7-G108)+Inputs!$E$15*(Inputs!$D$29*NGS_Archaea_Input!$C$7-G108)))</f>
        <v>0</v>
      </c>
      <c r="I108" s="21">
        <f>IF(H108="","",H108+Inputs!$B$5/Inputs!$B$15*(Inputs!$C$15*(Inputs!$C$29*NGS_Archaea_Input!$B$7-H108)+Inputs!$D$15*(H7-H108)+Inputs!$E$15*(Inputs!$D$29*NGS_Archaea_Input!$C$7-H108)))</f>
        <v>0</v>
      </c>
      <c r="J108" s="21">
        <f>IF(I108="","",I108+Inputs!$B$5/Inputs!$B$15*(Inputs!$C$15*(Inputs!$C$29*NGS_Archaea_Input!$B$7-I108)+Inputs!$D$15*(I7-I108)+Inputs!$E$15*(Inputs!$D$29*NGS_Archaea_Input!$C$7-I108)))</f>
        <v>0</v>
      </c>
      <c r="K108" s="21">
        <f>IF(J108="","",J108+Inputs!$B$5/Inputs!$B$15*(Inputs!$C$15*(Inputs!$C$29*NGS_Archaea_Input!$B$7-J108)+Inputs!$D$15*(J7-J108)+Inputs!$E$15*(Inputs!$D$29*NGS_Archaea_Input!$C$7-J108)))</f>
        <v>0</v>
      </c>
      <c r="L108" s="21">
        <f>IF(K108="","",K108+Inputs!$B$5/Inputs!$B$15*(Inputs!$C$15*(Inputs!$C$29*NGS_Archaea_Input!$B$7-K108)+Inputs!$D$15*(K7-K108)+Inputs!$E$15*(Inputs!$D$29*NGS_Archaea_Input!$C$7-K108)))</f>
        <v>0</v>
      </c>
      <c r="M108" s="21">
        <f>IF(L108="","",L108+Inputs!$B$5/Inputs!$B$15*(Inputs!$C$15*(Inputs!$C$29*NGS_Archaea_Input!$B$7-L108)+Inputs!$D$15*(L7-L108)+Inputs!$E$15*(Inputs!$D$29*NGS_Archaea_Input!$C$7-L108)))</f>
        <v>0</v>
      </c>
      <c r="N108" s="21">
        <f>IF(M108="","",M108+Inputs!$B$5/Inputs!$B$15*(Inputs!$C$15*(Inputs!$C$29*NGS_Archaea_Input!$B$7-M108)+Inputs!$D$15*(M7-M108)+Inputs!$E$15*(Inputs!$D$29*NGS_Archaea_Input!$C$7-M108)))</f>
        <v>0</v>
      </c>
      <c r="O108" s="21">
        <f>IF(N108="","",N108+Inputs!$B$5/Inputs!$B$15*(Inputs!$C$15*(Inputs!$C$29*NGS_Archaea_Input!$B$7-N108)+Inputs!$D$15*(N7-N108)+Inputs!$E$15*(Inputs!$D$29*NGS_Archaea_Input!$C$7-N108)))</f>
        <v>0</v>
      </c>
      <c r="P108" s="21">
        <f>IF(O108="","",O108+Inputs!$B$5/Inputs!$B$15*(Inputs!$C$15*(Inputs!$C$29*NGS_Archaea_Input!$B$7-O108)+Inputs!$D$15*(O7-O108)+Inputs!$E$15*(Inputs!$D$29*NGS_Archaea_Input!$C$7-O108)))</f>
        <v>0</v>
      </c>
      <c r="Q108" s="21">
        <f>IF(P108="","",P108+Inputs!$B$5/Inputs!$B$15*(Inputs!$C$15*(Inputs!$C$29*NGS_Archaea_Input!$B$7-P108)+Inputs!$D$15*(P7-P108)+Inputs!$E$15*(Inputs!$D$29*NGS_Archaea_Input!$C$7-P108)))</f>
        <v>0</v>
      </c>
      <c r="R108" s="21">
        <f>IF(Q108="","",Q108+Inputs!$B$5/Inputs!$B$15*(Inputs!$C$15*(Inputs!$C$29*NGS_Archaea_Input!$B$7-Q108)+Inputs!$D$15*(Q7-Q108)+Inputs!$E$15*(Inputs!$D$29*NGS_Archaea_Input!$C$7-Q108)))</f>
        <v>0</v>
      </c>
      <c r="S108" s="21">
        <f>IF(R108="","",R108+Inputs!$B$5/Inputs!$B$15*(Inputs!$C$15*(Inputs!$C$29*NGS_Archaea_Input!$B$7-R108)+Inputs!$D$15*(R7-R108)+Inputs!$E$15*(Inputs!$D$29*NGS_Archaea_Input!$C$7-R108)))</f>
        <v>0</v>
      </c>
      <c r="T108" s="21">
        <f>IF(S108="","",S108+Inputs!$B$5/Inputs!$B$15*(Inputs!$C$15*(Inputs!$C$29*NGS_Archaea_Input!$B$7-S108)+Inputs!$D$15*(S7-S108)+Inputs!$E$15*(Inputs!$D$29*NGS_Archaea_Input!$C$7-S108)))</f>
        <v>0</v>
      </c>
      <c r="U108" s="21">
        <f>IF(T108="","",T108+Inputs!$B$5/Inputs!$B$15*(Inputs!$C$15*(Inputs!$C$29*NGS_Archaea_Input!$B$7-T108)+Inputs!$D$15*(T7-T108)+Inputs!$E$15*(Inputs!$D$29*NGS_Archaea_Input!$C$7-T108)))</f>
        <v>0</v>
      </c>
      <c r="V108" s="21">
        <f>IF(U108="","",U108+Inputs!$B$5/Inputs!$B$15*(Inputs!$C$15*(Inputs!$C$29*NGS_Archaea_Input!$B$7-U108)+Inputs!$D$15*(U7-U108)+Inputs!$E$15*(Inputs!$D$29*NGS_Archaea_Input!$C$7-U108)))</f>
        <v>0</v>
      </c>
      <c r="W108" s="21">
        <f>IF(V108="","",V108+Inputs!$B$5/Inputs!$B$15*(Inputs!$C$15*(Inputs!$C$29*NGS_Archaea_Input!$B$7-V108)+Inputs!$D$15*(V7-V108)+Inputs!$E$15*(Inputs!$D$29*NGS_Archaea_Input!$C$7-V108)))</f>
        <v>0</v>
      </c>
    </row>
    <row r="109" spans="1:23" ht="18" customHeight="1" x14ac:dyDescent="0.25">
      <c r="A109" s="11" t="str">
        <f>NGS_Archaea_Input!A8</f>
        <v>Arc_taxon_4</v>
      </c>
      <c r="B109" s="21">
        <f>IF(Inputs!$H$38="","",Inputs!$H$38*NGS_Archaea_Input!$G$8)</f>
        <v>0</v>
      </c>
      <c r="C109" s="21">
        <f>IF(B109="","",B109+Inputs!$B$5/Inputs!$B$15*(Inputs!$C$15*(Inputs!$C$29*NGS_Archaea_Input!$B$8-B109)+Inputs!$D$15*(B8-B109)+Inputs!$E$15*(Inputs!$D$29*NGS_Archaea_Input!$C$8-B109)))</f>
        <v>0</v>
      </c>
      <c r="D109" s="21">
        <f>IF(C109="","",C109+Inputs!$B$5/Inputs!$B$15*(Inputs!$C$15*(Inputs!$C$29*NGS_Archaea_Input!$B$8-C109)+Inputs!$D$15*(C8-C109)+Inputs!$E$15*(Inputs!$D$29*NGS_Archaea_Input!$C$8-C109)))</f>
        <v>0</v>
      </c>
      <c r="E109" s="21">
        <f>IF(D109="","",D109+Inputs!$B$5/Inputs!$B$15*(Inputs!$C$15*(Inputs!$C$29*NGS_Archaea_Input!$B$8-D109)+Inputs!$D$15*(D8-D109)+Inputs!$E$15*(Inputs!$D$29*NGS_Archaea_Input!$C$8-D109)))</f>
        <v>0</v>
      </c>
      <c r="F109" s="21">
        <f>IF(E109="","",E109+Inputs!$B$5/Inputs!$B$15*(Inputs!$C$15*(Inputs!$C$29*NGS_Archaea_Input!$B$8-E109)+Inputs!$D$15*(E8-E109)+Inputs!$E$15*(Inputs!$D$29*NGS_Archaea_Input!$C$8-E109)))</f>
        <v>0</v>
      </c>
      <c r="G109" s="21">
        <f>IF(F109="","",F109+Inputs!$B$5/Inputs!$B$15*(Inputs!$C$15*(Inputs!$C$29*NGS_Archaea_Input!$B$8-F109)+Inputs!$D$15*(F8-F109)+Inputs!$E$15*(Inputs!$D$29*NGS_Archaea_Input!$C$8-F109)))</f>
        <v>0</v>
      </c>
      <c r="H109" s="21">
        <f>IF(G109="","",G109+Inputs!$B$5/Inputs!$B$15*(Inputs!$C$15*(Inputs!$C$29*NGS_Archaea_Input!$B$8-G109)+Inputs!$D$15*(G8-G109)+Inputs!$E$15*(Inputs!$D$29*NGS_Archaea_Input!$C$8-G109)))</f>
        <v>0</v>
      </c>
      <c r="I109" s="21">
        <f>IF(H109="","",H109+Inputs!$B$5/Inputs!$B$15*(Inputs!$C$15*(Inputs!$C$29*NGS_Archaea_Input!$B$8-H109)+Inputs!$D$15*(H8-H109)+Inputs!$E$15*(Inputs!$D$29*NGS_Archaea_Input!$C$8-H109)))</f>
        <v>0</v>
      </c>
      <c r="J109" s="21">
        <f>IF(I109="","",I109+Inputs!$B$5/Inputs!$B$15*(Inputs!$C$15*(Inputs!$C$29*NGS_Archaea_Input!$B$8-I109)+Inputs!$D$15*(I8-I109)+Inputs!$E$15*(Inputs!$D$29*NGS_Archaea_Input!$C$8-I109)))</f>
        <v>0</v>
      </c>
      <c r="K109" s="21">
        <f>IF(J109="","",J109+Inputs!$B$5/Inputs!$B$15*(Inputs!$C$15*(Inputs!$C$29*NGS_Archaea_Input!$B$8-J109)+Inputs!$D$15*(J8-J109)+Inputs!$E$15*(Inputs!$D$29*NGS_Archaea_Input!$C$8-J109)))</f>
        <v>0</v>
      </c>
      <c r="L109" s="21">
        <f>IF(K109="","",K109+Inputs!$B$5/Inputs!$B$15*(Inputs!$C$15*(Inputs!$C$29*NGS_Archaea_Input!$B$8-K109)+Inputs!$D$15*(K8-K109)+Inputs!$E$15*(Inputs!$D$29*NGS_Archaea_Input!$C$8-K109)))</f>
        <v>0</v>
      </c>
      <c r="M109" s="21">
        <f>IF(L109="","",L109+Inputs!$B$5/Inputs!$B$15*(Inputs!$C$15*(Inputs!$C$29*NGS_Archaea_Input!$B$8-L109)+Inputs!$D$15*(L8-L109)+Inputs!$E$15*(Inputs!$D$29*NGS_Archaea_Input!$C$8-L109)))</f>
        <v>0</v>
      </c>
      <c r="N109" s="21">
        <f>IF(M109="","",M109+Inputs!$B$5/Inputs!$B$15*(Inputs!$C$15*(Inputs!$C$29*NGS_Archaea_Input!$B$8-M109)+Inputs!$D$15*(M8-M109)+Inputs!$E$15*(Inputs!$D$29*NGS_Archaea_Input!$C$8-M109)))</f>
        <v>0</v>
      </c>
      <c r="O109" s="21">
        <f>IF(N109="","",N109+Inputs!$B$5/Inputs!$B$15*(Inputs!$C$15*(Inputs!$C$29*NGS_Archaea_Input!$B$8-N109)+Inputs!$D$15*(N8-N109)+Inputs!$E$15*(Inputs!$D$29*NGS_Archaea_Input!$C$8-N109)))</f>
        <v>0</v>
      </c>
      <c r="P109" s="21">
        <f>IF(O109="","",O109+Inputs!$B$5/Inputs!$B$15*(Inputs!$C$15*(Inputs!$C$29*NGS_Archaea_Input!$B$8-O109)+Inputs!$D$15*(O8-O109)+Inputs!$E$15*(Inputs!$D$29*NGS_Archaea_Input!$C$8-O109)))</f>
        <v>0</v>
      </c>
      <c r="Q109" s="21">
        <f>IF(P109="","",P109+Inputs!$B$5/Inputs!$B$15*(Inputs!$C$15*(Inputs!$C$29*NGS_Archaea_Input!$B$8-P109)+Inputs!$D$15*(P8-P109)+Inputs!$E$15*(Inputs!$D$29*NGS_Archaea_Input!$C$8-P109)))</f>
        <v>0</v>
      </c>
      <c r="R109" s="21">
        <f>IF(Q109="","",Q109+Inputs!$B$5/Inputs!$B$15*(Inputs!$C$15*(Inputs!$C$29*NGS_Archaea_Input!$B$8-Q109)+Inputs!$D$15*(Q8-Q109)+Inputs!$E$15*(Inputs!$D$29*NGS_Archaea_Input!$C$8-Q109)))</f>
        <v>0</v>
      </c>
      <c r="S109" s="21">
        <f>IF(R109="","",R109+Inputs!$B$5/Inputs!$B$15*(Inputs!$C$15*(Inputs!$C$29*NGS_Archaea_Input!$B$8-R109)+Inputs!$D$15*(R8-R109)+Inputs!$E$15*(Inputs!$D$29*NGS_Archaea_Input!$C$8-R109)))</f>
        <v>0</v>
      </c>
      <c r="T109" s="21">
        <f>IF(S109="","",S109+Inputs!$B$5/Inputs!$B$15*(Inputs!$C$15*(Inputs!$C$29*NGS_Archaea_Input!$B$8-S109)+Inputs!$D$15*(S8-S109)+Inputs!$E$15*(Inputs!$D$29*NGS_Archaea_Input!$C$8-S109)))</f>
        <v>0</v>
      </c>
      <c r="U109" s="21">
        <f>IF(T109="","",T109+Inputs!$B$5/Inputs!$B$15*(Inputs!$C$15*(Inputs!$C$29*NGS_Archaea_Input!$B$8-T109)+Inputs!$D$15*(T8-T109)+Inputs!$E$15*(Inputs!$D$29*NGS_Archaea_Input!$C$8-T109)))</f>
        <v>0</v>
      </c>
      <c r="V109" s="21">
        <f>IF(U109="","",U109+Inputs!$B$5/Inputs!$B$15*(Inputs!$C$15*(Inputs!$C$29*NGS_Archaea_Input!$B$8-U109)+Inputs!$D$15*(U8-U109)+Inputs!$E$15*(Inputs!$D$29*NGS_Archaea_Input!$C$8-U109)))</f>
        <v>0</v>
      </c>
      <c r="W109" s="21">
        <f>IF(V109="","",V109+Inputs!$B$5/Inputs!$B$15*(Inputs!$C$15*(Inputs!$C$29*NGS_Archaea_Input!$B$8-V109)+Inputs!$D$15*(V8-V109)+Inputs!$E$15*(Inputs!$D$29*NGS_Archaea_Input!$C$8-V109)))</f>
        <v>0</v>
      </c>
    </row>
    <row r="110" spans="1:23" ht="18" customHeight="1" x14ac:dyDescent="0.25">
      <c r="A110" s="11" t="str">
        <f>NGS_Archaea_Input!A9</f>
        <v>Arc_taxon_5</v>
      </c>
      <c r="B110" s="21">
        <f>IF(Inputs!$H$38="","",Inputs!$H$38*NGS_Archaea_Input!$G$9)</f>
        <v>0</v>
      </c>
      <c r="C110" s="21">
        <f>IF(B110="","",B110+Inputs!$B$5/Inputs!$B$15*(Inputs!$C$15*(Inputs!$C$29*NGS_Archaea_Input!$B$9-B110)+Inputs!$D$15*(B9-B110)+Inputs!$E$15*(Inputs!$D$29*NGS_Archaea_Input!$C$9-B110)))</f>
        <v>0</v>
      </c>
      <c r="D110" s="21">
        <f>IF(C110="","",C110+Inputs!$B$5/Inputs!$B$15*(Inputs!$C$15*(Inputs!$C$29*NGS_Archaea_Input!$B$9-C110)+Inputs!$D$15*(C9-C110)+Inputs!$E$15*(Inputs!$D$29*NGS_Archaea_Input!$C$9-C110)))</f>
        <v>0</v>
      </c>
      <c r="E110" s="21">
        <f>IF(D110="","",D110+Inputs!$B$5/Inputs!$B$15*(Inputs!$C$15*(Inputs!$C$29*NGS_Archaea_Input!$B$9-D110)+Inputs!$D$15*(D9-D110)+Inputs!$E$15*(Inputs!$D$29*NGS_Archaea_Input!$C$9-D110)))</f>
        <v>0</v>
      </c>
      <c r="F110" s="21">
        <f>IF(E110="","",E110+Inputs!$B$5/Inputs!$B$15*(Inputs!$C$15*(Inputs!$C$29*NGS_Archaea_Input!$B$9-E110)+Inputs!$D$15*(E9-E110)+Inputs!$E$15*(Inputs!$D$29*NGS_Archaea_Input!$C$9-E110)))</f>
        <v>0</v>
      </c>
      <c r="G110" s="21">
        <f>IF(F110="","",F110+Inputs!$B$5/Inputs!$B$15*(Inputs!$C$15*(Inputs!$C$29*NGS_Archaea_Input!$B$9-F110)+Inputs!$D$15*(F9-F110)+Inputs!$E$15*(Inputs!$D$29*NGS_Archaea_Input!$C$9-F110)))</f>
        <v>0</v>
      </c>
      <c r="H110" s="21">
        <f>IF(G110="","",G110+Inputs!$B$5/Inputs!$B$15*(Inputs!$C$15*(Inputs!$C$29*NGS_Archaea_Input!$B$9-G110)+Inputs!$D$15*(G9-G110)+Inputs!$E$15*(Inputs!$D$29*NGS_Archaea_Input!$C$9-G110)))</f>
        <v>0</v>
      </c>
      <c r="I110" s="21">
        <f>IF(H110="","",H110+Inputs!$B$5/Inputs!$B$15*(Inputs!$C$15*(Inputs!$C$29*NGS_Archaea_Input!$B$9-H110)+Inputs!$D$15*(H9-H110)+Inputs!$E$15*(Inputs!$D$29*NGS_Archaea_Input!$C$9-H110)))</f>
        <v>0</v>
      </c>
      <c r="J110" s="21">
        <f>IF(I110="","",I110+Inputs!$B$5/Inputs!$B$15*(Inputs!$C$15*(Inputs!$C$29*NGS_Archaea_Input!$B$9-I110)+Inputs!$D$15*(I9-I110)+Inputs!$E$15*(Inputs!$D$29*NGS_Archaea_Input!$C$9-I110)))</f>
        <v>0</v>
      </c>
      <c r="K110" s="21">
        <f>IF(J110="","",J110+Inputs!$B$5/Inputs!$B$15*(Inputs!$C$15*(Inputs!$C$29*NGS_Archaea_Input!$B$9-J110)+Inputs!$D$15*(J9-J110)+Inputs!$E$15*(Inputs!$D$29*NGS_Archaea_Input!$C$9-J110)))</f>
        <v>0</v>
      </c>
      <c r="L110" s="21">
        <f>IF(K110="","",K110+Inputs!$B$5/Inputs!$B$15*(Inputs!$C$15*(Inputs!$C$29*NGS_Archaea_Input!$B$9-K110)+Inputs!$D$15*(K9-K110)+Inputs!$E$15*(Inputs!$D$29*NGS_Archaea_Input!$C$9-K110)))</f>
        <v>0</v>
      </c>
      <c r="M110" s="21">
        <f>IF(L110="","",L110+Inputs!$B$5/Inputs!$B$15*(Inputs!$C$15*(Inputs!$C$29*NGS_Archaea_Input!$B$9-L110)+Inputs!$D$15*(L9-L110)+Inputs!$E$15*(Inputs!$D$29*NGS_Archaea_Input!$C$9-L110)))</f>
        <v>0</v>
      </c>
      <c r="N110" s="21">
        <f>IF(M110="","",M110+Inputs!$B$5/Inputs!$B$15*(Inputs!$C$15*(Inputs!$C$29*NGS_Archaea_Input!$B$9-M110)+Inputs!$D$15*(M9-M110)+Inputs!$E$15*(Inputs!$D$29*NGS_Archaea_Input!$C$9-M110)))</f>
        <v>0</v>
      </c>
      <c r="O110" s="21">
        <f>IF(N110="","",N110+Inputs!$B$5/Inputs!$B$15*(Inputs!$C$15*(Inputs!$C$29*NGS_Archaea_Input!$B$9-N110)+Inputs!$D$15*(N9-N110)+Inputs!$E$15*(Inputs!$D$29*NGS_Archaea_Input!$C$9-N110)))</f>
        <v>0</v>
      </c>
      <c r="P110" s="21">
        <f>IF(O110="","",O110+Inputs!$B$5/Inputs!$B$15*(Inputs!$C$15*(Inputs!$C$29*NGS_Archaea_Input!$B$9-O110)+Inputs!$D$15*(O9-O110)+Inputs!$E$15*(Inputs!$D$29*NGS_Archaea_Input!$C$9-O110)))</f>
        <v>0</v>
      </c>
      <c r="Q110" s="21">
        <f>IF(P110="","",P110+Inputs!$B$5/Inputs!$B$15*(Inputs!$C$15*(Inputs!$C$29*NGS_Archaea_Input!$B$9-P110)+Inputs!$D$15*(P9-P110)+Inputs!$E$15*(Inputs!$D$29*NGS_Archaea_Input!$C$9-P110)))</f>
        <v>0</v>
      </c>
      <c r="R110" s="21">
        <f>IF(Q110="","",Q110+Inputs!$B$5/Inputs!$B$15*(Inputs!$C$15*(Inputs!$C$29*NGS_Archaea_Input!$B$9-Q110)+Inputs!$D$15*(Q9-Q110)+Inputs!$E$15*(Inputs!$D$29*NGS_Archaea_Input!$C$9-Q110)))</f>
        <v>0</v>
      </c>
      <c r="S110" s="21">
        <f>IF(R110="","",R110+Inputs!$B$5/Inputs!$B$15*(Inputs!$C$15*(Inputs!$C$29*NGS_Archaea_Input!$B$9-R110)+Inputs!$D$15*(R9-R110)+Inputs!$E$15*(Inputs!$D$29*NGS_Archaea_Input!$C$9-R110)))</f>
        <v>0</v>
      </c>
      <c r="T110" s="21">
        <f>IF(S110="","",S110+Inputs!$B$5/Inputs!$B$15*(Inputs!$C$15*(Inputs!$C$29*NGS_Archaea_Input!$B$9-S110)+Inputs!$D$15*(S9-S110)+Inputs!$E$15*(Inputs!$D$29*NGS_Archaea_Input!$C$9-S110)))</f>
        <v>0</v>
      </c>
      <c r="U110" s="21">
        <f>IF(T110="","",T110+Inputs!$B$5/Inputs!$B$15*(Inputs!$C$15*(Inputs!$C$29*NGS_Archaea_Input!$B$9-T110)+Inputs!$D$15*(T9-T110)+Inputs!$E$15*(Inputs!$D$29*NGS_Archaea_Input!$C$9-T110)))</f>
        <v>0</v>
      </c>
      <c r="V110" s="21">
        <f>IF(U110="","",U110+Inputs!$B$5/Inputs!$B$15*(Inputs!$C$15*(Inputs!$C$29*NGS_Archaea_Input!$B$9-U110)+Inputs!$D$15*(U9-U110)+Inputs!$E$15*(Inputs!$D$29*NGS_Archaea_Input!$C$9-U110)))</f>
        <v>0</v>
      </c>
      <c r="W110" s="21">
        <f>IF(V110="","",V110+Inputs!$B$5/Inputs!$B$15*(Inputs!$C$15*(Inputs!$C$29*NGS_Archaea_Input!$B$9-V110)+Inputs!$D$15*(V9-V110)+Inputs!$E$15*(Inputs!$D$29*NGS_Archaea_Input!$C$9-V110)))</f>
        <v>0</v>
      </c>
    </row>
    <row r="111" spans="1:23" ht="18" customHeight="1" x14ac:dyDescent="0.25">
      <c r="A111" s="11" t="str">
        <f>NGS_Archaea_Input!A10</f>
        <v>Arc_taxon_6</v>
      </c>
      <c r="B111" s="21">
        <f>IF(Inputs!$H$38="","",Inputs!$H$38*NGS_Archaea_Input!$G$10)</f>
        <v>0</v>
      </c>
      <c r="C111" s="21">
        <f>IF(B111="","",B111+Inputs!$B$5/Inputs!$B$15*(Inputs!$C$15*(Inputs!$C$29*NGS_Archaea_Input!$B$10-B111)+Inputs!$D$15*(B10-B111)+Inputs!$E$15*(Inputs!$D$29*NGS_Archaea_Input!$C$10-B111)))</f>
        <v>0</v>
      </c>
      <c r="D111" s="21">
        <f>IF(C111="","",C111+Inputs!$B$5/Inputs!$B$15*(Inputs!$C$15*(Inputs!$C$29*NGS_Archaea_Input!$B$10-C111)+Inputs!$D$15*(C10-C111)+Inputs!$E$15*(Inputs!$D$29*NGS_Archaea_Input!$C$10-C111)))</f>
        <v>0</v>
      </c>
      <c r="E111" s="21">
        <f>IF(D111="","",D111+Inputs!$B$5/Inputs!$B$15*(Inputs!$C$15*(Inputs!$C$29*NGS_Archaea_Input!$B$10-D111)+Inputs!$D$15*(D10-D111)+Inputs!$E$15*(Inputs!$D$29*NGS_Archaea_Input!$C$10-D111)))</f>
        <v>0</v>
      </c>
      <c r="F111" s="21">
        <f>IF(E111="","",E111+Inputs!$B$5/Inputs!$B$15*(Inputs!$C$15*(Inputs!$C$29*NGS_Archaea_Input!$B$10-E111)+Inputs!$D$15*(E10-E111)+Inputs!$E$15*(Inputs!$D$29*NGS_Archaea_Input!$C$10-E111)))</f>
        <v>0</v>
      </c>
      <c r="G111" s="21">
        <f>IF(F111="","",F111+Inputs!$B$5/Inputs!$B$15*(Inputs!$C$15*(Inputs!$C$29*NGS_Archaea_Input!$B$10-F111)+Inputs!$D$15*(F10-F111)+Inputs!$E$15*(Inputs!$D$29*NGS_Archaea_Input!$C$10-F111)))</f>
        <v>0</v>
      </c>
      <c r="H111" s="21">
        <f>IF(G111="","",G111+Inputs!$B$5/Inputs!$B$15*(Inputs!$C$15*(Inputs!$C$29*NGS_Archaea_Input!$B$10-G111)+Inputs!$D$15*(G10-G111)+Inputs!$E$15*(Inputs!$D$29*NGS_Archaea_Input!$C$10-G111)))</f>
        <v>0</v>
      </c>
      <c r="I111" s="21">
        <f>IF(H111="","",H111+Inputs!$B$5/Inputs!$B$15*(Inputs!$C$15*(Inputs!$C$29*NGS_Archaea_Input!$B$10-H111)+Inputs!$D$15*(H10-H111)+Inputs!$E$15*(Inputs!$D$29*NGS_Archaea_Input!$C$10-H111)))</f>
        <v>0</v>
      </c>
      <c r="J111" s="21">
        <f>IF(I111="","",I111+Inputs!$B$5/Inputs!$B$15*(Inputs!$C$15*(Inputs!$C$29*NGS_Archaea_Input!$B$10-I111)+Inputs!$D$15*(I10-I111)+Inputs!$E$15*(Inputs!$D$29*NGS_Archaea_Input!$C$10-I111)))</f>
        <v>0</v>
      </c>
      <c r="K111" s="21">
        <f>IF(J111="","",J111+Inputs!$B$5/Inputs!$B$15*(Inputs!$C$15*(Inputs!$C$29*NGS_Archaea_Input!$B$10-J111)+Inputs!$D$15*(J10-J111)+Inputs!$E$15*(Inputs!$D$29*NGS_Archaea_Input!$C$10-J111)))</f>
        <v>0</v>
      </c>
      <c r="L111" s="21">
        <f>IF(K111="","",K111+Inputs!$B$5/Inputs!$B$15*(Inputs!$C$15*(Inputs!$C$29*NGS_Archaea_Input!$B$10-K111)+Inputs!$D$15*(K10-K111)+Inputs!$E$15*(Inputs!$D$29*NGS_Archaea_Input!$C$10-K111)))</f>
        <v>0</v>
      </c>
      <c r="M111" s="21">
        <f>IF(L111="","",L111+Inputs!$B$5/Inputs!$B$15*(Inputs!$C$15*(Inputs!$C$29*NGS_Archaea_Input!$B$10-L111)+Inputs!$D$15*(L10-L111)+Inputs!$E$15*(Inputs!$D$29*NGS_Archaea_Input!$C$10-L111)))</f>
        <v>0</v>
      </c>
      <c r="N111" s="21">
        <f>IF(M111="","",M111+Inputs!$B$5/Inputs!$B$15*(Inputs!$C$15*(Inputs!$C$29*NGS_Archaea_Input!$B$10-M111)+Inputs!$D$15*(M10-M111)+Inputs!$E$15*(Inputs!$D$29*NGS_Archaea_Input!$C$10-M111)))</f>
        <v>0</v>
      </c>
      <c r="O111" s="21">
        <f>IF(N111="","",N111+Inputs!$B$5/Inputs!$B$15*(Inputs!$C$15*(Inputs!$C$29*NGS_Archaea_Input!$B$10-N111)+Inputs!$D$15*(N10-N111)+Inputs!$E$15*(Inputs!$D$29*NGS_Archaea_Input!$C$10-N111)))</f>
        <v>0</v>
      </c>
      <c r="P111" s="21">
        <f>IF(O111="","",O111+Inputs!$B$5/Inputs!$B$15*(Inputs!$C$15*(Inputs!$C$29*NGS_Archaea_Input!$B$10-O111)+Inputs!$D$15*(O10-O111)+Inputs!$E$15*(Inputs!$D$29*NGS_Archaea_Input!$C$10-O111)))</f>
        <v>0</v>
      </c>
      <c r="Q111" s="21">
        <f>IF(P111="","",P111+Inputs!$B$5/Inputs!$B$15*(Inputs!$C$15*(Inputs!$C$29*NGS_Archaea_Input!$B$10-P111)+Inputs!$D$15*(P10-P111)+Inputs!$E$15*(Inputs!$D$29*NGS_Archaea_Input!$C$10-P111)))</f>
        <v>0</v>
      </c>
      <c r="R111" s="21">
        <f>IF(Q111="","",Q111+Inputs!$B$5/Inputs!$B$15*(Inputs!$C$15*(Inputs!$C$29*NGS_Archaea_Input!$B$10-Q111)+Inputs!$D$15*(Q10-Q111)+Inputs!$E$15*(Inputs!$D$29*NGS_Archaea_Input!$C$10-Q111)))</f>
        <v>0</v>
      </c>
      <c r="S111" s="21">
        <f>IF(R111="","",R111+Inputs!$B$5/Inputs!$B$15*(Inputs!$C$15*(Inputs!$C$29*NGS_Archaea_Input!$B$10-R111)+Inputs!$D$15*(R10-R111)+Inputs!$E$15*(Inputs!$D$29*NGS_Archaea_Input!$C$10-R111)))</f>
        <v>0</v>
      </c>
      <c r="T111" s="21">
        <f>IF(S111="","",S111+Inputs!$B$5/Inputs!$B$15*(Inputs!$C$15*(Inputs!$C$29*NGS_Archaea_Input!$B$10-S111)+Inputs!$D$15*(S10-S111)+Inputs!$E$15*(Inputs!$D$29*NGS_Archaea_Input!$C$10-S111)))</f>
        <v>0</v>
      </c>
      <c r="U111" s="21">
        <f>IF(T111="","",T111+Inputs!$B$5/Inputs!$B$15*(Inputs!$C$15*(Inputs!$C$29*NGS_Archaea_Input!$B$10-T111)+Inputs!$D$15*(T10-T111)+Inputs!$E$15*(Inputs!$D$29*NGS_Archaea_Input!$C$10-T111)))</f>
        <v>0</v>
      </c>
      <c r="V111" s="21">
        <f>IF(U111="","",U111+Inputs!$B$5/Inputs!$B$15*(Inputs!$C$15*(Inputs!$C$29*NGS_Archaea_Input!$B$10-U111)+Inputs!$D$15*(U10-U111)+Inputs!$E$15*(Inputs!$D$29*NGS_Archaea_Input!$C$10-U111)))</f>
        <v>0</v>
      </c>
      <c r="W111" s="21">
        <f>IF(V111="","",V111+Inputs!$B$5/Inputs!$B$15*(Inputs!$C$15*(Inputs!$C$29*NGS_Archaea_Input!$B$10-V111)+Inputs!$D$15*(V10-V111)+Inputs!$E$15*(Inputs!$D$29*NGS_Archaea_Input!$C$10-V111)))</f>
        <v>0</v>
      </c>
    </row>
    <row r="112" spans="1:23" ht="18" customHeight="1" x14ac:dyDescent="0.25">
      <c r="A112" s="11" t="str">
        <f>NGS_Archaea_Input!A11</f>
        <v>Arc_taxon_7</v>
      </c>
      <c r="B112" s="21">
        <f>IF(Inputs!$H$38="","",Inputs!$H$38*NGS_Archaea_Input!$G$11)</f>
        <v>0</v>
      </c>
      <c r="C112" s="21">
        <f>IF(B112="","",B112+Inputs!$B$5/Inputs!$B$15*(Inputs!$C$15*(Inputs!$C$29*NGS_Archaea_Input!$B$11-B112)+Inputs!$D$15*(B11-B112)+Inputs!$E$15*(Inputs!$D$29*NGS_Archaea_Input!$C$11-B112)))</f>
        <v>0</v>
      </c>
      <c r="D112" s="21">
        <f>IF(C112="","",C112+Inputs!$B$5/Inputs!$B$15*(Inputs!$C$15*(Inputs!$C$29*NGS_Archaea_Input!$B$11-C112)+Inputs!$D$15*(C11-C112)+Inputs!$E$15*(Inputs!$D$29*NGS_Archaea_Input!$C$11-C112)))</f>
        <v>0</v>
      </c>
      <c r="E112" s="21">
        <f>IF(D112="","",D112+Inputs!$B$5/Inputs!$B$15*(Inputs!$C$15*(Inputs!$C$29*NGS_Archaea_Input!$B$11-D112)+Inputs!$D$15*(D11-D112)+Inputs!$E$15*(Inputs!$D$29*NGS_Archaea_Input!$C$11-D112)))</f>
        <v>0</v>
      </c>
      <c r="F112" s="21">
        <f>IF(E112="","",E112+Inputs!$B$5/Inputs!$B$15*(Inputs!$C$15*(Inputs!$C$29*NGS_Archaea_Input!$B$11-E112)+Inputs!$D$15*(E11-E112)+Inputs!$E$15*(Inputs!$D$29*NGS_Archaea_Input!$C$11-E112)))</f>
        <v>0</v>
      </c>
      <c r="G112" s="21">
        <f>IF(F112="","",F112+Inputs!$B$5/Inputs!$B$15*(Inputs!$C$15*(Inputs!$C$29*NGS_Archaea_Input!$B$11-F112)+Inputs!$D$15*(F11-F112)+Inputs!$E$15*(Inputs!$D$29*NGS_Archaea_Input!$C$11-F112)))</f>
        <v>0</v>
      </c>
      <c r="H112" s="21">
        <f>IF(G112="","",G112+Inputs!$B$5/Inputs!$B$15*(Inputs!$C$15*(Inputs!$C$29*NGS_Archaea_Input!$B$11-G112)+Inputs!$D$15*(G11-G112)+Inputs!$E$15*(Inputs!$D$29*NGS_Archaea_Input!$C$11-G112)))</f>
        <v>0</v>
      </c>
      <c r="I112" s="21">
        <f>IF(H112="","",H112+Inputs!$B$5/Inputs!$B$15*(Inputs!$C$15*(Inputs!$C$29*NGS_Archaea_Input!$B$11-H112)+Inputs!$D$15*(H11-H112)+Inputs!$E$15*(Inputs!$D$29*NGS_Archaea_Input!$C$11-H112)))</f>
        <v>0</v>
      </c>
      <c r="J112" s="21">
        <f>IF(I112="","",I112+Inputs!$B$5/Inputs!$B$15*(Inputs!$C$15*(Inputs!$C$29*NGS_Archaea_Input!$B$11-I112)+Inputs!$D$15*(I11-I112)+Inputs!$E$15*(Inputs!$D$29*NGS_Archaea_Input!$C$11-I112)))</f>
        <v>0</v>
      </c>
      <c r="K112" s="21">
        <f>IF(J112="","",J112+Inputs!$B$5/Inputs!$B$15*(Inputs!$C$15*(Inputs!$C$29*NGS_Archaea_Input!$B$11-J112)+Inputs!$D$15*(J11-J112)+Inputs!$E$15*(Inputs!$D$29*NGS_Archaea_Input!$C$11-J112)))</f>
        <v>0</v>
      </c>
      <c r="L112" s="21">
        <f>IF(K112="","",K112+Inputs!$B$5/Inputs!$B$15*(Inputs!$C$15*(Inputs!$C$29*NGS_Archaea_Input!$B$11-K112)+Inputs!$D$15*(K11-K112)+Inputs!$E$15*(Inputs!$D$29*NGS_Archaea_Input!$C$11-K112)))</f>
        <v>0</v>
      </c>
      <c r="M112" s="21">
        <f>IF(L112="","",L112+Inputs!$B$5/Inputs!$B$15*(Inputs!$C$15*(Inputs!$C$29*NGS_Archaea_Input!$B$11-L112)+Inputs!$D$15*(L11-L112)+Inputs!$E$15*(Inputs!$D$29*NGS_Archaea_Input!$C$11-L112)))</f>
        <v>0</v>
      </c>
      <c r="N112" s="21">
        <f>IF(M112="","",M112+Inputs!$B$5/Inputs!$B$15*(Inputs!$C$15*(Inputs!$C$29*NGS_Archaea_Input!$B$11-M112)+Inputs!$D$15*(M11-M112)+Inputs!$E$15*(Inputs!$D$29*NGS_Archaea_Input!$C$11-M112)))</f>
        <v>0</v>
      </c>
      <c r="O112" s="21">
        <f>IF(N112="","",N112+Inputs!$B$5/Inputs!$B$15*(Inputs!$C$15*(Inputs!$C$29*NGS_Archaea_Input!$B$11-N112)+Inputs!$D$15*(N11-N112)+Inputs!$E$15*(Inputs!$D$29*NGS_Archaea_Input!$C$11-N112)))</f>
        <v>0</v>
      </c>
      <c r="P112" s="21">
        <f>IF(O112="","",O112+Inputs!$B$5/Inputs!$B$15*(Inputs!$C$15*(Inputs!$C$29*NGS_Archaea_Input!$B$11-O112)+Inputs!$D$15*(O11-O112)+Inputs!$E$15*(Inputs!$D$29*NGS_Archaea_Input!$C$11-O112)))</f>
        <v>0</v>
      </c>
      <c r="Q112" s="21">
        <f>IF(P112="","",P112+Inputs!$B$5/Inputs!$B$15*(Inputs!$C$15*(Inputs!$C$29*NGS_Archaea_Input!$B$11-P112)+Inputs!$D$15*(P11-P112)+Inputs!$E$15*(Inputs!$D$29*NGS_Archaea_Input!$C$11-P112)))</f>
        <v>0</v>
      </c>
      <c r="R112" s="21">
        <f>IF(Q112="","",Q112+Inputs!$B$5/Inputs!$B$15*(Inputs!$C$15*(Inputs!$C$29*NGS_Archaea_Input!$B$11-Q112)+Inputs!$D$15*(Q11-Q112)+Inputs!$E$15*(Inputs!$D$29*NGS_Archaea_Input!$C$11-Q112)))</f>
        <v>0</v>
      </c>
      <c r="S112" s="21">
        <f>IF(R112="","",R112+Inputs!$B$5/Inputs!$B$15*(Inputs!$C$15*(Inputs!$C$29*NGS_Archaea_Input!$B$11-R112)+Inputs!$D$15*(R11-R112)+Inputs!$E$15*(Inputs!$D$29*NGS_Archaea_Input!$C$11-R112)))</f>
        <v>0</v>
      </c>
      <c r="T112" s="21">
        <f>IF(S112="","",S112+Inputs!$B$5/Inputs!$B$15*(Inputs!$C$15*(Inputs!$C$29*NGS_Archaea_Input!$B$11-S112)+Inputs!$D$15*(S11-S112)+Inputs!$E$15*(Inputs!$D$29*NGS_Archaea_Input!$C$11-S112)))</f>
        <v>0</v>
      </c>
      <c r="U112" s="21">
        <f>IF(T112="","",T112+Inputs!$B$5/Inputs!$B$15*(Inputs!$C$15*(Inputs!$C$29*NGS_Archaea_Input!$B$11-T112)+Inputs!$D$15*(T11-T112)+Inputs!$E$15*(Inputs!$D$29*NGS_Archaea_Input!$C$11-T112)))</f>
        <v>0</v>
      </c>
      <c r="V112" s="21">
        <f>IF(U112="","",U112+Inputs!$B$5/Inputs!$B$15*(Inputs!$C$15*(Inputs!$C$29*NGS_Archaea_Input!$B$11-U112)+Inputs!$D$15*(U11-U112)+Inputs!$E$15*(Inputs!$D$29*NGS_Archaea_Input!$C$11-U112)))</f>
        <v>0</v>
      </c>
      <c r="W112" s="21">
        <f>IF(V112="","",V112+Inputs!$B$5/Inputs!$B$15*(Inputs!$C$15*(Inputs!$C$29*NGS_Archaea_Input!$B$11-V112)+Inputs!$D$15*(V11-V112)+Inputs!$E$15*(Inputs!$D$29*NGS_Archaea_Input!$C$11-V112)))</f>
        <v>0</v>
      </c>
    </row>
    <row r="113" spans="1:23" ht="18" customHeight="1" x14ac:dyDescent="0.25">
      <c r="A113" s="11" t="str">
        <f>NGS_Archaea_Input!A12</f>
        <v>Arc_taxon_8</v>
      </c>
      <c r="B113" s="21">
        <f>IF(Inputs!$H$38="","",Inputs!$H$38*NGS_Archaea_Input!$G$12)</f>
        <v>0</v>
      </c>
      <c r="C113" s="21">
        <f>IF(B113="","",B113+Inputs!$B$5/Inputs!$B$15*(Inputs!$C$15*(Inputs!$C$29*NGS_Archaea_Input!$B$12-B113)+Inputs!$D$15*(B12-B113)+Inputs!$E$15*(Inputs!$D$29*NGS_Archaea_Input!$C$12-B113)))</f>
        <v>0</v>
      </c>
      <c r="D113" s="21">
        <f>IF(C113="","",C113+Inputs!$B$5/Inputs!$B$15*(Inputs!$C$15*(Inputs!$C$29*NGS_Archaea_Input!$B$12-C113)+Inputs!$D$15*(C12-C113)+Inputs!$E$15*(Inputs!$D$29*NGS_Archaea_Input!$C$12-C113)))</f>
        <v>0</v>
      </c>
      <c r="E113" s="21">
        <f>IF(D113="","",D113+Inputs!$B$5/Inputs!$B$15*(Inputs!$C$15*(Inputs!$C$29*NGS_Archaea_Input!$B$12-D113)+Inputs!$D$15*(D12-D113)+Inputs!$E$15*(Inputs!$D$29*NGS_Archaea_Input!$C$12-D113)))</f>
        <v>0</v>
      </c>
      <c r="F113" s="21">
        <f>IF(E113="","",E113+Inputs!$B$5/Inputs!$B$15*(Inputs!$C$15*(Inputs!$C$29*NGS_Archaea_Input!$B$12-E113)+Inputs!$D$15*(E12-E113)+Inputs!$E$15*(Inputs!$D$29*NGS_Archaea_Input!$C$12-E113)))</f>
        <v>0</v>
      </c>
      <c r="G113" s="21">
        <f>IF(F113="","",F113+Inputs!$B$5/Inputs!$B$15*(Inputs!$C$15*(Inputs!$C$29*NGS_Archaea_Input!$B$12-F113)+Inputs!$D$15*(F12-F113)+Inputs!$E$15*(Inputs!$D$29*NGS_Archaea_Input!$C$12-F113)))</f>
        <v>0</v>
      </c>
      <c r="H113" s="21">
        <f>IF(G113="","",G113+Inputs!$B$5/Inputs!$B$15*(Inputs!$C$15*(Inputs!$C$29*NGS_Archaea_Input!$B$12-G113)+Inputs!$D$15*(G12-G113)+Inputs!$E$15*(Inputs!$D$29*NGS_Archaea_Input!$C$12-G113)))</f>
        <v>0</v>
      </c>
      <c r="I113" s="21">
        <f>IF(H113="","",H113+Inputs!$B$5/Inputs!$B$15*(Inputs!$C$15*(Inputs!$C$29*NGS_Archaea_Input!$B$12-H113)+Inputs!$D$15*(H12-H113)+Inputs!$E$15*(Inputs!$D$29*NGS_Archaea_Input!$C$12-H113)))</f>
        <v>0</v>
      </c>
      <c r="J113" s="21">
        <f>IF(I113="","",I113+Inputs!$B$5/Inputs!$B$15*(Inputs!$C$15*(Inputs!$C$29*NGS_Archaea_Input!$B$12-I113)+Inputs!$D$15*(I12-I113)+Inputs!$E$15*(Inputs!$D$29*NGS_Archaea_Input!$C$12-I113)))</f>
        <v>0</v>
      </c>
      <c r="K113" s="21">
        <f>IF(J113="","",J113+Inputs!$B$5/Inputs!$B$15*(Inputs!$C$15*(Inputs!$C$29*NGS_Archaea_Input!$B$12-J113)+Inputs!$D$15*(J12-J113)+Inputs!$E$15*(Inputs!$D$29*NGS_Archaea_Input!$C$12-J113)))</f>
        <v>0</v>
      </c>
      <c r="L113" s="21">
        <f>IF(K113="","",K113+Inputs!$B$5/Inputs!$B$15*(Inputs!$C$15*(Inputs!$C$29*NGS_Archaea_Input!$B$12-K113)+Inputs!$D$15*(K12-K113)+Inputs!$E$15*(Inputs!$D$29*NGS_Archaea_Input!$C$12-K113)))</f>
        <v>0</v>
      </c>
      <c r="M113" s="21">
        <f>IF(L113="","",L113+Inputs!$B$5/Inputs!$B$15*(Inputs!$C$15*(Inputs!$C$29*NGS_Archaea_Input!$B$12-L113)+Inputs!$D$15*(L12-L113)+Inputs!$E$15*(Inputs!$D$29*NGS_Archaea_Input!$C$12-L113)))</f>
        <v>0</v>
      </c>
      <c r="N113" s="21">
        <f>IF(M113="","",M113+Inputs!$B$5/Inputs!$B$15*(Inputs!$C$15*(Inputs!$C$29*NGS_Archaea_Input!$B$12-M113)+Inputs!$D$15*(M12-M113)+Inputs!$E$15*(Inputs!$D$29*NGS_Archaea_Input!$C$12-M113)))</f>
        <v>0</v>
      </c>
      <c r="O113" s="21">
        <f>IF(N113="","",N113+Inputs!$B$5/Inputs!$B$15*(Inputs!$C$15*(Inputs!$C$29*NGS_Archaea_Input!$B$12-N113)+Inputs!$D$15*(N12-N113)+Inputs!$E$15*(Inputs!$D$29*NGS_Archaea_Input!$C$12-N113)))</f>
        <v>0</v>
      </c>
      <c r="P113" s="21">
        <f>IF(O113="","",O113+Inputs!$B$5/Inputs!$B$15*(Inputs!$C$15*(Inputs!$C$29*NGS_Archaea_Input!$B$12-O113)+Inputs!$D$15*(O12-O113)+Inputs!$E$15*(Inputs!$D$29*NGS_Archaea_Input!$C$12-O113)))</f>
        <v>0</v>
      </c>
      <c r="Q113" s="21">
        <f>IF(P113="","",P113+Inputs!$B$5/Inputs!$B$15*(Inputs!$C$15*(Inputs!$C$29*NGS_Archaea_Input!$B$12-P113)+Inputs!$D$15*(P12-P113)+Inputs!$E$15*(Inputs!$D$29*NGS_Archaea_Input!$C$12-P113)))</f>
        <v>0</v>
      </c>
      <c r="R113" s="21">
        <f>IF(Q113="","",Q113+Inputs!$B$5/Inputs!$B$15*(Inputs!$C$15*(Inputs!$C$29*NGS_Archaea_Input!$B$12-Q113)+Inputs!$D$15*(Q12-Q113)+Inputs!$E$15*(Inputs!$D$29*NGS_Archaea_Input!$C$12-Q113)))</f>
        <v>0</v>
      </c>
      <c r="S113" s="21">
        <f>IF(R113="","",R113+Inputs!$B$5/Inputs!$B$15*(Inputs!$C$15*(Inputs!$C$29*NGS_Archaea_Input!$B$12-R113)+Inputs!$D$15*(R12-R113)+Inputs!$E$15*(Inputs!$D$29*NGS_Archaea_Input!$C$12-R113)))</f>
        <v>0</v>
      </c>
      <c r="T113" s="21">
        <f>IF(S113="","",S113+Inputs!$B$5/Inputs!$B$15*(Inputs!$C$15*(Inputs!$C$29*NGS_Archaea_Input!$B$12-S113)+Inputs!$D$15*(S12-S113)+Inputs!$E$15*(Inputs!$D$29*NGS_Archaea_Input!$C$12-S113)))</f>
        <v>0</v>
      </c>
      <c r="U113" s="21">
        <f>IF(T113="","",T113+Inputs!$B$5/Inputs!$B$15*(Inputs!$C$15*(Inputs!$C$29*NGS_Archaea_Input!$B$12-T113)+Inputs!$D$15*(T12-T113)+Inputs!$E$15*(Inputs!$D$29*NGS_Archaea_Input!$C$12-T113)))</f>
        <v>0</v>
      </c>
      <c r="V113" s="21">
        <f>IF(U113="","",U113+Inputs!$B$5/Inputs!$B$15*(Inputs!$C$15*(Inputs!$C$29*NGS_Archaea_Input!$B$12-U113)+Inputs!$D$15*(U12-U113)+Inputs!$E$15*(Inputs!$D$29*NGS_Archaea_Input!$C$12-U113)))</f>
        <v>0</v>
      </c>
      <c r="W113" s="21">
        <f>IF(V113="","",V113+Inputs!$B$5/Inputs!$B$15*(Inputs!$C$15*(Inputs!$C$29*NGS_Archaea_Input!$B$12-V113)+Inputs!$D$15*(V12-V113)+Inputs!$E$15*(Inputs!$D$29*NGS_Archaea_Input!$C$12-V113)))</f>
        <v>0</v>
      </c>
    </row>
    <row r="114" spans="1:23" ht="18" customHeight="1" x14ac:dyDescent="0.25">
      <c r="A114" s="11" t="str">
        <f>NGS_Archaea_Input!A13</f>
        <v>Arc_taxon_9</v>
      </c>
      <c r="B114" s="21">
        <f>IF(Inputs!$H$38="","",Inputs!$H$38*NGS_Archaea_Input!$G$13)</f>
        <v>0</v>
      </c>
      <c r="C114" s="21">
        <f>IF(B114="","",B114+Inputs!$B$5/Inputs!$B$15*(Inputs!$C$15*(Inputs!$C$29*NGS_Archaea_Input!$B$13-B114)+Inputs!$D$15*(B13-B114)+Inputs!$E$15*(Inputs!$D$29*NGS_Archaea_Input!$C$13-B114)))</f>
        <v>0</v>
      </c>
      <c r="D114" s="21">
        <f>IF(C114="","",C114+Inputs!$B$5/Inputs!$B$15*(Inputs!$C$15*(Inputs!$C$29*NGS_Archaea_Input!$B$13-C114)+Inputs!$D$15*(C13-C114)+Inputs!$E$15*(Inputs!$D$29*NGS_Archaea_Input!$C$13-C114)))</f>
        <v>0</v>
      </c>
      <c r="E114" s="21">
        <f>IF(D114="","",D114+Inputs!$B$5/Inputs!$B$15*(Inputs!$C$15*(Inputs!$C$29*NGS_Archaea_Input!$B$13-D114)+Inputs!$D$15*(D13-D114)+Inputs!$E$15*(Inputs!$D$29*NGS_Archaea_Input!$C$13-D114)))</f>
        <v>0</v>
      </c>
      <c r="F114" s="21">
        <f>IF(E114="","",E114+Inputs!$B$5/Inputs!$B$15*(Inputs!$C$15*(Inputs!$C$29*NGS_Archaea_Input!$B$13-E114)+Inputs!$D$15*(E13-E114)+Inputs!$E$15*(Inputs!$D$29*NGS_Archaea_Input!$C$13-E114)))</f>
        <v>0</v>
      </c>
      <c r="G114" s="21">
        <f>IF(F114="","",F114+Inputs!$B$5/Inputs!$B$15*(Inputs!$C$15*(Inputs!$C$29*NGS_Archaea_Input!$B$13-F114)+Inputs!$D$15*(F13-F114)+Inputs!$E$15*(Inputs!$D$29*NGS_Archaea_Input!$C$13-F114)))</f>
        <v>0</v>
      </c>
      <c r="H114" s="21">
        <f>IF(G114="","",G114+Inputs!$B$5/Inputs!$B$15*(Inputs!$C$15*(Inputs!$C$29*NGS_Archaea_Input!$B$13-G114)+Inputs!$D$15*(G13-G114)+Inputs!$E$15*(Inputs!$D$29*NGS_Archaea_Input!$C$13-G114)))</f>
        <v>0</v>
      </c>
      <c r="I114" s="21">
        <f>IF(H114="","",H114+Inputs!$B$5/Inputs!$B$15*(Inputs!$C$15*(Inputs!$C$29*NGS_Archaea_Input!$B$13-H114)+Inputs!$D$15*(H13-H114)+Inputs!$E$15*(Inputs!$D$29*NGS_Archaea_Input!$C$13-H114)))</f>
        <v>0</v>
      </c>
      <c r="J114" s="21">
        <f>IF(I114="","",I114+Inputs!$B$5/Inputs!$B$15*(Inputs!$C$15*(Inputs!$C$29*NGS_Archaea_Input!$B$13-I114)+Inputs!$D$15*(I13-I114)+Inputs!$E$15*(Inputs!$D$29*NGS_Archaea_Input!$C$13-I114)))</f>
        <v>0</v>
      </c>
      <c r="K114" s="21">
        <f>IF(J114="","",J114+Inputs!$B$5/Inputs!$B$15*(Inputs!$C$15*(Inputs!$C$29*NGS_Archaea_Input!$B$13-J114)+Inputs!$D$15*(J13-J114)+Inputs!$E$15*(Inputs!$D$29*NGS_Archaea_Input!$C$13-J114)))</f>
        <v>0</v>
      </c>
      <c r="L114" s="21">
        <f>IF(K114="","",K114+Inputs!$B$5/Inputs!$B$15*(Inputs!$C$15*(Inputs!$C$29*NGS_Archaea_Input!$B$13-K114)+Inputs!$D$15*(K13-K114)+Inputs!$E$15*(Inputs!$D$29*NGS_Archaea_Input!$C$13-K114)))</f>
        <v>0</v>
      </c>
      <c r="M114" s="21">
        <f>IF(L114="","",L114+Inputs!$B$5/Inputs!$B$15*(Inputs!$C$15*(Inputs!$C$29*NGS_Archaea_Input!$B$13-L114)+Inputs!$D$15*(L13-L114)+Inputs!$E$15*(Inputs!$D$29*NGS_Archaea_Input!$C$13-L114)))</f>
        <v>0</v>
      </c>
      <c r="N114" s="21">
        <f>IF(M114="","",M114+Inputs!$B$5/Inputs!$B$15*(Inputs!$C$15*(Inputs!$C$29*NGS_Archaea_Input!$B$13-M114)+Inputs!$D$15*(M13-M114)+Inputs!$E$15*(Inputs!$D$29*NGS_Archaea_Input!$C$13-M114)))</f>
        <v>0</v>
      </c>
      <c r="O114" s="21">
        <f>IF(N114="","",N114+Inputs!$B$5/Inputs!$B$15*(Inputs!$C$15*(Inputs!$C$29*NGS_Archaea_Input!$B$13-N114)+Inputs!$D$15*(N13-N114)+Inputs!$E$15*(Inputs!$D$29*NGS_Archaea_Input!$C$13-N114)))</f>
        <v>0</v>
      </c>
      <c r="P114" s="21">
        <f>IF(O114="","",O114+Inputs!$B$5/Inputs!$B$15*(Inputs!$C$15*(Inputs!$C$29*NGS_Archaea_Input!$B$13-O114)+Inputs!$D$15*(O13-O114)+Inputs!$E$15*(Inputs!$D$29*NGS_Archaea_Input!$C$13-O114)))</f>
        <v>0</v>
      </c>
      <c r="Q114" s="21">
        <f>IF(P114="","",P114+Inputs!$B$5/Inputs!$B$15*(Inputs!$C$15*(Inputs!$C$29*NGS_Archaea_Input!$B$13-P114)+Inputs!$D$15*(P13-P114)+Inputs!$E$15*(Inputs!$D$29*NGS_Archaea_Input!$C$13-P114)))</f>
        <v>0</v>
      </c>
      <c r="R114" s="21">
        <f>IF(Q114="","",Q114+Inputs!$B$5/Inputs!$B$15*(Inputs!$C$15*(Inputs!$C$29*NGS_Archaea_Input!$B$13-Q114)+Inputs!$D$15*(Q13-Q114)+Inputs!$E$15*(Inputs!$D$29*NGS_Archaea_Input!$C$13-Q114)))</f>
        <v>0</v>
      </c>
      <c r="S114" s="21">
        <f>IF(R114="","",R114+Inputs!$B$5/Inputs!$B$15*(Inputs!$C$15*(Inputs!$C$29*NGS_Archaea_Input!$B$13-R114)+Inputs!$D$15*(R13-R114)+Inputs!$E$15*(Inputs!$D$29*NGS_Archaea_Input!$C$13-R114)))</f>
        <v>0</v>
      </c>
      <c r="T114" s="21">
        <f>IF(S114="","",S114+Inputs!$B$5/Inputs!$B$15*(Inputs!$C$15*(Inputs!$C$29*NGS_Archaea_Input!$B$13-S114)+Inputs!$D$15*(S13-S114)+Inputs!$E$15*(Inputs!$D$29*NGS_Archaea_Input!$C$13-S114)))</f>
        <v>0</v>
      </c>
      <c r="U114" s="21">
        <f>IF(T114="","",T114+Inputs!$B$5/Inputs!$B$15*(Inputs!$C$15*(Inputs!$C$29*NGS_Archaea_Input!$B$13-T114)+Inputs!$D$15*(T13-T114)+Inputs!$E$15*(Inputs!$D$29*NGS_Archaea_Input!$C$13-T114)))</f>
        <v>0</v>
      </c>
      <c r="V114" s="21">
        <f>IF(U114="","",U114+Inputs!$B$5/Inputs!$B$15*(Inputs!$C$15*(Inputs!$C$29*NGS_Archaea_Input!$B$13-U114)+Inputs!$D$15*(U13-U114)+Inputs!$E$15*(Inputs!$D$29*NGS_Archaea_Input!$C$13-U114)))</f>
        <v>0</v>
      </c>
      <c r="W114" s="21">
        <f>IF(V114="","",V114+Inputs!$B$5/Inputs!$B$15*(Inputs!$C$15*(Inputs!$C$29*NGS_Archaea_Input!$B$13-V114)+Inputs!$D$15*(V13-V114)+Inputs!$E$15*(Inputs!$D$29*NGS_Archaea_Input!$C$13-V114)))</f>
        <v>0</v>
      </c>
    </row>
    <row r="115" spans="1:23" ht="18" customHeight="1" x14ac:dyDescent="0.25">
      <c r="A115" s="11" t="str">
        <f>NGS_Archaea_Input!A14</f>
        <v>Arc_taxon_10</v>
      </c>
      <c r="B115" s="21">
        <f>IF(Inputs!$H$38="","",Inputs!$H$38*NGS_Archaea_Input!$G$14)</f>
        <v>0</v>
      </c>
      <c r="C115" s="21">
        <f>IF(B115="","",B115+Inputs!$B$5/Inputs!$B$15*(Inputs!$C$15*(Inputs!$C$29*NGS_Archaea_Input!$B$14-B115)+Inputs!$D$15*(B14-B115)+Inputs!$E$15*(Inputs!$D$29*NGS_Archaea_Input!$C$14-B115)))</f>
        <v>0</v>
      </c>
      <c r="D115" s="21">
        <f>IF(C115="","",C115+Inputs!$B$5/Inputs!$B$15*(Inputs!$C$15*(Inputs!$C$29*NGS_Archaea_Input!$B$14-C115)+Inputs!$D$15*(C14-C115)+Inputs!$E$15*(Inputs!$D$29*NGS_Archaea_Input!$C$14-C115)))</f>
        <v>0</v>
      </c>
      <c r="E115" s="21">
        <f>IF(D115="","",D115+Inputs!$B$5/Inputs!$B$15*(Inputs!$C$15*(Inputs!$C$29*NGS_Archaea_Input!$B$14-D115)+Inputs!$D$15*(D14-D115)+Inputs!$E$15*(Inputs!$D$29*NGS_Archaea_Input!$C$14-D115)))</f>
        <v>0</v>
      </c>
      <c r="F115" s="21">
        <f>IF(E115="","",E115+Inputs!$B$5/Inputs!$B$15*(Inputs!$C$15*(Inputs!$C$29*NGS_Archaea_Input!$B$14-E115)+Inputs!$D$15*(E14-E115)+Inputs!$E$15*(Inputs!$D$29*NGS_Archaea_Input!$C$14-E115)))</f>
        <v>0</v>
      </c>
      <c r="G115" s="21">
        <f>IF(F115="","",F115+Inputs!$B$5/Inputs!$B$15*(Inputs!$C$15*(Inputs!$C$29*NGS_Archaea_Input!$B$14-F115)+Inputs!$D$15*(F14-F115)+Inputs!$E$15*(Inputs!$D$29*NGS_Archaea_Input!$C$14-F115)))</f>
        <v>0</v>
      </c>
      <c r="H115" s="21">
        <f>IF(G115="","",G115+Inputs!$B$5/Inputs!$B$15*(Inputs!$C$15*(Inputs!$C$29*NGS_Archaea_Input!$B$14-G115)+Inputs!$D$15*(G14-G115)+Inputs!$E$15*(Inputs!$D$29*NGS_Archaea_Input!$C$14-G115)))</f>
        <v>0</v>
      </c>
      <c r="I115" s="21">
        <f>IF(H115="","",H115+Inputs!$B$5/Inputs!$B$15*(Inputs!$C$15*(Inputs!$C$29*NGS_Archaea_Input!$B$14-H115)+Inputs!$D$15*(H14-H115)+Inputs!$E$15*(Inputs!$D$29*NGS_Archaea_Input!$C$14-H115)))</f>
        <v>0</v>
      </c>
      <c r="J115" s="21">
        <f>IF(I115="","",I115+Inputs!$B$5/Inputs!$B$15*(Inputs!$C$15*(Inputs!$C$29*NGS_Archaea_Input!$B$14-I115)+Inputs!$D$15*(I14-I115)+Inputs!$E$15*(Inputs!$D$29*NGS_Archaea_Input!$C$14-I115)))</f>
        <v>0</v>
      </c>
      <c r="K115" s="21">
        <f>IF(J115="","",J115+Inputs!$B$5/Inputs!$B$15*(Inputs!$C$15*(Inputs!$C$29*NGS_Archaea_Input!$B$14-J115)+Inputs!$D$15*(J14-J115)+Inputs!$E$15*(Inputs!$D$29*NGS_Archaea_Input!$C$14-J115)))</f>
        <v>0</v>
      </c>
      <c r="L115" s="21">
        <f>IF(K115="","",K115+Inputs!$B$5/Inputs!$B$15*(Inputs!$C$15*(Inputs!$C$29*NGS_Archaea_Input!$B$14-K115)+Inputs!$D$15*(K14-K115)+Inputs!$E$15*(Inputs!$D$29*NGS_Archaea_Input!$C$14-K115)))</f>
        <v>0</v>
      </c>
      <c r="M115" s="21">
        <f>IF(L115="","",L115+Inputs!$B$5/Inputs!$B$15*(Inputs!$C$15*(Inputs!$C$29*NGS_Archaea_Input!$B$14-L115)+Inputs!$D$15*(L14-L115)+Inputs!$E$15*(Inputs!$D$29*NGS_Archaea_Input!$C$14-L115)))</f>
        <v>0</v>
      </c>
      <c r="N115" s="21">
        <f>IF(M115="","",M115+Inputs!$B$5/Inputs!$B$15*(Inputs!$C$15*(Inputs!$C$29*NGS_Archaea_Input!$B$14-M115)+Inputs!$D$15*(M14-M115)+Inputs!$E$15*(Inputs!$D$29*NGS_Archaea_Input!$C$14-M115)))</f>
        <v>0</v>
      </c>
      <c r="O115" s="21">
        <f>IF(N115="","",N115+Inputs!$B$5/Inputs!$B$15*(Inputs!$C$15*(Inputs!$C$29*NGS_Archaea_Input!$B$14-N115)+Inputs!$D$15*(N14-N115)+Inputs!$E$15*(Inputs!$D$29*NGS_Archaea_Input!$C$14-N115)))</f>
        <v>0</v>
      </c>
      <c r="P115" s="21">
        <f>IF(O115="","",O115+Inputs!$B$5/Inputs!$B$15*(Inputs!$C$15*(Inputs!$C$29*NGS_Archaea_Input!$B$14-O115)+Inputs!$D$15*(O14-O115)+Inputs!$E$15*(Inputs!$D$29*NGS_Archaea_Input!$C$14-O115)))</f>
        <v>0</v>
      </c>
      <c r="Q115" s="21">
        <f>IF(P115="","",P115+Inputs!$B$5/Inputs!$B$15*(Inputs!$C$15*(Inputs!$C$29*NGS_Archaea_Input!$B$14-P115)+Inputs!$D$15*(P14-P115)+Inputs!$E$15*(Inputs!$D$29*NGS_Archaea_Input!$C$14-P115)))</f>
        <v>0</v>
      </c>
      <c r="R115" s="21">
        <f>IF(Q115="","",Q115+Inputs!$B$5/Inputs!$B$15*(Inputs!$C$15*(Inputs!$C$29*NGS_Archaea_Input!$B$14-Q115)+Inputs!$D$15*(Q14-Q115)+Inputs!$E$15*(Inputs!$D$29*NGS_Archaea_Input!$C$14-Q115)))</f>
        <v>0</v>
      </c>
      <c r="S115" s="21">
        <f>IF(R115="","",R115+Inputs!$B$5/Inputs!$B$15*(Inputs!$C$15*(Inputs!$C$29*NGS_Archaea_Input!$B$14-R115)+Inputs!$D$15*(R14-R115)+Inputs!$E$15*(Inputs!$D$29*NGS_Archaea_Input!$C$14-R115)))</f>
        <v>0</v>
      </c>
      <c r="T115" s="21">
        <f>IF(S115="","",S115+Inputs!$B$5/Inputs!$B$15*(Inputs!$C$15*(Inputs!$C$29*NGS_Archaea_Input!$B$14-S115)+Inputs!$D$15*(S14-S115)+Inputs!$E$15*(Inputs!$D$29*NGS_Archaea_Input!$C$14-S115)))</f>
        <v>0</v>
      </c>
      <c r="U115" s="21">
        <f>IF(T115="","",T115+Inputs!$B$5/Inputs!$B$15*(Inputs!$C$15*(Inputs!$C$29*NGS_Archaea_Input!$B$14-T115)+Inputs!$D$15*(T14-T115)+Inputs!$E$15*(Inputs!$D$29*NGS_Archaea_Input!$C$14-T115)))</f>
        <v>0</v>
      </c>
      <c r="V115" s="21">
        <f>IF(U115="","",U115+Inputs!$B$5/Inputs!$B$15*(Inputs!$C$15*(Inputs!$C$29*NGS_Archaea_Input!$B$14-U115)+Inputs!$D$15*(U14-U115)+Inputs!$E$15*(Inputs!$D$29*NGS_Archaea_Input!$C$14-U115)))</f>
        <v>0</v>
      </c>
      <c r="W115" s="21">
        <f>IF(V115="","",V115+Inputs!$B$5/Inputs!$B$15*(Inputs!$C$15*(Inputs!$C$29*NGS_Archaea_Input!$B$14-V115)+Inputs!$D$15*(V14-V115)+Inputs!$E$15*(Inputs!$D$29*NGS_Archaea_Input!$C$14-V115)))</f>
        <v>0</v>
      </c>
    </row>
    <row r="116" spans="1:23" ht="18" customHeight="1" x14ac:dyDescent="0.25">
      <c r="A116" s="11" t="str">
        <f>NGS_Archaea_Input!A15</f>
        <v>Others</v>
      </c>
      <c r="B116" s="21">
        <f>IF(Inputs!$H$38="","",Inputs!$H$38*NGS_Archaea_Input!$G$15)</f>
        <v>7753954.5278627677</v>
      </c>
      <c r="C116" s="21">
        <f>IF(B116="","",B116+Inputs!$B$5/Inputs!$B$15*(Inputs!$C$15*(Inputs!$C$29*NGS_Archaea_Input!$B$15-B116)+Inputs!$D$15*(B15-B116)+Inputs!$E$15*(Inputs!$D$29*NGS_Archaea_Input!$C$15-B116)))</f>
        <v>7816623.2283858899</v>
      </c>
      <c r="D116" s="21">
        <f>IF(C116="","",C116+Inputs!$B$5/Inputs!$B$15*(Inputs!$C$15*(Inputs!$C$29*NGS_Archaea_Input!$B$15-C116)+Inputs!$D$15*(C15-C116)+Inputs!$E$15*(Inputs!$D$29*NGS_Archaea_Input!$C$15-C116)))</f>
        <v>7871165.9441545261</v>
      </c>
      <c r="E116" s="21">
        <f>IF(D116="","",D116+Inputs!$B$5/Inputs!$B$15*(Inputs!$C$15*(Inputs!$C$29*NGS_Archaea_Input!$B$15-D116)+Inputs!$D$15*(D15-D116)+Inputs!$E$15*(Inputs!$D$29*NGS_Archaea_Input!$C$15-D116)))</f>
        <v>7918072.8692443119</v>
      </c>
      <c r="F116" s="21">
        <f>IF(E116="","",E116+Inputs!$B$5/Inputs!$B$15*(Inputs!$C$15*(Inputs!$C$29*NGS_Archaea_Input!$B$15-E116)+Inputs!$D$15*(E15-E116)+Inputs!$E$15*(Inputs!$D$29*NGS_Archaea_Input!$C$15-E116)))</f>
        <v>7957808.8710165974</v>
      </c>
      <c r="G116" s="21">
        <f>IF(F116="","",F116+Inputs!$B$5/Inputs!$B$15*(Inputs!$C$15*(Inputs!$C$29*NGS_Archaea_Input!$B$15-F116)+Inputs!$D$15*(F15-F116)+Inputs!$E$15*(Inputs!$D$29*NGS_Archaea_Input!$C$15-F116)))</f>
        <v>7990814.7307463121</v>
      </c>
      <c r="H116" s="21">
        <f>IF(G116="","",G116+Inputs!$B$5/Inputs!$B$15*(Inputs!$C$15*(Inputs!$C$29*NGS_Archaea_Input!$B$15-G116)+Inputs!$D$15*(G15-G116)+Inputs!$E$15*(Inputs!$D$29*NGS_Archaea_Input!$C$15-G116)))</f>
        <v>8017508.3247113191</v>
      </c>
      <c r="I116" s="21">
        <f>IF(H116="","",H116+Inputs!$B$5/Inputs!$B$15*(Inputs!$C$15*(Inputs!$C$29*NGS_Archaea_Input!$B$15-H116)+Inputs!$D$15*(H15-H116)+Inputs!$E$15*(Inputs!$D$29*NGS_Archaea_Input!$C$15-H116)))</f>
        <v>8038285.7485785484</v>
      </c>
      <c r="J116" s="21">
        <f>IF(I116="","",I116+Inputs!$B$5/Inputs!$B$15*(Inputs!$C$15*(Inputs!$C$29*NGS_Archaea_Input!$B$15-I116)+Inputs!$D$15*(I15-I116)+Inputs!$E$15*(Inputs!$D$29*NGS_Archaea_Input!$C$15-I116)))</f>
        <v>8053522.3877874967</v>
      </c>
      <c r="K116" s="21">
        <f>IF(J116="","",J116+Inputs!$B$5/Inputs!$B$15*(Inputs!$C$15*(Inputs!$C$29*NGS_Archaea_Input!$B$15-J116)+Inputs!$D$15*(J15-J116)+Inputs!$E$15*(Inputs!$D$29*NGS_Archaea_Input!$C$15-J116)))</f>
        <v>8063573.9365033964</v>
      </c>
      <c r="L116" s="21">
        <f>IF(K116="","",K116+Inputs!$B$5/Inputs!$B$15*(Inputs!$C$15*(Inputs!$C$29*NGS_Archaea_Input!$B$15-K116)+Inputs!$D$15*(K15-K116)+Inputs!$E$15*(Inputs!$D$29*NGS_Archaea_Input!$C$15-K116)))</f>
        <v>8068777.3675901387</v>
      </c>
      <c r="M116" s="21">
        <f>IF(L116="","",L116+Inputs!$B$5/Inputs!$B$15*(Inputs!$C$15*(Inputs!$C$29*NGS_Archaea_Input!$B$15-L116)+Inputs!$D$15*(L15-L116)+Inputs!$E$15*(Inputs!$D$29*NGS_Archaea_Input!$C$15-L116)))</f>
        <v>8069451.8559366493</v>
      </c>
      <c r="N116" s="21">
        <f>IF(M116="","",M116+Inputs!$B$5/Inputs!$B$15*(Inputs!$C$15*(Inputs!$C$29*NGS_Archaea_Input!$B$15-M116)+Inputs!$D$15*(M15-M116)+Inputs!$E$15*(Inputs!$D$29*NGS_Archaea_Input!$C$15-M116)))</f>
        <v>8065899.6573595311</v>
      </c>
      <c r="O116" s="21">
        <f>IF(N116="","",N116+Inputs!$B$5/Inputs!$B$15*(Inputs!$C$15*(Inputs!$C$29*NGS_Archaea_Input!$B$15-N116)+Inputs!$D$15*(N15-N116)+Inputs!$E$15*(Inputs!$D$29*NGS_Archaea_Input!$C$15-N116)))</f>
        <v>8058406.9451991925</v>
      </c>
      <c r="P116" s="21">
        <f>IF(O116="","",O116+Inputs!$B$5/Inputs!$B$15*(Inputs!$C$15*(Inputs!$C$29*NGS_Archaea_Input!$B$15-O116)+Inputs!$D$15*(O15-O116)+Inputs!$E$15*(Inputs!$D$29*NGS_Archaea_Input!$C$15-O116)))</f>
        <v>8047244.6066260859</v>
      </c>
      <c r="Q116" s="21">
        <f>IF(P116="","",P116+Inputs!$B$5/Inputs!$B$15*(Inputs!$C$15*(Inputs!$C$29*NGS_Archaea_Input!$B$15-P116)+Inputs!$D$15*(P15-P116)+Inputs!$E$15*(Inputs!$D$29*NGS_Archaea_Input!$C$15-P116)))</f>
        <v>8032669.000577867</v>
      </c>
      <c r="R116" s="21">
        <f>IF(Q116="","",Q116+Inputs!$B$5/Inputs!$B$15*(Inputs!$C$15*(Inputs!$C$29*NGS_Archaea_Input!$B$15-Q116)+Inputs!$D$15*(Q15-Q116)+Inputs!$E$15*(Inputs!$D$29*NGS_Archaea_Input!$C$15-Q116)))</f>
        <v>8014922.6791570252</v>
      </c>
      <c r="S116" s="21">
        <f>IF(R116="","",R116+Inputs!$B$5/Inputs!$B$15*(Inputs!$C$15*(Inputs!$C$29*NGS_Archaea_Input!$B$15-R116)+Inputs!$D$15*(R15-R116)+Inputs!$E$15*(Inputs!$D$29*NGS_Archaea_Input!$C$15-R116)))</f>
        <v>7994235.0742315995</v>
      </c>
      <c r="T116" s="21">
        <f>IF(S116="","",S116+Inputs!$B$5/Inputs!$B$15*(Inputs!$C$15*(Inputs!$C$29*NGS_Archaea_Input!$B$15-S116)+Inputs!$D$15*(S15-S116)+Inputs!$E$15*(Inputs!$D$29*NGS_Archaea_Input!$C$15-S116)))</f>
        <v>7970823.1508988002</v>
      </c>
      <c r="U116" s="21">
        <f>IF(T116="","",T116+Inputs!$B$5/Inputs!$B$15*(Inputs!$C$15*(Inputs!$C$29*NGS_Archaea_Input!$B$15-T116)+Inputs!$D$15*(T15-T116)+Inputs!$E$15*(Inputs!$D$29*NGS_Archaea_Input!$C$15-T116)))</f>
        <v>7944892.0293924836</v>
      </c>
      <c r="V116" s="21">
        <f>IF(U116="","",U116+Inputs!$B$5/Inputs!$B$15*(Inputs!$C$15*(Inputs!$C$29*NGS_Archaea_Input!$B$15-U116)+Inputs!$D$15*(U15-U116)+Inputs!$E$15*(Inputs!$D$29*NGS_Archaea_Input!$C$15-U116)))</f>
        <v>7916635.5769403009</v>
      </c>
      <c r="W116" s="21">
        <f>IF(V116="","",V116+Inputs!$B$5/Inputs!$B$15*(Inputs!$C$15*(Inputs!$C$29*NGS_Archaea_Input!$B$15-V116)+Inputs!$D$15*(V15-V116)+Inputs!$E$15*(Inputs!$D$29*NGS_Archaea_Input!$C$15-V116)))</f>
        <v>7886236.9710047785</v>
      </c>
    </row>
    <row r="117" spans="1:23" ht="18" customHeight="1" x14ac:dyDescent="0.25"/>
    <row r="118" spans="1:23" ht="18" customHeight="1" x14ac:dyDescent="0.25">
      <c r="A118" s="25" t="s">
        <v>162</v>
      </c>
    </row>
    <row r="119" spans="1:23" ht="18" customHeight="1" x14ac:dyDescent="0.25">
      <c r="A119" s="11" t="str">
        <f>NGS_Archaea_Input!A5</f>
        <v>Arc_taxon_1</v>
      </c>
      <c r="B119" s="14">
        <f>IF(BAC_ARC_Daily!X5&lt;&gt;0,B106/BAC_ARC_Daily!X5,"")</f>
        <v>0</v>
      </c>
      <c r="C119" s="14">
        <f>IF(BAC_ARC_Daily!X6&lt;&gt;0,C106/BAC_ARC_Daily!X6,"")</f>
        <v>0</v>
      </c>
      <c r="D119" s="14">
        <f>IF(BAC_ARC_Daily!X7&lt;&gt;0,D106/BAC_ARC_Daily!X7,"")</f>
        <v>0</v>
      </c>
      <c r="E119" s="14">
        <f>IF(BAC_ARC_Daily!X8&lt;&gt;0,E106/BAC_ARC_Daily!X8,"")</f>
        <v>0</v>
      </c>
      <c r="F119" s="14">
        <f>IF(BAC_ARC_Daily!X9&lt;&gt;0,F106/BAC_ARC_Daily!X9,"")</f>
        <v>0</v>
      </c>
      <c r="G119" s="14">
        <f>IF(BAC_ARC_Daily!X10&lt;&gt;0,G106/BAC_ARC_Daily!X10,"")</f>
        <v>0</v>
      </c>
      <c r="H119" s="14">
        <f>IF(BAC_ARC_Daily!X11&lt;&gt;0,H106/BAC_ARC_Daily!X11,"")</f>
        <v>0</v>
      </c>
      <c r="I119" s="14">
        <f>IF(BAC_ARC_Daily!X12&lt;&gt;0,I106/BAC_ARC_Daily!X12,"")</f>
        <v>0</v>
      </c>
      <c r="J119" s="14">
        <f>IF(BAC_ARC_Daily!X13&lt;&gt;0,J106/BAC_ARC_Daily!X13,"")</f>
        <v>0</v>
      </c>
      <c r="K119" s="14">
        <f>IF(BAC_ARC_Daily!X14&lt;&gt;0,K106/BAC_ARC_Daily!X14,"")</f>
        <v>0</v>
      </c>
      <c r="L119" s="14">
        <f>IF(BAC_ARC_Daily!X15&lt;&gt;0,L106/BAC_ARC_Daily!X15,"")</f>
        <v>0</v>
      </c>
      <c r="M119" s="14">
        <f>IF(BAC_ARC_Daily!X16&lt;&gt;0,M106/BAC_ARC_Daily!X16,"")</f>
        <v>0</v>
      </c>
      <c r="N119" s="14">
        <f>IF(BAC_ARC_Daily!X17&lt;&gt;0,N106/BAC_ARC_Daily!X17,"")</f>
        <v>0</v>
      </c>
      <c r="O119" s="14">
        <f>IF(BAC_ARC_Daily!X18&lt;&gt;0,O106/BAC_ARC_Daily!X18,"")</f>
        <v>0</v>
      </c>
      <c r="P119" s="14">
        <f>IF(BAC_ARC_Daily!X19&lt;&gt;0,P106/BAC_ARC_Daily!X19,"")</f>
        <v>0</v>
      </c>
      <c r="Q119" s="14">
        <f>IF(BAC_ARC_Daily!X20&lt;&gt;0,Q106/BAC_ARC_Daily!X20,"")</f>
        <v>0</v>
      </c>
      <c r="R119" s="14">
        <f>IF(BAC_ARC_Daily!X21&lt;&gt;0,R106/BAC_ARC_Daily!X21,"")</f>
        <v>0</v>
      </c>
      <c r="S119" s="14">
        <f>IF(BAC_ARC_Daily!X22&lt;&gt;0,S106/BAC_ARC_Daily!X22,"")</f>
        <v>0</v>
      </c>
      <c r="T119" s="14">
        <f>IF(BAC_ARC_Daily!X23&lt;&gt;0,T106/BAC_ARC_Daily!X23,"")</f>
        <v>0</v>
      </c>
      <c r="U119" s="14">
        <f>IF(BAC_ARC_Daily!X24&lt;&gt;0,U106/BAC_ARC_Daily!X24,"")</f>
        <v>0</v>
      </c>
      <c r="V119" s="14">
        <f>IF(BAC_ARC_Daily!X25&lt;&gt;0,V106/BAC_ARC_Daily!X25,"")</f>
        <v>0</v>
      </c>
      <c r="W119" s="14">
        <f>IF(BAC_ARC_Daily!X26&lt;&gt;0,W106/BAC_ARC_Daily!X26,"")</f>
        <v>0</v>
      </c>
    </row>
    <row r="120" spans="1:23" ht="18" customHeight="1" x14ac:dyDescent="0.25">
      <c r="A120" s="11" t="str">
        <f>NGS_Archaea_Input!A6</f>
        <v>Arc_taxon_2</v>
      </c>
      <c r="B120" s="14">
        <f>IF(BAC_ARC_Daily!X5&lt;&gt;0,B107/BAC_ARC_Daily!X5,"")</f>
        <v>0</v>
      </c>
      <c r="C120" s="14">
        <f>IF(BAC_ARC_Daily!X6&lt;&gt;0,C107/BAC_ARC_Daily!X6,"")</f>
        <v>0</v>
      </c>
      <c r="D120" s="14">
        <f>IF(BAC_ARC_Daily!X7&lt;&gt;0,D107/BAC_ARC_Daily!X7,"")</f>
        <v>0</v>
      </c>
      <c r="E120" s="14">
        <f>IF(BAC_ARC_Daily!X8&lt;&gt;0,E107/BAC_ARC_Daily!X8,"")</f>
        <v>0</v>
      </c>
      <c r="F120" s="14">
        <f>IF(BAC_ARC_Daily!X9&lt;&gt;0,F107/BAC_ARC_Daily!X9,"")</f>
        <v>0</v>
      </c>
      <c r="G120" s="14">
        <f>IF(BAC_ARC_Daily!X10&lt;&gt;0,G107/BAC_ARC_Daily!X10,"")</f>
        <v>0</v>
      </c>
      <c r="H120" s="14">
        <f>IF(BAC_ARC_Daily!X11&lt;&gt;0,H107/BAC_ARC_Daily!X11,"")</f>
        <v>0</v>
      </c>
      <c r="I120" s="14">
        <f>IF(BAC_ARC_Daily!X12&lt;&gt;0,I107/BAC_ARC_Daily!X12,"")</f>
        <v>0</v>
      </c>
      <c r="J120" s="14">
        <f>IF(BAC_ARC_Daily!X13&lt;&gt;0,J107/BAC_ARC_Daily!X13,"")</f>
        <v>0</v>
      </c>
      <c r="K120" s="14">
        <f>IF(BAC_ARC_Daily!X14&lt;&gt;0,K107/BAC_ARC_Daily!X14,"")</f>
        <v>0</v>
      </c>
      <c r="L120" s="14">
        <f>IF(BAC_ARC_Daily!X15&lt;&gt;0,L107/BAC_ARC_Daily!X15,"")</f>
        <v>0</v>
      </c>
      <c r="M120" s="14">
        <f>IF(BAC_ARC_Daily!X16&lt;&gt;0,M107/BAC_ARC_Daily!X16,"")</f>
        <v>0</v>
      </c>
      <c r="N120" s="14">
        <f>IF(BAC_ARC_Daily!X17&lt;&gt;0,N107/BAC_ARC_Daily!X17,"")</f>
        <v>0</v>
      </c>
      <c r="O120" s="14">
        <f>IF(BAC_ARC_Daily!X18&lt;&gt;0,O107/BAC_ARC_Daily!X18,"")</f>
        <v>0</v>
      </c>
      <c r="P120" s="14">
        <f>IF(BAC_ARC_Daily!X19&lt;&gt;0,P107/BAC_ARC_Daily!X19,"")</f>
        <v>0</v>
      </c>
      <c r="Q120" s="14">
        <f>IF(BAC_ARC_Daily!X20&lt;&gt;0,Q107/BAC_ARC_Daily!X20,"")</f>
        <v>0</v>
      </c>
      <c r="R120" s="14">
        <f>IF(BAC_ARC_Daily!X21&lt;&gt;0,R107/BAC_ARC_Daily!X21,"")</f>
        <v>0</v>
      </c>
      <c r="S120" s="14">
        <f>IF(BAC_ARC_Daily!X22&lt;&gt;0,S107/BAC_ARC_Daily!X22,"")</f>
        <v>0</v>
      </c>
      <c r="T120" s="14">
        <f>IF(BAC_ARC_Daily!X23&lt;&gt;0,T107/BAC_ARC_Daily!X23,"")</f>
        <v>0</v>
      </c>
      <c r="U120" s="14">
        <f>IF(BAC_ARC_Daily!X24&lt;&gt;0,U107/BAC_ARC_Daily!X24,"")</f>
        <v>0</v>
      </c>
      <c r="V120" s="14">
        <f>IF(BAC_ARC_Daily!X25&lt;&gt;0,V107/BAC_ARC_Daily!X25,"")</f>
        <v>0</v>
      </c>
      <c r="W120" s="14">
        <f>IF(BAC_ARC_Daily!X26&lt;&gt;0,W107/BAC_ARC_Daily!X26,"")</f>
        <v>0</v>
      </c>
    </row>
    <row r="121" spans="1:23" ht="18" customHeight="1" x14ac:dyDescent="0.25">
      <c r="A121" s="11" t="str">
        <f>NGS_Archaea_Input!A7</f>
        <v>Arc_taxon_3</v>
      </c>
      <c r="B121" s="14">
        <f>IF(BAC_ARC_Daily!X5&lt;&gt;0,B108/BAC_ARC_Daily!X5,"")</f>
        <v>0</v>
      </c>
      <c r="C121" s="14">
        <f>IF(BAC_ARC_Daily!X6&lt;&gt;0,C108/BAC_ARC_Daily!X6,"")</f>
        <v>0</v>
      </c>
      <c r="D121" s="14">
        <f>IF(BAC_ARC_Daily!X7&lt;&gt;0,D108/BAC_ARC_Daily!X7,"")</f>
        <v>0</v>
      </c>
      <c r="E121" s="14">
        <f>IF(BAC_ARC_Daily!X8&lt;&gt;0,E108/BAC_ARC_Daily!X8,"")</f>
        <v>0</v>
      </c>
      <c r="F121" s="14">
        <f>IF(BAC_ARC_Daily!X9&lt;&gt;0,F108/BAC_ARC_Daily!X9,"")</f>
        <v>0</v>
      </c>
      <c r="G121" s="14">
        <f>IF(BAC_ARC_Daily!X10&lt;&gt;0,G108/BAC_ARC_Daily!X10,"")</f>
        <v>0</v>
      </c>
      <c r="H121" s="14">
        <f>IF(BAC_ARC_Daily!X11&lt;&gt;0,H108/BAC_ARC_Daily!X11,"")</f>
        <v>0</v>
      </c>
      <c r="I121" s="14">
        <f>IF(BAC_ARC_Daily!X12&lt;&gt;0,I108/BAC_ARC_Daily!X12,"")</f>
        <v>0</v>
      </c>
      <c r="J121" s="14">
        <f>IF(BAC_ARC_Daily!X13&lt;&gt;0,J108/BAC_ARC_Daily!X13,"")</f>
        <v>0</v>
      </c>
      <c r="K121" s="14">
        <f>IF(BAC_ARC_Daily!X14&lt;&gt;0,K108/BAC_ARC_Daily!X14,"")</f>
        <v>0</v>
      </c>
      <c r="L121" s="14">
        <f>IF(BAC_ARC_Daily!X15&lt;&gt;0,L108/BAC_ARC_Daily!X15,"")</f>
        <v>0</v>
      </c>
      <c r="M121" s="14">
        <f>IF(BAC_ARC_Daily!X16&lt;&gt;0,M108/BAC_ARC_Daily!X16,"")</f>
        <v>0</v>
      </c>
      <c r="N121" s="14">
        <f>IF(BAC_ARC_Daily!X17&lt;&gt;0,N108/BAC_ARC_Daily!X17,"")</f>
        <v>0</v>
      </c>
      <c r="O121" s="14">
        <f>IF(BAC_ARC_Daily!X18&lt;&gt;0,O108/BAC_ARC_Daily!X18,"")</f>
        <v>0</v>
      </c>
      <c r="P121" s="14">
        <f>IF(BAC_ARC_Daily!X19&lt;&gt;0,P108/BAC_ARC_Daily!X19,"")</f>
        <v>0</v>
      </c>
      <c r="Q121" s="14">
        <f>IF(BAC_ARC_Daily!X20&lt;&gt;0,Q108/BAC_ARC_Daily!X20,"")</f>
        <v>0</v>
      </c>
      <c r="R121" s="14">
        <f>IF(BAC_ARC_Daily!X21&lt;&gt;0,R108/BAC_ARC_Daily!X21,"")</f>
        <v>0</v>
      </c>
      <c r="S121" s="14">
        <f>IF(BAC_ARC_Daily!X22&lt;&gt;0,S108/BAC_ARC_Daily!X22,"")</f>
        <v>0</v>
      </c>
      <c r="T121" s="14">
        <f>IF(BAC_ARC_Daily!X23&lt;&gt;0,T108/BAC_ARC_Daily!X23,"")</f>
        <v>0</v>
      </c>
      <c r="U121" s="14">
        <f>IF(BAC_ARC_Daily!X24&lt;&gt;0,U108/BAC_ARC_Daily!X24,"")</f>
        <v>0</v>
      </c>
      <c r="V121" s="14">
        <f>IF(BAC_ARC_Daily!X25&lt;&gt;0,V108/BAC_ARC_Daily!X25,"")</f>
        <v>0</v>
      </c>
      <c r="W121" s="14">
        <f>IF(BAC_ARC_Daily!X26&lt;&gt;0,W108/BAC_ARC_Daily!X26,"")</f>
        <v>0</v>
      </c>
    </row>
    <row r="122" spans="1:23" ht="18" customHeight="1" x14ac:dyDescent="0.25">
      <c r="A122" s="11" t="str">
        <f>NGS_Archaea_Input!A8</f>
        <v>Arc_taxon_4</v>
      </c>
      <c r="B122" s="14">
        <f>IF(BAC_ARC_Daily!X5&lt;&gt;0,B109/BAC_ARC_Daily!X5,"")</f>
        <v>0</v>
      </c>
      <c r="C122" s="14">
        <f>IF(BAC_ARC_Daily!X6&lt;&gt;0,C109/BAC_ARC_Daily!X6,"")</f>
        <v>0</v>
      </c>
      <c r="D122" s="14">
        <f>IF(BAC_ARC_Daily!X7&lt;&gt;0,D109/BAC_ARC_Daily!X7,"")</f>
        <v>0</v>
      </c>
      <c r="E122" s="14">
        <f>IF(BAC_ARC_Daily!X8&lt;&gt;0,E109/BAC_ARC_Daily!X8,"")</f>
        <v>0</v>
      </c>
      <c r="F122" s="14">
        <f>IF(BAC_ARC_Daily!X9&lt;&gt;0,F109/BAC_ARC_Daily!X9,"")</f>
        <v>0</v>
      </c>
      <c r="G122" s="14">
        <f>IF(BAC_ARC_Daily!X10&lt;&gt;0,G109/BAC_ARC_Daily!X10,"")</f>
        <v>0</v>
      </c>
      <c r="H122" s="14">
        <f>IF(BAC_ARC_Daily!X11&lt;&gt;0,H109/BAC_ARC_Daily!X11,"")</f>
        <v>0</v>
      </c>
      <c r="I122" s="14">
        <f>IF(BAC_ARC_Daily!X12&lt;&gt;0,I109/BAC_ARC_Daily!X12,"")</f>
        <v>0</v>
      </c>
      <c r="J122" s="14">
        <f>IF(BAC_ARC_Daily!X13&lt;&gt;0,J109/BAC_ARC_Daily!X13,"")</f>
        <v>0</v>
      </c>
      <c r="K122" s="14">
        <f>IF(BAC_ARC_Daily!X14&lt;&gt;0,K109/BAC_ARC_Daily!X14,"")</f>
        <v>0</v>
      </c>
      <c r="L122" s="14">
        <f>IF(BAC_ARC_Daily!X15&lt;&gt;0,L109/BAC_ARC_Daily!X15,"")</f>
        <v>0</v>
      </c>
      <c r="M122" s="14">
        <f>IF(BAC_ARC_Daily!X16&lt;&gt;0,M109/BAC_ARC_Daily!X16,"")</f>
        <v>0</v>
      </c>
      <c r="N122" s="14">
        <f>IF(BAC_ARC_Daily!X17&lt;&gt;0,N109/BAC_ARC_Daily!X17,"")</f>
        <v>0</v>
      </c>
      <c r="O122" s="14">
        <f>IF(BAC_ARC_Daily!X18&lt;&gt;0,O109/BAC_ARC_Daily!X18,"")</f>
        <v>0</v>
      </c>
      <c r="P122" s="14">
        <f>IF(BAC_ARC_Daily!X19&lt;&gt;0,P109/BAC_ARC_Daily!X19,"")</f>
        <v>0</v>
      </c>
      <c r="Q122" s="14">
        <f>IF(BAC_ARC_Daily!X20&lt;&gt;0,Q109/BAC_ARC_Daily!X20,"")</f>
        <v>0</v>
      </c>
      <c r="R122" s="14">
        <f>IF(BAC_ARC_Daily!X21&lt;&gt;0,R109/BAC_ARC_Daily!X21,"")</f>
        <v>0</v>
      </c>
      <c r="S122" s="14">
        <f>IF(BAC_ARC_Daily!X22&lt;&gt;0,S109/BAC_ARC_Daily!X22,"")</f>
        <v>0</v>
      </c>
      <c r="T122" s="14">
        <f>IF(BAC_ARC_Daily!X23&lt;&gt;0,T109/BAC_ARC_Daily!X23,"")</f>
        <v>0</v>
      </c>
      <c r="U122" s="14">
        <f>IF(BAC_ARC_Daily!X24&lt;&gt;0,U109/BAC_ARC_Daily!X24,"")</f>
        <v>0</v>
      </c>
      <c r="V122" s="14">
        <f>IF(BAC_ARC_Daily!X25&lt;&gt;0,V109/BAC_ARC_Daily!X25,"")</f>
        <v>0</v>
      </c>
      <c r="W122" s="14">
        <f>IF(BAC_ARC_Daily!X26&lt;&gt;0,W109/BAC_ARC_Daily!X26,"")</f>
        <v>0</v>
      </c>
    </row>
    <row r="123" spans="1:23" ht="18" customHeight="1" x14ac:dyDescent="0.25">
      <c r="A123" s="11" t="str">
        <f>NGS_Archaea_Input!A9</f>
        <v>Arc_taxon_5</v>
      </c>
      <c r="B123" s="14">
        <f>IF(BAC_ARC_Daily!X5&lt;&gt;0,B110/BAC_ARC_Daily!X5,"")</f>
        <v>0</v>
      </c>
      <c r="C123" s="14">
        <f>IF(BAC_ARC_Daily!X6&lt;&gt;0,C110/BAC_ARC_Daily!X6,"")</f>
        <v>0</v>
      </c>
      <c r="D123" s="14">
        <f>IF(BAC_ARC_Daily!X7&lt;&gt;0,D110/BAC_ARC_Daily!X7,"")</f>
        <v>0</v>
      </c>
      <c r="E123" s="14">
        <f>IF(BAC_ARC_Daily!X8&lt;&gt;0,E110/BAC_ARC_Daily!X8,"")</f>
        <v>0</v>
      </c>
      <c r="F123" s="14">
        <f>IF(BAC_ARC_Daily!X9&lt;&gt;0,F110/BAC_ARC_Daily!X9,"")</f>
        <v>0</v>
      </c>
      <c r="G123" s="14">
        <f>IF(BAC_ARC_Daily!X10&lt;&gt;0,G110/BAC_ARC_Daily!X10,"")</f>
        <v>0</v>
      </c>
      <c r="H123" s="14">
        <f>IF(BAC_ARC_Daily!X11&lt;&gt;0,H110/BAC_ARC_Daily!X11,"")</f>
        <v>0</v>
      </c>
      <c r="I123" s="14">
        <f>IF(BAC_ARC_Daily!X12&lt;&gt;0,I110/BAC_ARC_Daily!X12,"")</f>
        <v>0</v>
      </c>
      <c r="J123" s="14">
        <f>IF(BAC_ARC_Daily!X13&lt;&gt;0,J110/BAC_ARC_Daily!X13,"")</f>
        <v>0</v>
      </c>
      <c r="K123" s="14">
        <f>IF(BAC_ARC_Daily!X14&lt;&gt;0,K110/BAC_ARC_Daily!X14,"")</f>
        <v>0</v>
      </c>
      <c r="L123" s="14">
        <f>IF(BAC_ARC_Daily!X15&lt;&gt;0,L110/BAC_ARC_Daily!X15,"")</f>
        <v>0</v>
      </c>
      <c r="M123" s="14">
        <f>IF(BAC_ARC_Daily!X16&lt;&gt;0,M110/BAC_ARC_Daily!X16,"")</f>
        <v>0</v>
      </c>
      <c r="N123" s="14">
        <f>IF(BAC_ARC_Daily!X17&lt;&gt;0,N110/BAC_ARC_Daily!X17,"")</f>
        <v>0</v>
      </c>
      <c r="O123" s="14">
        <f>IF(BAC_ARC_Daily!X18&lt;&gt;0,O110/BAC_ARC_Daily!X18,"")</f>
        <v>0</v>
      </c>
      <c r="P123" s="14">
        <f>IF(BAC_ARC_Daily!X19&lt;&gt;0,P110/BAC_ARC_Daily!X19,"")</f>
        <v>0</v>
      </c>
      <c r="Q123" s="14">
        <f>IF(BAC_ARC_Daily!X20&lt;&gt;0,Q110/BAC_ARC_Daily!X20,"")</f>
        <v>0</v>
      </c>
      <c r="R123" s="14">
        <f>IF(BAC_ARC_Daily!X21&lt;&gt;0,R110/BAC_ARC_Daily!X21,"")</f>
        <v>0</v>
      </c>
      <c r="S123" s="14">
        <f>IF(BAC_ARC_Daily!X22&lt;&gt;0,S110/BAC_ARC_Daily!X22,"")</f>
        <v>0</v>
      </c>
      <c r="T123" s="14">
        <f>IF(BAC_ARC_Daily!X23&lt;&gt;0,T110/BAC_ARC_Daily!X23,"")</f>
        <v>0</v>
      </c>
      <c r="U123" s="14">
        <f>IF(BAC_ARC_Daily!X24&lt;&gt;0,U110/BAC_ARC_Daily!X24,"")</f>
        <v>0</v>
      </c>
      <c r="V123" s="14">
        <f>IF(BAC_ARC_Daily!X25&lt;&gt;0,V110/BAC_ARC_Daily!X25,"")</f>
        <v>0</v>
      </c>
      <c r="W123" s="14">
        <f>IF(BAC_ARC_Daily!X26&lt;&gt;0,W110/BAC_ARC_Daily!X26,"")</f>
        <v>0</v>
      </c>
    </row>
    <row r="124" spans="1:23" ht="18" customHeight="1" x14ac:dyDescent="0.25">
      <c r="A124" s="11" t="str">
        <f>NGS_Archaea_Input!A10</f>
        <v>Arc_taxon_6</v>
      </c>
      <c r="B124" s="14">
        <f>IF(BAC_ARC_Daily!X5&lt;&gt;0,B111/BAC_ARC_Daily!X5,"")</f>
        <v>0</v>
      </c>
      <c r="C124" s="14">
        <f>IF(BAC_ARC_Daily!X6&lt;&gt;0,C111/BAC_ARC_Daily!X6,"")</f>
        <v>0</v>
      </c>
      <c r="D124" s="14">
        <f>IF(BAC_ARC_Daily!X7&lt;&gt;0,D111/BAC_ARC_Daily!X7,"")</f>
        <v>0</v>
      </c>
      <c r="E124" s="14">
        <f>IF(BAC_ARC_Daily!X8&lt;&gt;0,E111/BAC_ARC_Daily!X8,"")</f>
        <v>0</v>
      </c>
      <c r="F124" s="14">
        <f>IF(BAC_ARC_Daily!X9&lt;&gt;0,F111/BAC_ARC_Daily!X9,"")</f>
        <v>0</v>
      </c>
      <c r="G124" s="14">
        <f>IF(BAC_ARC_Daily!X10&lt;&gt;0,G111/BAC_ARC_Daily!X10,"")</f>
        <v>0</v>
      </c>
      <c r="H124" s="14">
        <f>IF(BAC_ARC_Daily!X11&lt;&gt;0,H111/BAC_ARC_Daily!X11,"")</f>
        <v>0</v>
      </c>
      <c r="I124" s="14">
        <f>IF(BAC_ARC_Daily!X12&lt;&gt;0,I111/BAC_ARC_Daily!X12,"")</f>
        <v>0</v>
      </c>
      <c r="J124" s="14">
        <f>IF(BAC_ARC_Daily!X13&lt;&gt;0,J111/BAC_ARC_Daily!X13,"")</f>
        <v>0</v>
      </c>
      <c r="K124" s="14">
        <f>IF(BAC_ARC_Daily!X14&lt;&gt;0,K111/BAC_ARC_Daily!X14,"")</f>
        <v>0</v>
      </c>
      <c r="L124" s="14">
        <f>IF(BAC_ARC_Daily!X15&lt;&gt;0,L111/BAC_ARC_Daily!X15,"")</f>
        <v>0</v>
      </c>
      <c r="M124" s="14">
        <f>IF(BAC_ARC_Daily!X16&lt;&gt;0,M111/BAC_ARC_Daily!X16,"")</f>
        <v>0</v>
      </c>
      <c r="N124" s="14">
        <f>IF(BAC_ARC_Daily!X17&lt;&gt;0,N111/BAC_ARC_Daily!X17,"")</f>
        <v>0</v>
      </c>
      <c r="O124" s="14">
        <f>IF(BAC_ARC_Daily!X18&lt;&gt;0,O111/BAC_ARC_Daily!X18,"")</f>
        <v>0</v>
      </c>
      <c r="P124" s="14">
        <f>IF(BAC_ARC_Daily!X19&lt;&gt;0,P111/BAC_ARC_Daily!X19,"")</f>
        <v>0</v>
      </c>
      <c r="Q124" s="14">
        <f>IF(BAC_ARC_Daily!X20&lt;&gt;0,Q111/BAC_ARC_Daily!X20,"")</f>
        <v>0</v>
      </c>
      <c r="R124" s="14">
        <f>IF(BAC_ARC_Daily!X21&lt;&gt;0,R111/BAC_ARC_Daily!X21,"")</f>
        <v>0</v>
      </c>
      <c r="S124" s="14">
        <f>IF(BAC_ARC_Daily!X22&lt;&gt;0,S111/BAC_ARC_Daily!X22,"")</f>
        <v>0</v>
      </c>
      <c r="T124" s="14">
        <f>IF(BAC_ARC_Daily!X23&lt;&gt;0,T111/BAC_ARC_Daily!X23,"")</f>
        <v>0</v>
      </c>
      <c r="U124" s="14">
        <f>IF(BAC_ARC_Daily!X24&lt;&gt;0,U111/BAC_ARC_Daily!X24,"")</f>
        <v>0</v>
      </c>
      <c r="V124" s="14">
        <f>IF(BAC_ARC_Daily!X25&lt;&gt;0,V111/BAC_ARC_Daily!X25,"")</f>
        <v>0</v>
      </c>
      <c r="W124" s="14">
        <f>IF(BAC_ARC_Daily!X26&lt;&gt;0,W111/BAC_ARC_Daily!X26,"")</f>
        <v>0</v>
      </c>
    </row>
    <row r="125" spans="1:23" ht="18" customHeight="1" x14ac:dyDescent="0.25">
      <c r="A125" s="11" t="str">
        <f>NGS_Archaea_Input!A11</f>
        <v>Arc_taxon_7</v>
      </c>
      <c r="B125" s="14">
        <f>IF(BAC_ARC_Daily!X5&lt;&gt;0,B112/BAC_ARC_Daily!X5,"")</f>
        <v>0</v>
      </c>
      <c r="C125" s="14">
        <f>IF(BAC_ARC_Daily!X6&lt;&gt;0,C112/BAC_ARC_Daily!X6,"")</f>
        <v>0</v>
      </c>
      <c r="D125" s="14">
        <f>IF(BAC_ARC_Daily!X7&lt;&gt;0,D112/BAC_ARC_Daily!X7,"")</f>
        <v>0</v>
      </c>
      <c r="E125" s="14">
        <f>IF(BAC_ARC_Daily!X8&lt;&gt;0,E112/BAC_ARC_Daily!X8,"")</f>
        <v>0</v>
      </c>
      <c r="F125" s="14">
        <f>IF(BAC_ARC_Daily!X9&lt;&gt;0,F112/BAC_ARC_Daily!X9,"")</f>
        <v>0</v>
      </c>
      <c r="G125" s="14">
        <f>IF(BAC_ARC_Daily!X10&lt;&gt;0,G112/BAC_ARC_Daily!X10,"")</f>
        <v>0</v>
      </c>
      <c r="H125" s="14">
        <f>IF(BAC_ARC_Daily!X11&lt;&gt;0,H112/BAC_ARC_Daily!X11,"")</f>
        <v>0</v>
      </c>
      <c r="I125" s="14">
        <f>IF(BAC_ARC_Daily!X12&lt;&gt;0,I112/BAC_ARC_Daily!X12,"")</f>
        <v>0</v>
      </c>
      <c r="J125" s="14">
        <f>IF(BAC_ARC_Daily!X13&lt;&gt;0,J112/BAC_ARC_Daily!X13,"")</f>
        <v>0</v>
      </c>
      <c r="K125" s="14">
        <f>IF(BAC_ARC_Daily!X14&lt;&gt;0,K112/BAC_ARC_Daily!X14,"")</f>
        <v>0</v>
      </c>
      <c r="L125" s="14">
        <f>IF(BAC_ARC_Daily!X15&lt;&gt;0,L112/BAC_ARC_Daily!X15,"")</f>
        <v>0</v>
      </c>
      <c r="M125" s="14">
        <f>IF(BAC_ARC_Daily!X16&lt;&gt;0,M112/BAC_ARC_Daily!X16,"")</f>
        <v>0</v>
      </c>
      <c r="N125" s="14">
        <f>IF(BAC_ARC_Daily!X17&lt;&gt;0,N112/BAC_ARC_Daily!X17,"")</f>
        <v>0</v>
      </c>
      <c r="O125" s="14">
        <f>IF(BAC_ARC_Daily!X18&lt;&gt;0,O112/BAC_ARC_Daily!X18,"")</f>
        <v>0</v>
      </c>
      <c r="P125" s="14">
        <f>IF(BAC_ARC_Daily!X19&lt;&gt;0,P112/BAC_ARC_Daily!X19,"")</f>
        <v>0</v>
      </c>
      <c r="Q125" s="14">
        <f>IF(BAC_ARC_Daily!X20&lt;&gt;0,Q112/BAC_ARC_Daily!X20,"")</f>
        <v>0</v>
      </c>
      <c r="R125" s="14">
        <f>IF(BAC_ARC_Daily!X21&lt;&gt;0,R112/BAC_ARC_Daily!X21,"")</f>
        <v>0</v>
      </c>
      <c r="S125" s="14">
        <f>IF(BAC_ARC_Daily!X22&lt;&gt;0,S112/BAC_ARC_Daily!X22,"")</f>
        <v>0</v>
      </c>
      <c r="T125" s="14">
        <f>IF(BAC_ARC_Daily!X23&lt;&gt;0,T112/BAC_ARC_Daily!X23,"")</f>
        <v>0</v>
      </c>
      <c r="U125" s="14">
        <f>IF(BAC_ARC_Daily!X24&lt;&gt;0,U112/BAC_ARC_Daily!X24,"")</f>
        <v>0</v>
      </c>
      <c r="V125" s="14">
        <f>IF(BAC_ARC_Daily!X25&lt;&gt;0,V112/BAC_ARC_Daily!X25,"")</f>
        <v>0</v>
      </c>
      <c r="W125" s="14">
        <f>IF(BAC_ARC_Daily!X26&lt;&gt;0,W112/BAC_ARC_Daily!X26,"")</f>
        <v>0</v>
      </c>
    </row>
    <row r="126" spans="1:23" ht="18" customHeight="1" x14ac:dyDescent="0.25">
      <c r="A126" s="11" t="str">
        <f>NGS_Archaea_Input!A12</f>
        <v>Arc_taxon_8</v>
      </c>
      <c r="B126" s="14">
        <f>IF(BAC_ARC_Daily!X5&lt;&gt;0,B113/BAC_ARC_Daily!X5,"")</f>
        <v>0</v>
      </c>
      <c r="C126" s="14">
        <f>IF(BAC_ARC_Daily!X6&lt;&gt;0,C113/BAC_ARC_Daily!X6,"")</f>
        <v>0</v>
      </c>
      <c r="D126" s="14">
        <f>IF(BAC_ARC_Daily!X7&lt;&gt;0,D113/BAC_ARC_Daily!X7,"")</f>
        <v>0</v>
      </c>
      <c r="E126" s="14">
        <f>IF(BAC_ARC_Daily!X8&lt;&gt;0,E113/BAC_ARC_Daily!X8,"")</f>
        <v>0</v>
      </c>
      <c r="F126" s="14">
        <f>IF(BAC_ARC_Daily!X9&lt;&gt;0,F113/BAC_ARC_Daily!X9,"")</f>
        <v>0</v>
      </c>
      <c r="G126" s="14">
        <f>IF(BAC_ARC_Daily!X10&lt;&gt;0,G113/BAC_ARC_Daily!X10,"")</f>
        <v>0</v>
      </c>
      <c r="H126" s="14">
        <f>IF(BAC_ARC_Daily!X11&lt;&gt;0,H113/BAC_ARC_Daily!X11,"")</f>
        <v>0</v>
      </c>
      <c r="I126" s="14">
        <f>IF(BAC_ARC_Daily!X12&lt;&gt;0,I113/BAC_ARC_Daily!X12,"")</f>
        <v>0</v>
      </c>
      <c r="J126" s="14">
        <f>IF(BAC_ARC_Daily!X13&lt;&gt;0,J113/BAC_ARC_Daily!X13,"")</f>
        <v>0</v>
      </c>
      <c r="K126" s="14">
        <f>IF(BAC_ARC_Daily!X14&lt;&gt;0,K113/BAC_ARC_Daily!X14,"")</f>
        <v>0</v>
      </c>
      <c r="L126" s="14">
        <f>IF(BAC_ARC_Daily!X15&lt;&gt;0,L113/BAC_ARC_Daily!X15,"")</f>
        <v>0</v>
      </c>
      <c r="M126" s="14">
        <f>IF(BAC_ARC_Daily!X16&lt;&gt;0,M113/BAC_ARC_Daily!X16,"")</f>
        <v>0</v>
      </c>
      <c r="N126" s="14">
        <f>IF(BAC_ARC_Daily!X17&lt;&gt;0,N113/BAC_ARC_Daily!X17,"")</f>
        <v>0</v>
      </c>
      <c r="O126" s="14">
        <f>IF(BAC_ARC_Daily!X18&lt;&gt;0,O113/BAC_ARC_Daily!X18,"")</f>
        <v>0</v>
      </c>
      <c r="P126" s="14">
        <f>IF(BAC_ARC_Daily!X19&lt;&gt;0,P113/BAC_ARC_Daily!X19,"")</f>
        <v>0</v>
      </c>
      <c r="Q126" s="14">
        <f>IF(BAC_ARC_Daily!X20&lt;&gt;0,Q113/BAC_ARC_Daily!X20,"")</f>
        <v>0</v>
      </c>
      <c r="R126" s="14">
        <f>IF(BAC_ARC_Daily!X21&lt;&gt;0,R113/BAC_ARC_Daily!X21,"")</f>
        <v>0</v>
      </c>
      <c r="S126" s="14">
        <f>IF(BAC_ARC_Daily!X22&lt;&gt;0,S113/BAC_ARC_Daily!X22,"")</f>
        <v>0</v>
      </c>
      <c r="T126" s="14">
        <f>IF(BAC_ARC_Daily!X23&lt;&gt;0,T113/BAC_ARC_Daily!X23,"")</f>
        <v>0</v>
      </c>
      <c r="U126" s="14">
        <f>IF(BAC_ARC_Daily!X24&lt;&gt;0,U113/BAC_ARC_Daily!X24,"")</f>
        <v>0</v>
      </c>
      <c r="V126" s="14">
        <f>IF(BAC_ARC_Daily!X25&lt;&gt;0,V113/BAC_ARC_Daily!X25,"")</f>
        <v>0</v>
      </c>
      <c r="W126" s="14">
        <f>IF(BAC_ARC_Daily!X26&lt;&gt;0,W113/BAC_ARC_Daily!X26,"")</f>
        <v>0</v>
      </c>
    </row>
    <row r="127" spans="1:23" ht="18" customHeight="1" x14ac:dyDescent="0.25">
      <c r="A127" s="11" t="str">
        <f>NGS_Archaea_Input!A13</f>
        <v>Arc_taxon_9</v>
      </c>
      <c r="B127" s="14">
        <f>IF(BAC_ARC_Daily!X5&lt;&gt;0,B114/BAC_ARC_Daily!X5,"")</f>
        <v>0</v>
      </c>
      <c r="C127" s="14">
        <f>IF(BAC_ARC_Daily!X6&lt;&gt;0,C114/BAC_ARC_Daily!X6,"")</f>
        <v>0</v>
      </c>
      <c r="D127" s="14">
        <f>IF(BAC_ARC_Daily!X7&lt;&gt;0,D114/BAC_ARC_Daily!X7,"")</f>
        <v>0</v>
      </c>
      <c r="E127" s="14">
        <f>IF(BAC_ARC_Daily!X8&lt;&gt;0,E114/BAC_ARC_Daily!X8,"")</f>
        <v>0</v>
      </c>
      <c r="F127" s="14">
        <f>IF(BAC_ARC_Daily!X9&lt;&gt;0,F114/BAC_ARC_Daily!X9,"")</f>
        <v>0</v>
      </c>
      <c r="G127" s="14">
        <f>IF(BAC_ARC_Daily!X10&lt;&gt;0,G114/BAC_ARC_Daily!X10,"")</f>
        <v>0</v>
      </c>
      <c r="H127" s="14">
        <f>IF(BAC_ARC_Daily!X11&lt;&gt;0,H114/BAC_ARC_Daily!X11,"")</f>
        <v>0</v>
      </c>
      <c r="I127" s="14">
        <f>IF(BAC_ARC_Daily!X12&lt;&gt;0,I114/BAC_ARC_Daily!X12,"")</f>
        <v>0</v>
      </c>
      <c r="J127" s="14">
        <f>IF(BAC_ARC_Daily!X13&lt;&gt;0,J114/BAC_ARC_Daily!X13,"")</f>
        <v>0</v>
      </c>
      <c r="K127" s="14">
        <f>IF(BAC_ARC_Daily!X14&lt;&gt;0,K114/BAC_ARC_Daily!X14,"")</f>
        <v>0</v>
      </c>
      <c r="L127" s="14">
        <f>IF(BAC_ARC_Daily!X15&lt;&gt;0,L114/BAC_ARC_Daily!X15,"")</f>
        <v>0</v>
      </c>
      <c r="M127" s="14">
        <f>IF(BAC_ARC_Daily!X16&lt;&gt;0,M114/BAC_ARC_Daily!X16,"")</f>
        <v>0</v>
      </c>
      <c r="N127" s="14">
        <f>IF(BAC_ARC_Daily!X17&lt;&gt;0,N114/BAC_ARC_Daily!X17,"")</f>
        <v>0</v>
      </c>
      <c r="O127" s="14">
        <f>IF(BAC_ARC_Daily!X18&lt;&gt;0,O114/BAC_ARC_Daily!X18,"")</f>
        <v>0</v>
      </c>
      <c r="P127" s="14">
        <f>IF(BAC_ARC_Daily!X19&lt;&gt;0,P114/BAC_ARC_Daily!X19,"")</f>
        <v>0</v>
      </c>
      <c r="Q127" s="14">
        <f>IF(BAC_ARC_Daily!X20&lt;&gt;0,Q114/BAC_ARC_Daily!X20,"")</f>
        <v>0</v>
      </c>
      <c r="R127" s="14">
        <f>IF(BAC_ARC_Daily!X21&lt;&gt;0,R114/BAC_ARC_Daily!X21,"")</f>
        <v>0</v>
      </c>
      <c r="S127" s="14">
        <f>IF(BAC_ARC_Daily!X22&lt;&gt;0,S114/BAC_ARC_Daily!X22,"")</f>
        <v>0</v>
      </c>
      <c r="T127" s="14">
        <f>IF(BAC_ARC_Daily!X23&lt;&gt;0,T114/BAC_ARC_Daily!X23,"")</f>
        <v>0</v>
      </c>
      <c r="U127" s="14">
        <f>IF(BAC_ARC_Daily!X24&lt;&gt;0,U114/BAC_ARC_Daily!X24,"")</f>
        <v>0</v>
      </c>
      <c r="V127" s="14">
        <f>IF(BAC_ARC_Daily!X25&lt;&gt;0,V114/BAC_ARC_Daily!X25,"")</f>
        <v>0</v>
      </c>
      <c r="W127" s="14">
        <f>IF(BAC_ARC_Daily!X26&lt;&gt;0,W114/BAC_ARC_Daily!X26,"")</f>
        <v>0</v>
      </c>
    </row>
    <row r="128" spans="1:23" ht="18" customHeight="1" x14ac:dyDescent="0.25">
      <c r="A128" s="11" t="str">
        <f>NGS_Archaea_Input!A14</f>
        <v>Arc_taxon_10</v>
      </c>
      <c r="B128" s="14">
        <f>IF(BAC_ARC_Daily!X5&lt;&gt;0,B115/BAC_ARC_Daily!X5,"")</f>
        <v>0</v>
      </c>
      <c r="C128" s="14">
        <f>IF(BAC_ARC_Daily!X6&lt;&gt;0,C115/BAC_ARC_Daily!X6,"")</f>
        <v>0</v>
      </c>
      <c r="D128" s="14">
        <f>IF(BAC_ARC_Daily!X7&lt;&gt;0,D115/BAC_ARC_Daily!X7,"")</f>
        <v>0</v>
      </c>
      <c r="E128" s="14">
        <f>IF(BAC_ARC_Daily!X8&lt;&gt;0,E115/BAC_ARC_Daily!X8,"")</f>
        <v>0</v>
      </c>
      <c r="F128" s="14">
        <f>IF(BAC_ARC_Daily!X9&lt;&gt;0,F115/BAC_ARC_Daily!X9,"")</f>
        <v>0</v>
      </c>
      <c r="G128" s="14">
        <f>IF(BAC_ARC_Daily!X10&lt;&gt;0,G115/BAC_ARC_Daily!X10,"")</f>
        <v>0</v>
      </c>
      <c r="H128" s="14">
        <f>IF(BAC_ARC_Daily!X11&lt;&gt;0,H115/BAC_ARC_Daily!X11,"")</f>
        <v>0</v>
      </c>
      <c r="I128" s="14">
        <f>IF(BAC_ARC_Daily!X12&lt;&gt;0,I115/BAC_ARC_Daily!X12,"")</f>
        <v>0</v>
      </c>
      <c r="J128" s="14">
        <f>IF(BAC_ARC_Daily!X13&lt;&gt;0,J115/BAC_ARC_Daily!X13,"")</f>
        <v>0</v>
      </c>
      <c r="K128" s="14">
        <f>IF(BAC_ARC_Daily!X14&lt;&gt;0,K115/BAC_ARC_Daily!X14,"")</f>
        <v>0</v>
      </c>
      <c r="L128" s="14">
        <f>IF(BAC_ARC_Daily!X15&lt;&gt;0,L115/BAC_ARC_Daily!X15,"")</f>
        <v>0</v>
      </c>
      <c r="M128" s="14">
        <f>IF(BAC_ARC_Daily!X16&lt;&gt;0,M115/BAC_ARC_Daily!X16,"")</f>
        <v>0</v>
      </c>
      <c r="N128" s="14">
        <f>IF(BAC_ARC_Daily!X17&lt;&gt;0,N115/BAC_ARC_Daily!X17,"")</f>
        <v>0</v>
      </c>
      <c r="O128" s="14">
        <f>IF(BAC_ARC_Daily!X18&lt;&gt;0,O115/BAC_ARC_Daily!X18,"")</f>
        <v>0</v>
      </c>
      <c r="P128" s="14">
        <f>IF(BAC_ARC_Daily!X19&lt;&gt;0,P115/BAC_ARC_Daily!X19,"")</f>
        <v>0</v>
      </c>
      <c r="Q128" s="14">
        <f>IF(BAC_ARC_Daily!X20&lt;&gt;0,Q115/BAC_ARC_Daily!X20,"")</f>
        <v>0</v>
      </c>
      <c r="R128" s="14">
        <f>IF(BAC_ARC_Daily!X21&lt;&gt;0,R115/BAC_ARC_Daily!X21,"")</f>
        <v>0</v>
      </c>
      <c r="S128" s="14">
        <f>IF(BAC_ARC_Daily!X22&lt;&gt;0,S115/BAC_ARC_Daily!X22,"")</f>
        <v>0</v>
      </c>
      <c r="T128" s="14">
        <f>IF(BAC_ARC_Daily!X23&lt;&gt;0,T115/BAC_ARC_Daily!X23,"")</f>
        <v>0</v>
      </c>
      <c r="U128" s="14">
        <f>IF(BAC_ARC_Daily!X24&lt;&gt;0,U115/BAC_ARC_Daily!X24,"")</f>
        <v>0</v>
      </c>
      <c r="V128" s="14">
        <f>IF(BAC_ARC_Daily!X25&lt;&gt;0,V115/BAC_ARC_Daily!X25,"")</f>
        <v>0</v>
      </c>
      <c r="W128" s="14">
        <f>IF(BAC_ARC_Daily!X26&lt;&gt;0,W115/BAC_ARC_Daily!X26,"")</f>
        <v>0</v>
      </c>
    </row>
    <row r="129" spans="1:23" ht="18" customHeight="1" x14ac:dyDescent="0.25">
      <c r="A129" s="11" t="str">
        <f>NGS_Archaea_Input!A15</f>
        <v>Others</v>
      </c>
      <c r="B129" s="14">
        <f>IF(BAC_ARC_Daily!X5&lt;&gt;0,B116/BAC_ARC_Daily!X5,"")</f>
        <v>1</v>
      </c>
      <c r="C129" s="14">
        <f>IF(BAC_ARC_Daily!X6&lt;&gt;0,C116/BAC_ARC_Daily!X6,"")</f>
        <v>1</v>
      </c>
      <c r="D129" s="14">
        <f>IF(BAC_ARC_Daily!X7&lt;&gt;0,D116/BAC_ARC_Daily!X7,"")</f>
        <v>1</v>
      </c>
      <c r="E129" s="14">
        <f>IF(BAC_ARC_Daily!X8&lt;&gt;0,E116/BAC_ARC_Daily!X8,"")</f>
        <v>1</v>
      </c>
      <c r="F129" s="14">
        <f>IF(BAC_ARC_Daily!X9&lt;&gt;0,F116/BAC_ARC_Daily!X9,"")</f>
        <v>1</v>
      </c>
      <c r="G129" s="14">
        <f>IF(BAC_ARC_Daily!X10&lt;&gt;0,G116/BAC_ARC_Daily!X10,"")</f>
        <v>1</v>
      </c>
      <c r="H129" s="14">
        <f>IF(BAC_ARC_Daily!X11&lt;&gt;0,H116/BAC_ARC_Daily!X11,"")</f>
        <v>1</v>
      </c>
      <c r="I129" s="14">
        <f>IF(BAC_ARC_Daily!X12&lt;&gt;0,I116/BAC_ARC_Daily!X12,"")</f>
        <v>1</v>
      </c>
      <c r="J129" s="14">
        <f>IF(BAC_ARC_Daily!X13&lt;&gt;0,J116/BAC_ARC_Daily!X13,"")</f>
        <v>1</v>
      </c>
      <c r="K129" s="14">
        <f>IF(BAC_ARC_Daily!X14&lt;&gt;0,K116/BAC_ARC_Daily!X14,"")</f>
        <v>1</v>
      </c>
      <c r="L129" s="14">
        <f>IF(BAC_ARC_Daily!X15&lt;&gt;0,L116/BAC_ARC_Daily!X15,"")</f>
        <v>1</v>
      </c>
      <c r="M129" s="14">
        <f>IF(BAC_ARC_Daily!X16&lt;&gt;0,M116/BAC_ARC_Daily!X16,"")</f>
        <v>1</v>
      </c>
      <c r="N129" s="14">
        <f>IF(BAC_ARC_Daily!X17&lt;&gt;0,N116/BAC_ARC_Daily!X17,"")</f>
        <v>1</v>
      </c>
      <c r="O129" s="14">
        <f>IF(BAC_ARC_Daily!X18&lt;&gt;0,O116/BAC_ARC_Daily!X18,"")</f>
        <v>1</v>
      </c>
      <c r="P129" s="14">
        <f>IF(BAC_ARC_Daily!X19&lt;&gt;0,P116/BAC_ARC_Daily!X19,"")</f>
        <v>1</v>
      </c>
      <c r="Q129" s="14">
        <f>IF(BAC_ARC_Daily!X20&lt;&gt;0,Q116/BAC_ARC_Daily!X20,"")</f>
        <v>1</v>
      </c>
      <c r="R129" s="14">
        <f>IF(BAC_ARC_Daily!X21&lt;&gt;0,R116/BAC_ARC_Daily!X21,"")</f>
        <v>1</v>
      </c>
      <c r="S129" s="14">
        <f>IF(BAC_ARC_Daily!X22&lt;&gt;0,S116/BAC_ARC_Daily!X22,"")</f>
        <v>1</v>
      </c>
      <c r="T129" s="14">
        <f>IF(BAC_ARC_Daily!X23&lt;&gt;0,T116/BAC_ARC_Daily!X23,"")</f>
        <v>1</v>
      </c>
      <c r="U129" s="14">
        <f>IF(BAC_ARC_Daily!X24&lt;&gt;0,U116/BAC_ARC_Daily!X24,"")</f>
        <v>1</v>
      </c>
      <c r="V129" s="14">
        <f>IF(BAC_ARC_Daily!X25&lt;&gt;0,V116/BAC_ARC_Daily!X25,"")</f>
        <v>1</v>
      </c>
      <c r="W129" s="14">
        <f>IF(BAC_ARC_Daily!X26&lt;&gt;0,W116/BAC_ARC_Daily!X26,"")</f>
        <v>1</v>
      </c>
    </row>
    <row r="130" spans="1:23" ht="18" customHeight="1" x14ac:dyDescent="0.25"/>
    <row r="131" spans="1:23" ht="18" customHeight="1" x14ac:dyDescent="0.25"/>
    <row r="132" spans="1:23" ht="18" customHeight="1" x14ac:dyDescent="0.25">
      <c r="A132" s="29" t="s">
        <v>56</v>
      </c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</row>
    <row r="133" spans="1:23" ht="18" customHeight="1" x14ac:dyDescent="0.25">
      <c r="A133" s="25" t="s">
        <v>161</v>
      </c>
    </row>
    <row r="134" spans="1:23" ht="18" customHeight="1" x14ac:dyDescent="0.25">
      <c r="A134" s="11" t="str">
        <f>NGS_Archaea_Input!A5</f>
        <v>Arc_taxon_1</v>
      </c>
      <c r="B134" s="21">
        <f>IF(Inputs!$H$39="","",Inputs!$H$39*NGS_Archaea_Input!$H$5)</f>
        <v>0</v>
      </c>
      <c r="C134" s="21">
        <f>IF(B134="","",B134+Inputs!$B$5/Inputs!$B$16*(Inputs!$C$16*(Inputs!$C$29*NGS_Archaea_Input!$B$5-B134)+Inputs!$D$16*(B5-B134)+Inputs!$E$16*(Inputs!$D$29*NGS_Archaea_Input!$C$5-B134)))</f>
        <v>0</v>
      </c>
      <c r="D134" s="21">
        <f>IF(C134="","",C134+Inputs!$B$5/Inputs!$B$16*(Inputs!$C$16*(Inputs!$C$29*NGS_Archaea_Input!$B$5-C134)+Inputs!$D$16*(C5-C134)+Inputs!$E$16*(Inputs!$D$29*NGS_Archaea_Input!$C$5-C134)))</f>
        <v>0</v>
      </c>
      <c r="E134" s="21">
        <f>IF(D134="","",D134+Inputs!$B$5/Inputs!$B$16*(Inputs!$C$16*(Inputs!$C$29*NGS_Archaea_Input!$B$5-D134)+Inputs!$D$16*(D5-D134)+Inputs!$E$16*(Inputs!$D$29*NGS_Archaea_Input!$C$5-D134)))</f>
        <v>0</v>
      </c>
      <c r="F134" s="21">
        <f>IF(E134="","",E134+Inputs!$B$5/Inputs!$B$16*(Inputs!$C$16*(Inputs!$C$29*NGS_Archaea_Input!$B$5-E134)+Inputs!$D$16*(E5-E134)+Inputs!$E$16*(Inputs!$D$29*NGS_Archaea_Input!$C$5-E134)))</f>
        <v>0</v>
      </c>
      <c r="G134" s="21">
        <f>IF(F134="","",F134+Inputs!$B$5/Inputs!$B$16*(Inputs!$C$16*(Inputs!$C$29*NGS_Archaea_Input!$B$5-F134)+Inputs!$D$16*(F5-F134)+Inputs!$E$16*(Inputs!$D$29*NGS_Archaea_Input!$C$5-F134)))</f>
        <v>0</v>
      </c>
      <c r="H134" s="21">
        <f>IF(G134="","",G134+Inputs!$B$5/Inputs!$B$16*(Inputs!$C$16*(Inputs!$C$29*NGS_Archaea_Input!$B$5-G134)+Inputs!$D$16*(G5-G134)+Inputs!$E$16*(Inputs!$D$29*NGS_Archaea_Input!$C$5-G134)))</f>
        <v>0</v>
      </c>
      <c r="I134" s="21">
        <f>IF(H134="","",H134+Inputs!$B$5/Inputs!$B$16*(Inputs!$C$16*(Inputs!$C$29*NGS_Archaea_Input!$B$5-H134)+Inputs!$D$16*(H5-H134)+Inputs!$E$16*(Inputs!$D$29*NGS_Archaea_Input!$C$5-H134)))</f>
        <v>0</v>
      </c>
      <c r="J134" s="21">
        <f>IF(I134="","",I134+Inputs!$B$5/Inputs!$B$16*(Inputs!$C$16*(Inputs!$C$29*NGS_Archaea_Input!$B$5-I134)+Inputs!$D$16*(I5-I134)+Inputs!$E$16*(Inputs!$D$29*NGS_Archaea_Input!$C$5-I134)))</f>
        <v>0</v>
      </c>
      <c r="K134" s="21">
        <f>IF(J134="","",J134+Inputs!$B$5/Inputs!$B$16*(Inputs!$C$16*(Inputs!$C$29*NGS_Archaea_Input!$B$5-J134)+Inputs!$D$16*(J5-J134)+Inputs!$E$16*(Inputs!$D$29*NGS_Archaea_Input!$C$5-J134)))</f>
        <v>0</v>
      </c>
      <c r="L134" s="21">
        <f>IF(K134="","",K134+Inputs!$B$5/Inputs!$B$16*(Inputs!$C$16*(Inputs!$C$29*NGS_Archaea_Input!$B$5-K134)+Inputs!$D$16*(K5-K134)+Inputs!$E$16*(Inputs!$D$29*NGS_Archaea_Input!$C$5-K134)))</f>
        <v>0</v>
      </c>
      <c r="M134" s="21">
        <f>IF(L134="","",L134+Inputs!$B$5/Inputs!$B$16*(Inputs!$C$16*(Inputs!$C$29*NGS_Archaea_Input!$B$5-L134)+Inputs!$D$16*(L5-L134)+Inputs!$E$16*(Inputs!$D$29*NGS_Archaea_Input!$C$5-L134)))</f>
        <v>0</v>
      </c>
      <c r="N134" s="21">
        <f>IF(M134="","",M134+Inputs!$B$5/Inputs!$B$16*(Inputs!$C$16*(Inputs!$C$29*NGS_Archaea_Input!$B$5-M134)+Inputs!$D$16*(M5-M134)+Inputs!$E$16*(Inputs!$D$29*NGS_Archaea_Input!$C$5-M134)))</f>
        <v>0</v>
      </c>
      <c r="O134" s="21">
        <f>IF(N134="","",N134+Inputs!$B$5/Inputs!$B$16*(Inputs!$C$16*(Inputs!$C$29*NGS_Archaea_Input!$B$5-N134)+Inputs!$D$16*(N5-N134)+Inputs!$E$16*(Inputs!$D$29*NGS_Archaea_Input!$C$5-N134)))</f>
        <v>0</v>
      </c>
      <c r="P134" s="21">
        <f>IF(O134="","",O134+Inputs!$B$5/Inputs!$B$16*(Inputs!$C$16*(Inputs!$C$29*NGS_Archaea_Input!$B$5-O134)+Inputs!$D$16*(O5-O134)+Inputs!$E$16*(Inputs!$D$29*NGS_Archaea_Input!$C$5-O134)))</f>
        <v>0</v>
      </c>
      <c r="Q134" s="21">
        <f>IF(P134="","",P134+Inputs!$B$5/Inputs!$B$16*(Inputs!$C$16*(Inputs!$C$29*NGS_Archaea_Input!$B$5-P134)+Inputs!$D$16*(P5-P134)+Inputs!$E$16*(Inputs!$D$29*NGS_Archaea_Input!$C$5-P134)))</f>
        <v>0</v>
      </c>
      <c r="R134" s="21">
        <f>IF(Q134="","",Q134+Inputs!$B$5/Inputs!$B$16*(Inputs!$C$16*(Inputs!$C$29*NGS_Archaea_Input!$B$5-Q134)+Inputs!$D$16*(Q5-Q134)+Inputs!$E$16*(Inputs!$D$29*NGS_Archaea_Input!$C$5-Q134)))</f>
        <v>0</v>
      </c>
      <c r="S134" s="21">
        <f>IF(R134="","",R134+Inputs!$B$5/Inputs!$B$16*(Inputs!$C$16*(Inputs!$C$29*NGS_Archaea_Input!$B$5-R134)+Inputs!$D$16*(R5-R134)+Inputs!$E$16*(Inputs!$D$29*NGS_Archaea_Input!$C$5-R134)))</f>
        <v>0</v>
      </c>
      <c r="T134" s="21">
        <f>IF(S134="","",S134+Inputs!$B$5/Inputs!$B$16*(Inputs!$C$16*(Inputs!$C$29*NGS_Archaea_Input!$B$5-S134)+Inputs!$D$16*(S5-S134)+Inputs!$E$16*(Inputs!$D$29*NGS_Archaea_Input!$C$5-S134)))</f>
        <v>0</v>
      </c>
      <c r="U134" s="21">
        <f>IF(T134="","",T134+Inputs!$B$5/Inputs!$B$16*(Inputs!$C$16*(Inputs!$C$29*NGS_Archaea_Input!$B$5-T134)+Inputs!$D$16*(T5-T134)+Inputs!$E$16*(Inputs!$D$29*NGS_Archaea_Input!$C$5-T134)))</f>
        <v>0</v>
      </c>
      <c r="V134" s="21">
        <f>IF(U134="","",U134+Inputs!$B$5/Inputs!$B$16*(Inputs!$C$16*(Inputs!$C$29*NGS_Archaea_Input!$B$5-U134)+Inputs!$D$16*(U5-U134)+Inputs!$E$16*(Inputs!$D$29*NGS_Archaea_Input!$C$5-U134)))</f>
        <v>0</v>
      </c>
      <c r="W134" s="21">
        <f>IF(V134="","",V134+Inputs!$B$5/Inputs!$B$16*(Inputs!$C$16*(Inputs!$C$29*NGS_Archaea_Input!$B$5-V134)+Inputs!$D$16*(V5-V134)+Inputs!$E$16*(Inputs!$D$29*NGS_Archaea_Input!$C$5-V134)))</f>
        <v>0</v>
      </c>
    </row>
    <row r="135" spans="1:23" ht="18" customHeight="1" x14ac:dyDescent="0.25">
      <c r="A135" s="11" t="str">
        <f>NGS_Archaea_Input!A6</f>
        <v>Arc_taxon_2</v>
      </c>
      <c r="B135" s="21">
        <f>IF(Inputs!$H$39="","",Inputs!$H$39*NGS_Archaea_Input!$H$6)</f>
        <v>0</v>
      </c>
      <c r="C135" s="21">
        <f>IF(B135="","",B135+Inputs!$B$5/Inputs!$B$16*(Inputs!$C$16*(Inputs!$C$29*NGS_Archaea_Input!$B$6-B135)+Inputs!$D$16*(B6-B135)+Inputs!$E$16*(Inputs!$D$29*NGS_Archaea_Input!$C$6-B135)))</f>
        <v>0</v>
      </c>
      <c r="D135" s="21">
        <f>IF(C135="","",C135+Inputs!$B$5/Inputs!$B$16*(Inputs!$C$16*(Inputs!$C$29*NGS_Archaea_Input!$B$6-C135)+Inputs!$D$16*(C6-C135)+Inputs!$E$16*(Inputs!$D$29*NGS_Archaea_Input!$C$6-C135)))</f>
        <v>0</v>
      </c>
      <c r="E135" s="21">
        <f>IF(D135="","",D135+Inputs!$B$5/Inputs!$B$16*(Inputs!$C$16*(Inputs!$C$29*NGS_Archaea_Input!$B$6-D135)+Inputs!$D$16*(D6-D135)+Inputs!$E$16*(Inputs!$D$29*NGS_Archaea_Input!$C$6-D135)))</f>
        <v>0</v>
      </c>
      <c r="F135" s="21">
        <f>IF(E135="","",E135+Inputs!$B$5/Inputs!$B$16*(Inputs!$C$16*(Inputs!$C$29*NGS_Archaea_Input!$B$6-E135)+Inputs!$D$16*(E6-E135)+Inputs!$E$16*(Inputs!$D$29*NGS_Archaea_Input!$C$6-E135)))</f>
        <v>0</v>
      </c>
      <c r="G135" s="21">
        <f>IF(F135="","",F135+Inputs!$B$5/Inputs!$B$16*(Inputs!$C$16*(Inputs!$C$29*NGS_Archaea_Input!$B$6-F135)+Inputs!$D$16*(F6-F135)+Inputs!$E$16*(Inputs!$D$29*NGS_Archaea_Input!$C$6-F135)))</f>
        <v>0</v>
      </c>
      <c r="H135" s="21">
        <f>IF(G135="","",G135+Inputs!$B$5/Inputs!$B$16*(Inputs!$C$16*(Inputs!$C$29*NGS_Archaea_Input!$B$6-G135)+Inputs!$D$16*(G6-G135)+Inputs!$E$16*(Inputs!$D$29*NGS_Archaea_Input!$C$6-G135)))</f>
        <v>0</v>
      </c>
      <c r="I135" s="21">
        <f>IF(H135="","",H135+Inputs!$B$5/Inputs!$B$16*(Inputs!$C$16*(Inputs!$C$29*NGS_Archaea_Input!$B$6-H135)+Inputs!$D$16*(H6-H135)+Inputs!$E$16*(Inputs!$D$29*NGS_Archaea_Input!$C$6-H135)))</f>
        <v>0</v>
      </c>
      <c r="J135" s="21">
        <f>IF(I135="","",I135+Inputs!$B$5/Inputs!$B$16*(Inputs!$C$16*(Inputs!$C$29*NGS_Archaea_Input!$B$6-I135)+Inputs!$D$16*(I6-I135)+Inputs!$E$16*(Inputs!$D$29*NGS_Archaea_Input!$C$6-I135)))</f>
        <v>0</v>
      </c>
      <c r="K135" s="21">
        <f>IF(J135="","",J135+Inputs!$B$5/Inputs!$B$16*(Inputs!$C$16*(Inputs!$C$29*NGS_Archaea_Input!$B$6-J135)+Inputs!$D$16*(J6-J135)+Inputs!$E$16*(Inputs!$D$29*NGS_Archaea_Input!$C$6-J135)))</f>
        <v>0</v>
      </c>
      <c r="L135" s="21">
        <f>IF(K135="","",K135+Inputs!$B$5/Inputs!$B$16*(Inputs!$C$16*(Inputs!$C$29*NGS_Archaea_Input!$B$6-K135)+Inputs!$D$16*(K6-K135)+Inputs!$E$16*(Inputs!$D$29*NGS_Archaea_Input!$C$6-K135)))</f>
        <v>0</v>
      </c>
      <c r="M135" s="21">
        <f>IF(L135="","",L135+Inputs!$B$5/Inputs!$B$16*(Inputs!$C$16*(Inputs!$C$29*NGS_Archaea_Input!$B$6-L135)+Inputs!$D$16*(L6-L135)+Inputs!$E$16*(Inputs!$D$29*NGS_Archaea_Input!$C$6-L135)))</f>
        <v>0</v>
      </c>
      <c r="N135" s="21">
        <f>IF(M135="","",M135+Inputs!$B$5/Inputs!$B$16*(Inputs!$C$16*(Inputs!$C$29*NGS_Archaea_Input!$B$6-M135)+Inputs!$D$16*(M6-M135)+Inputs!$E$16*(Inputs!$D$29*NGS_Archaea_Input!$C$6-M135)))</f>
        <v>0</v>
      </c>
      <c r="O135" s="21">
        <f>IF(N135="","",N135+Inputs!$B$5/Inputs!$B$16*(Inputs!$C$16*(Inputs!$C$29*NGS_Archaea_Input!$B$6-N135)+Inputs!$D$16*(N6-N135)+Inputs!$E$16*(Inputs!$D$29*NGS_Archaea_Input!$C$6-N135)))</f>
        <v>0</v>
      </c>
      <c r="P135" s="21">
        <f>IF(O135="","",O135+Inputs!$B$5/Inputs!$B$16*(Inputs!$C$16*(Inputs!$C$29*NGS_Archaea_Input!$B$6-O135)+Inputs!$D$16*(O6-O135)+Inputs!$E$16*(Inputs!$D$29*NGS_Archaea_Input!$C$6-O135)))</f>
        <v>0</v>
      </c>
      <c r="Q135" s="21">
        <f>IF(P135="","",P135+Inputs!$B$5/Inputs!$B$16*(Inputs!$C$16*(Inputs!$C$29*NGS_Archaea_Input!$B$6-P135)+Inputs!$D$16*(P6-P135)+Inputs!$E$16*(Inputs!$D$29*NGS_Archaea_Input!$C$6-P135)))</f>
        <v>0</v>
      </c>
      <c r="R135" s="21">
        <f>IF(Q135="","",Q135+Inputs!$B$5/Inputs!$B$16*(Inputs!$C$16*(Inputs!$C$29*NGS_Archaea_Input!$B$6-Q135)+Inputs!$D$16*(Q6-Q135)+Inputs!$E$16*(Inputs!$D$29*NGS_Archaea_Input!$C$6-Q135)))</f>
        <v>0</v>
      </c>
      <c r="S135" s="21">
        <f>IF(R135="","",R135+Inputs!$B$5/Inputs!$B$16*(Inputs!$C$16*(Inputs!$C$29*NGS_Archaea_Input!$B$6-R135)+Inputs!$D$16*(R6-R135)+Inputs!$E$16*(Inputs!$D$29*NGS_Archaea_Input!$C$6-R135)))</f>
        <v>0</v>
      </c>
      <c r="T135" s="21">
        <f>IF(S135="","",S135+Inputs!$B$5/Inputs!$B$16*(Inputs!$C$16*(Inputs!$C$29*NGS_Archaea_Input!$B$6-S135)+Inputs!$D$16*(S6-S135)+Inputs!$E$16*(Inputs!$D$29*NGS_Archaea_Input!$C$6-S135)))</f>
        <v>0</v>
      </c>
      <c r="U135" s="21">
        <f>IF(T135="","",T135+Inputs!$B$5/Inputs!$B$16*(Inputs!$C$16*(Inputs!$C$29*NGS_Archaea_Input!$B$6-T135)+Inputs!$D$16*(T6-T135)+Inputs!$E$16*(Inputs!$D$29*NGS_Archaea_Input!$C$6-T135)))</f>
        <v>0</v>
      </c>
      <c r="V135" s="21">
        <f>IF(U135="","",U135+Inputs!$B$5/Inputs!$B$16*(Inputs!$C$16*(Inputs!$C$29*NGS_Archaea_Input!$B$6-U135)+Inputs!$D$16*(U6-U135)+Inputs!$E$16*(Inputs!$D$29*NGS_Archaea_Input!$C$6-U135)))</f>
        <v>0</v>
      </c>
      <c r="W135" s="21">
        <f>IF(V135="","",V135+Inputs!$B$5/Inputs!$B$16*(Inputs!$C$16*(Inputs!$C$29*NGS_Archaea_Input!$B$6-V135)+Inputs!$D$16*(V6-V135)+Inputs!$E$16*(Inputs!$D$29*NGS_Archaea_Input!$C$6-V135)))</f>
        <v>0</v>
      </c>
    </row>
    <row r="136" spans="1:23" ht="18" customHeight="1" x14ac:dyDescent="0.25">
      <c r="A136" s="11" t="str">
        <f>NGS_Archaea_Input!A7</f>
        <v>Arc_taxon_3</v>
      </c>
      <c r="B136" s="21">
        <f>IF(Inputs!$H$39="","",Inputs!$H$39*NGS_Archaea_Input!$H$7)</f>
        <v>0</v>
      </c>
      <c r="C136" s="21">
        <f>IF(B136="","",B136+Inputs!$B$5/Inputs!$B$16*(Inputs!$C$16*(Inputs!$C$29*NGS_Archaea_Input!$B$7-B136)+Inputs!$D$16*(B7-B136)+Inputs!$E$16*(Inputs!$D$29*NGS_Archaea_Input!$C$7-B136)))</f>
        <v>0</v>
      </c>
      <c r="D136" s="21">
        <f>IF(C136="","",C136+Inputs!$B$5/Inputs!$B$16*(Inputs!$C$16*(Inputs!$C$29*NGS_Archaea_Input!$B$7-C136)+Inputs!$D$16*(C7-C136)+Inputs!$E$16*(Inputs!$D$29*NGS_Archaea_Input!$C$7-C136)))</f>
        <v>0</v>
      </c>
      <c r="E136" s="21">
        <f>IF(D136="","",D136+Inputs!$B$5/Inputs!$B$16*(Inputs!$C$16*(Inputs!$C$29*NGS_Archaea_Input!$B$7-D136)+Inputs!$D$16*(D7-D136)+Inputs!$E$16*(Inputs!$D$29*NGS_Archaea_Input!$C$7-D136)))</f>
        <v>0</v>
      </c>
      <c r="F136" s="21">
        <f>IF(E136="","",E136+Inputs!$B$5/Inputs!$B$16*(Inputs!$C$16*(Inputs!$C$29*NGS_Archaea_Input!$B$7-E136)+Inputs!$D$16*(E7-E136)+Inputs!$E$16*(Inputs!$D$29*NGS_Archaea_Input!$C$7-E136)))</f>
        <v>0</v>
      </c>
      <c r="G136" s="21">
        <f>IF(F136="","",F136+Inputs!$B$5/Inputs!$B$16*(Inputs!$C$16*(Inputs!$C$29*NGS_Archaea_Input!$B$7-F136)+Inputs!$D$16*(F7-F136)+Inputs!$E$16*(Inputs!$D$29*NGS_Archaea_Input!$C$7-F136)))</f>
        <v>0</v>
      </c>
      <c r="H136" s="21">
        <f>IF(G136="","",G136+Inputs!$B$5/Inputs!$B$16*(Inputs!$C$16*(Inputs!$C$29*NGS_Archaea_Input!$B$7-G136)+Inputs!$D$16*(G7-G136)+Inputs!$E$16*(Inputs!$D$29*NGS_Archaea_Input!$C$7-G136)))</f>
        <v>0</v>
      </c>
      <c r="I136" s="21">
        <f>IF(H136="","",H136+Inputs!$B$5/Inputs!$B$16*(Inputs!$C$16*(Inputs!$C$29*NGS_Archaea_Input!$B$7-H136)+Inputs!$D$16*(H7-H136)+Inputs!$E$16*(Inputs!$D$29*NGS_Archaea_Input!$C$7-H136)))</f>
        <v>0</v>
      </c>
      <c r="J136" s="21">
        <f>IF(I136="","",I136+Inputs!$B$5/Inputs!$B$16*(Inputs!$C$16*(Inputs!$C$29*NGS_Archaea_Input!$B$7-I136)+Inputs!$D$16*(I7-I136)+Inputs!$E$16*(Inputs!$D$29*NGS_Archaea_Input!$C$7-I136)))</f>
        <v>0</v>
      </c>
      <c r="K136" s="21">
        <f>IF(J136="","",J136+Inputs!$B$5/Inputs!$B$16*(Inputs!$C$16*(Inputs!$C$29*NGS_Archaea_Input!$B$7-J136)+Inputs!$D$16*(J7-J136)+Inputs!$E$16*(Inputs!$D$29*NGS_Archaea_Input!$C$7-J136)))</f>
        <v>0</v>
      </c>
      <c r="L136" s="21">
        <f>IF(K136="","",K136+Inputs!$B$5/Inputs!$B$16*(Inputs!$C$16*(Inputs!$C$29*NGS_Archaea_Input!$B$7-K136)+Inputs!$D$16*(K7-K136)+Inputs!$E$16*(Inputs!$D$29*NGS_Archaea_Input!$C$7-K136)))</f>
        <v>0</v>
      </c>
      <c r="M136" s="21">
        <f>IF(L136="","",L136+Inputs!$B$5/Inputs!$B$16*(Inputs!$C$16*(Inputs!$C$29*NGS_Archaea_Input!$B$7-L136)+Inputs!$D$16*(L7-L136)+Inputs!$E$16*(Inputs!$D$29*NGS_Archaea_Input!$C$7-L136)))</f>
        <v>0</v>
      </c>
      <c r="N136" s="21">
        <f>IF(M136="","",M136+Inputs!$B$5/Inputs!$B$16*(Inputs!$C$16*(Inputs!$C$29*NGS_Archaea_Input!$B$7-M136)+Inputs!$D$16*(M7-M136)+Inputs!$E$16*(Inputs!$D$29*NGS_Archaea_Input!$C$7-M136)))</f>
        <v>0</v>
      </c>
      <c r="O136" s="21">
        <f>IF(N136="","",N136+Inputs!$B$5/Inputs!$B$16*(Inputs!$C$16*(Inputs!$C$29*NGS_Archaea_Input!$B$7-N136)+Inputs!$D$16*(N7-N136)+Inputs!$E$16*(Inputs!$D$29*NGS_Archaea_Input!$C$7-N136)))</f>
        <v>0</v>
      </c>
      <c r="P136" s="21">
        <f>IF(O136="","",O136+Inputs!$B$5/Inputs!$B$16*(Inputs!$C$16*(Inputs!$C$29*NGS_Archaea_Input!$B$7-O136)+Inputs!$D$16*(O7-O136)+Inputs!$E$16*(Inputs!$D$29*NGS_Archaea_Input!$C$7-O136)))</f>
        <v>0</v>
      </c>
      <c r="Q136" s="21">
        <f>IF(P136="","",P136+Inputs!$B$5/Inputs!$B$16*(Inputs!$C$16*(Inputs!$C$29*NGS_Archaea_Input!$B$7-P136)+Inputs!$D$16*(P7-P136)+Inputs!$E$16*(Inputs!$D$29*NGS_Archaea_Input!$C$7-P136)))</f>
        <v>0</v>
      </c>
      <c r="R136" s="21">
        <f>IF(Q136="","",Q136+Inputs!$B$5/Inputs!$B$16*(Inputs!$C$16*(Inputs!$C$29*NGS_Archaea_Input!$B$7-Q136)+Inputs!$D$16*(Q7-Q136)+Inputs!$E$16*(Inputs!$D$29*NGS_Archaea_Input!$C$7-Q136)))</f>
        <v>0</v>
      </c>
      <c r="S136" s="21">
        <f>IF(R136="","",R136+Inputs!$B$5/Inputs!$B$16*(Inputs!$C$16*(Inputs!$C$29*NGS_Archaea_Input!$B$7-R136)+Inputs!$D$16*(R7-R136)+Inputs!$E$16*(Inputs!$D$29*NGS_Archaea_Input!$C$7-R136)))</f>
        <v>0</v>
      </c>
      <c r="T136" s="21">
        <f>IF(S136="","",S136+Inputs!$B$5/Inputs!$B$16*(Inputs!$C$16*(Inputs!$C$29*NGS_Archaea_Input!$B$7-S136)+Inputs!$D$16*(S7-S136)+Inputs!$E$16*(Inputs!$D$29*NGS_Archaea_Input!$C$7-S136)))</f>
        <v>0</v>
      </c>
      <c r="U136" s="21">
        <f>IF(T136="","",T136+Inputs!$B$5/Inputs!$B$16*(Inputs!$C$16*(Inputs!$C$29*NGS_Archaea_Input!$B$7-T136)+Inputs!$D$16*(T7-T136)+Inputs!$E$16*(Inputs!$D$29*NGS_Archaea_Input!$C$7-T136)))</f>
        <v>0</v>
      </c>
      <c r="V136" s="21">
        <f>IF(U136="","",U136+Inputs!$B$5/Inputs!$B$16*(Inputs!$C$16*(Inputs!$C$29*NGS_Archaea_Input!$B$7-U136)+Inputs!$D$16*(U7-U136)+Inputs!$E$16*(Inputs!$D$29*NGS_Archaea_Input!$C$7-U136)))</f>
        <v>0</v>
      </c>
      <c r="W136" s="21">
        <f>IF(V136="","",V136+Inputs!$B$5/Inputs!$B$16*(Inputs!$C$16*(Inputs!$C$29*NGS_Archaea_Input!$B$7-V136)+Inputs!$D$16*(V7-V136)+Inputs!$E$16*(Inputs!$D$29*NGS_Archaea_Input!$C$7-V136)))</f>
        <v>0</v>
      </c>
    </row>
    <row r="137" spans="1:23" ht="18" customHeight="1" x14ac:dyDescent="0.25">
      <c r="A137" s="11" t="str">
        <f>NGS_Archaea_Input!A8</f>
        <v>Arc_taxon_4</v>
      </c>
      <c r="B137" s="21">
        <f>IF(Inputs!$H$39="","",Inputs!$H$39*NGS_Archaea_Input!$H$8)</f>
        <v>0</v>
      </c>
      <c r="C137" s="21">
        <f>IF(B137="","",B137+Inputs!$B$5/Inputs!$B$16*(Inputs!$C$16*(Inputs!$C$29*NGS_Archaea_Input!$B$8-B137)+Inputs!$D$16*(B8-B137)+Inputs!$E$16*(Inputs!$D$29*NGS_Archaea_Input!$C$8-B137)))</f>
        <v>0</v>
      </c>
      <c r="D137" s="21">
        <f>IF(C137="","",C137+Inputs!$B$5/Inputs!$B$16*(Inputs!$C$16*(Inputs!$C$29*NGS_Archaea_Input!$B$8-C137)+Inputs!$D$16*(C8-C137)+Inputs!$E$16*(Inputs!$D$29*NGS_Archaea_Input!$C$8-C137)))</f>
        <v>0</v>
      </c>
      <c r="E137" s="21">
        <f>IF(D137="","",D137+Inputs!$B$5/Inputs!$B$16*(Inputs!$C$16*(Inputs!$C$29*NGS_Archaea_Input!$B$8-D137)+Inputs!$D$16*(D8-D137)+Inputs!$E$16*(Inputs!$D$29*NGS_Archaea_Input!$C$8-D137)))</f>
        <v>0</v>
      </c>
      <c r="F137" s="21">
        <f>IF(E137="","",E137+Inputs!$B$5/Inputs!$B$16*(Inputs!$C$16*(Inputs!$C$29*NGS_Archaea_Input!$B$8-E137)+Inputs!$D$16*(E8-E137)+Inputs!$E$16*(Inputs!$D$29*NGS_Archaea_Input!$C$8-E137)))</f>
        <v>0</v>
      </c>
      <c r="G137" s="21">
        <f>IF(F137="","",F137+Inputs!$B$5/Inputs!$B$16*(Inputs!$C$16*(Inputs!$C$29*NGS_Archaea_Input!$B$8-F137)+Inputs!$D$16*(F8-F137)+Inputs!$E$16*(Inputs!$D$29*NGS_Archaea_Input!$C$8-F137)))</f>
        <v>0</v>
      </c>
      <c r="H137" s="21">
        <f>IF(G137="","",G137+Inputs!$B$5/Inputs!$B$16*(Inputs!$C$16*(Inputs!$C$29*NGS_Archaea_Input!$B$8-G137)+Inputs!$D$16*(G8-G137)+Inputs!$E$16*(Inputs!$D$29*NGS_Archaea_Input!$C$8-G137)))</f>
        <v>0</v>
      </c>
      <c r="I137" s="21">
        <f>IF(H137="","",H137+Inputs!$B$5/Inputs!$B$16*(Inputs!$C$16*(Inputs!$C$29*NGS_Archaea_Input!$B$8-H137)+Inputs!$D$16*(H8-H137)+Inputs!$E$16*(Inputs!$D$29*NGS_Archaea_Input!$C$8-H137)))</f>
        <v>0</v>
      </c>
      <c r="J137" s="21">
        <f>IF(I137="","",I137+Inputs!$B$5/Inputs!$B$16*(Inputs!$C$16*(Inputs!$C$29*NGS_Archaea_Input!$B$8-I137)+Inputs!$D$16*(I8-I137)+Inputs!$E$16*(Inputs!$D$29*NGS_Archaea_Input!$C$8-I137)))</f>
        <v>0</v>
      </c>
      <c r="K137" s="21">
        <f>IF(J137="","",J137+Inputs!$B$5/Inputs!$B$16*(Inputs!$C$16*(Inputs!$C$29*NGS_Archaea_Input!$B$8-J137)+Inputs!$D$16*(J8-J137)+Inputs!$E$16*(Inputs!$D$29*NGS_Archaea_Input!$C$8-J137)))</f>
        <v>0</v>
      </c>
      <c r="L137" s="21">
        <f>IF(K137="","",K137+Inputs!$B$5/Inputs!$B$16*(Inputs!$C$16*(Inputs!$C$29*NGS_Archaea_Input!$B$8-K137)+Inputs!$D$16*(K8-K137)+Inputs!$E$16*(Inputs!$D$29*NGS_Archaea_Input!$C$8-K137)))</f>
        <v>0</v>
      </c>
      <c r="M137" s="21">
        <f>IF(L137="","",L137+Inputs!$B$5/Inputs!$B$16*(Inputs!$C$16*(Inputs!$C$29*NGS_Archaea_Input!$B$8-L137)+Inputs!$D$16*(L8-L137)+Inputs!$E$16*(Inputs!$D$29*NGS_Archaea_Input!$C$8-L137)))</f>
        <v>0</v>
      </c>
      <c r="N137" s="21">
        <f>IF(M137="","",M137+Inputs!$B$5/Inputs!$B$16*(Inputs!$C$16*(Inputs!$C$29*NGS_Archaea_Input!$B$8-M137)+Inputs!$D$16*(M8-M137)+Inputs!$E$16*(Inputs!$D$29*NGS_Archaea_Input!$C$8-M137)))</f>
        <v>0</v>
      </c>
      <c r="O137" s="21">
        <f>IF(N137="","",N137+Inputs!$B$5/Inputs!$B$16*(Inputs!$C$16*(Inputs!$C$29*NGS_Archaea_Input!$B$8-N137)+Inputs!$D$16*(N8-N137)+Inputs!$E$16*(Inputs!$D$29*NGS_Archaea_Input!$C$8-N137)))</f>
        <v>0</v>
      </c>
      <c r="P137" s="21">
        <f>IF(O137="","",O137+Inputs!$B$5/Inputs!$B$16*(Inputs!$C$16*(Inputs!$C$29*NGS_Archaea_Input!$B$8-O137)+Inputs!$D$16*(O8-O137)+Inputs!$E$16*(Inputs!$D$29*NGS_Archaea_Input!$C$8-O137)))</f>
        <v>0</v>
      </c>
      <c r="Q137" s="21">
        <f>IF(P137="","",P137+Inputs!$B$5/Inputs!$B$16*(Inputs!$C$16*(Inputs!$C$29*NGS_Archaea_Input!$B$8-P137)+Inputs!$D$16*(P8-P137)+Inputs!$E$16*(Inputs!$D$29*NGS_Archaea_Input!$C$8-P137)))</f>
        <v>0</v>
      </c>
      <c r="R137" s="21">
        <f>IF(Q137="","",Q137+Inputs!$B$5/Inputs!$B$16*(Inputs!$C$16*(Inputs!$C$29*NGS_Archaea_Input!$B$8-Q137)+Inputs!$D$16*(Q8-Q137)+Inputs!$E$16*(Inputs!$D$29*NGS_Archaea_Input!$C$8-Q137)))</f>
        <v>0</v>
      </c>
      <c r="S137" s="21">
        <f>IF(R137="","",R137+Inputs!$B$5/Inputs!$B$16*(Inputs!$C$16*(Inputs!$C$29*NGS_Archaea_Input!$B$8-R137)+Inputs!$D$16*(R8-R137)+Inputs!$E$16*(Inputs!$D$29*NGS_Archaea_Input!$C$8-R137)))</f>
        <v>0</v>
      </c>
      <c r="T137" s="21">
        <f>IF(S137="","",S137+Inputs!$B$5/Inputs!$B$16*(Inputs!$C$16*(Inputs!$C$29*NGS_Archaea_Input!$B$8-S137)+Inputs!$D$16*(S8-S137)+Inputs!$E$16*(Inputs!$D$29*NGS_Archaea_Input!$C$8-S137)))</f>
        <v>0</v>
      </c>
      <c r="U137" s="21">
        <f>IF(T137="","",T137+Inputs!$B$5/Inputs!$B$16*(Inputs!$C$16*(Inputs!$C$29*NGS_Archaea_Input!$B$8-T137)+Inputs!$D$16*(T8-T137)+Inputs!$E$16*(Inputs!$D$29*NGS_Archaea_Input!$C$8-T137)))</f>
        <v>0</v>
      </c>
      <c r="V137" s="21">
        <f>IF(U137="","",U137+Inputs!$B$5/Inputs!$B$16*(Inputs!$C$16*(Inputs!$C$29*NGS_Archaea_Input!$B$8-U137)+Inputs!$D$16*(U8-U137)+Inputs!$E$16*(Inputs!$D$29*NGS_Archaea_Input!$C$8-U137)))</f>
        <v>0</v>
      </c>
      <c r="W137" s="21">
        <f>IF(V137="","",V137+Inputs!$B$5/Inputs!$B$16*(Inputs!$C$16*(Inputs!$C$29*NGS_Archaea_Input!$B$8-V137)+Inputs!$D$16*(V8-V137)+Inputs!$E$16*(Inputs!$D$29*NGS_Archaea_Input!$C$8-V137)))</f>
        <v>0</v>
      </c>
    </row>
    <row r="138" spans="1:23" ht="18" customHeight="1" x14ac:dyDescent="0.25">
      <c r="A138" s="11" t="str">
        <f>NGS_Archaea_Input!A9</f>
        <v>Arc_taxon_5</v>
      </c>
      <c r="B138" s="21">
        <f>IF(Inputs!$H$39="","",Inputs!$H$39*NGS_Archaea_Input!$H$9)</f>
        <v>0</v>
      </c>
      <c r="C138" s="21">
        <f>IF(B138="","",B138+Inputs!$B$5/Inputs!$B$16*(Inputs!$C$16*(Inputs!$C$29*NGS_Archaea_Input!$B$9-B138)+Inputs!$D$16*(B9-B138)+Inputs!$E$16*(Inputs!$D$29*NGS_Archaea_Input!$C$9-B138)))</f>
        <v>0</v>
      </c>
      <c r="D138" s="21">
        <f>IF(C138="","",C138+Inputs!$B$5/Inputs!$B$16*(Inputs!$C$16*(Inputs!$C$29*NGS_Archaea_Input!$B$9-C138)+Inputs!$D$16*(C9-C138)+Inputs!$E$16*(Inputs!$D$29*NGS_Archaea_Input!$C$9-C138)))</f>
        <v>0</v>
      </c>
      <c r="E138" s="21">
        <f>IF(D138="","",D138+Inputs!$B$5/Inputs!$B$16*(Inputs!$C$16*(Inputs!$C$29*NGS_Archaea_Input!$B$9-D138)+Inputs!$D$16*(D9-D138)+Inputs!$E$16*(Inputs!$D$29*NGS_Archaea_Input!$C$9-D138)))</f>
        <v>0</v>
      </c>
      <c r="F138" s="21">
        <f>IF(E138="","",E138+Inputs!$B$5/Inputs!$B$16*(Inputs!$C$16*(Inputs!$C$29*NGS_Archaea_Input!$B$9-E138)+Inputs!$D$16*(E9-E138)+Inputs!$E$16*(Inputs!$D$29*NGS_Archaea_Input!$C$9-E138)))</f>
        <v>0</v>
      </c>
      <c r="G138" s="21">
        <f>IF(F138="","",F138+Inputs!$B$5/Inputs!$B$16*(Inputs!$C$16*(Inputs!$C$29*NGS_Archaea_Input!$B$9-F138)+Inputs!$D$16*(F9-F138)+Inputs!$E$16*(Inputs!$D$29*NGS_Archaea_Input!$C$9-F138)))</f>
        <v>0</v>
      </c>
      <c r="H138" s="21">
        <f>IF(G138="","",G138+Inputs!$B$5/Inputs!$B$16*(Inputs!$C$16*(Inputs!$C$29*NGS_Archaea_Input!$B$9-G138)+Inputs!$D$16*(G9-G138)+Inputs!$E$16*(Inputs!$D$29*NGS_Archaea_Input!$C$9-G138)))</f>
        <v>0</v>
      </c>
      <c r="I138" s="21">
        <f>IF(H138="","",H138+Inputs!$B$5/Inputs!$B$16*(Inputs!$C$16*(Inputs!$C$29*NGS_Archaea_Input!$B$9-H138)+Inputs!$D$16*(H9-H138)+Inputs!$E$16*(Inputs!$D$29*NGS_Archaea_Input!$C$9-H138)))</f>
        <v>0</v>
      </c>
      <c r="J138" s="21">
        <f>IF(I138="","",I138+Inputs!$B$5/Inputs!$B$16*(Inputs!$C$16*(Inputs!$C$29*NGS_Archaea_Input!$B$9-I138)+Inputs!$D$16*(I9-I138)+Inputs!$E$16*(Inputs!$D$29*NGS_Archaea_Input!$C$9-I138)))</f>
        <v>0</v>
      </c>
      <c r="K138" s="21">
        <f>IF(J138="","",J138+Inputs!$B$5/Inputs!$B$16*(Inputs!$C$16*(Inputs!$C$29*NGS_Archaea_Input!$B$9-J138)+Inputs!$D$16*(J9-J138)+Inputs!$E$16*(Inputs!$D$29*NGS_Archaea_Input!$C$9-J138)))</f>
        <v>0</v>
      </c>
      <c r="L138" s="21">
        <f>IF(K138="","",K138+Inputs!$B$5/Inputs!$B$16*(Inputs!$C$16*(Inputs!$C$29*NGS_Archaea_Input!$B$9-K138)+Inputs!$D$16*(K9-K138)+Inputs!$E$16*(Inputs!$D$29*NGS_Archaea_Input!$C$9-K138)))</f>
        <v>0</v>
      </c>
      <c r="M138" s="21">
        <f>IF(L138="","",L138+Inputs!$B$5/Inputs!$B$16*(Inputs!$C$16*(Inputs!$C$29*NGS_Archaea_Input!$B$9-L138)+Inputs!$D$16*(L9-L138)+Inputs!$E$16*(Inputs!$D$29*NGS_Archaea_Input!$C$9-L138)))</f>
        <v>0</v>
      </c>
      <c r="N138" s="21">
        <f>IF(M138="","",M138+Inputs!$B$5/Inputs!$B$16*(Inputs!$C$16*(Inputs!$C$29*NGS_Archaea_Input!$B$9-M138)+Inputs!$D$16*(M9-M138)+Inputs!$E$16*(Inputs!$D$29*NGS_Archaea_Input!$C$9-M138)))</f>
        <v>0</v>
      </c>
      <c r="O138" s="21">
        <f>IF(N138="","",N138+Inputs!$B$5/Inputs!$B$16*(Inputs!$C$16*(Inputs!$C$29*NGS_Archaea_Input!$B$9-N138)+Inputs!$D$16*(N9-N138)+Inputs!$E$16*(Inputs!$D$29*NGS_Archaea_Input!$C$9-N138)))</f>
        <v>0</v>
      </c>
      <c r="P138" s="21">
        <f>IF(O138="","",O138+Inputs!$B$5/Inputs!$B$16*(Inputs!$C$16*(Inputs!$C$29*NGS_Archaea_Input!$B$9-O138)+Inputs!$D$16*(O9-O138)+Inputs!$E$16*(Inputs!$D$29*NGS_Archaea_Input!$C$9-O138)))</f>
        <v>0</v>
      </c>
      <c r="Q138" s="21">
        <f>IF(P138="","",P138+Inputs!$B$5/Inputs!$B$16*(Inputs!$C$16*(Inputs!$C$29*NGS_Archaea_Input!$B$9-P138)+Inputs!$D$16*(P9-P138)+Inputs!$E$16*(Inputs!$D$29*NGS_Archaea_Input!$C$9-P138)))</f>
        <v>0</v>
      </c>
      <c r="R138" s="21">
        <f>IF(Q138="","",Q138+Inputs!$B$5/Inputs!$B$16*(Inputs!$C$16*(Inputs!$C$29*NGS_Archaea_Input!$B$9-Q138)+Inputs!$D$16*(Q9-Q138)+Inputs!$E$16*(Inputs!$D$29*NGS_Archaea_Input!$C$9-Q138)))</f>
        <v>0</v>
      </c>
      <c r="S138" s="21">
        <f>IF(R138="","",R138+Inputs!$B$5/Inputs!$B$16*(Inputs!$C$16*(Inputs!$C$29*NGS_Archaea_Input!$B$9-R138)+Inputs!$D$16*(R9-R138)+Inputs!$E$16*(Inputs!$D$29*NGS_Archaea_Input!$C$9-R138)))</f>
        <v>0</v>
      </c>
      <c r="T138" s="21">
        <f>IF(S138="","",S138+Inputs!$B$5/Inputs!$B$16*(Inputs!$C$16*(Inputs!$C$29*NGS_Archaea_Input!$B$9-S138)+Inputs!$D$16*(S9-S138)+Inputs!$E$16*(Inputs!$D$29*NGS_Archaea_Input!$C$9-S138)))</f>
        <v>0</v>
      </c>
      <c r="U138" s="21">
        <f>IF(T138="","",T138+Inputs!$B$5/Inputs!$B$16*(Inputs!$C$16*(Inputs!$C$29*NGS_Archaea_Input!$B$9-T138)+Inputs!$D$16*(T9-T138)+Inputs!$E$16*(Inputs!$D$29*NGS_Archaea_Input!$C$9-T138)))</f>
        <v>0</v>
      </c>
      <c r="V138" s="21">
        <f>IF(U138="","",U138+Inputs!$B$5/Inputs!$B$16*(Inputs!$C$16*(Inputs!$C$29*NGS_Archaea_Input!$B$9-U138)+Inputs!$D$16*(U9-U138)+Inputs!$E$16*(Inputs!$D$29*NGS_Archaea_Input!$C$9-U138)))</f>
        <v>0</v>
      </c>
      <c r="W138" s="21">
        <f>IF(V138="","",V138+Inputs!$B$5/Inputs!$B$16*(Inputs!$C$16*(Inputs!$C$29*NGS_Archaea_Input!$B$9-V138)+Inputs!$D$16*(V9-V138)+Inputs!$E$16*(Inputs!$D$29*NGS_Archaea_Input!$C$9-V138)))</f>
        <v>0</v>
      </c>
    </row>
    <row r="139" spans="1:23" ht="18" customHeight="1" x14ac:dyDescent="0.25">
      <c r="A139" s="11" t="str">
        <f>NGS_Archaea_Input!A10</f>
        <v>Arc_taxon_6</v>
      </c>
      <c r="B139" s="21">
        <f>IF(Inputs!$H$39="","",Inputs!$H$39*NGS_Archaea_Input!$H$10)</f>
        <v>0</v>
      </c>
      <c r="C139" s="21">
        <f>IF(B139="","",B139+Inputs!$B$5/Inputs!$B$16*(Inputs!$C$16*(Inputs!$C$29*NGS_Archaea_Input!$B$10-B139)+Inputs!$D$16*(B10-B139)+Inputs!$E$16*(Inputs!$D$29*NGS_Archaea_Input!$C$10-B139)))</f>
        <v>0</v>
      </c>
      <c r="D139" s="21">
        <f>IF(C139="","",C139+Inputs!$B$5/Inputs!$B$16*(Inputs!$C$16*(Inputs!$C$29*NGS_Archaea_Input!$B$10-C139)+Inputs!$D$16*(C10-C139)+Inputs!$E$16*(Inputs!$D$29*NGS_Archaea_Input!$C$10-C139)))</f>
        <v>0</v>
      </c>
      <c r="E139" s="21">
        <f>IF(D139="","",D139+Inputs!$B$5/Inputs!$B$16*(Inputs!$C$16*(Inputs!$C$29*NGS_Archaea_Input!$B$10-D139)+Inputs!$D$16*(D10-D139)+Inputs!$E$16*(Inputs!$D$29*NGS_Archaea_Input!$C$10-D139)))</f>
        <v>0</v>
      </c>
      <c r="F139" s="21">
        <f>IF(E139="","",E139+Inputs!$B$5/Inputs!$B$16*(Inputs!$C$16*(Inputs!$C$29*NGS_Archaea_Input!$B$10-E139)+Inputs!$D$16*(E10-E139)+Inputs!$E$16*(Inputs!$D$29*NGS_Archaea_Input!$C$10-E139)))</f>
        <v>0</v>
      </c>
      <c r="G139" s="21">
        <f>IF(F139="","",F139+Inputs!$B$5/Inputs!$B$16*(Inputs!$C$16*(Inputs!$C$29*NGS_Archaea_Input!$B$10-F139)+Inputs!$D$16*(F10-F139)+Inputs!$E$16*(Inputs!$D$29*NGS_Archaea_Input!$C$10-F139)))</f>
        <v>0</v>
      </c>
      <c r="H139" s="21">
        <f>IF(G139="","",G139+Inputs!$B$5/Inputs!$B$16*(Inputs!$C$16*(Inputs!$C$29*NGS_Archaea_Input!$B$10-G139)+Inputs!$D$16*(G10-G139)+Inputs!$E$16*(Inputs!$D$29*NGS_Archaea_Input!$C$10-G139)))</f>
        <v>0</v>
      </c>
      <c r="I139" s="21">
        <f>IF(H139="","",H139+Inputs!$B$5/Inputs!$B$16*(Inputs!$C$16*(Inputs!$C$29*NGS_Archaea_Input!$B$10-H139)+Inputs!$D$16*(H10-H139)+Inputs!$E$16*(Inputs!$D$29*NGS_Archaea_Input!$C$10-H139)))</f>
        <v>0</v>
      </c>
      <c r="J139" s="21">
        <f>IF(I139="","",I139+Inputs!$B$5/Inputs!$B$16*(Inputs!$C$16*(Inputs!$C$29*NGS_Archaea_Input!$B$10-I139)+Inputs!$D$16*(I10-I139)+Inputs!$E$16*(Inputs!$D$29*NGS_Archaea_Input!$C$10-I139)))</f>
        <v>0</v>
      </c>
      <c r="K139" s="21">
        <f>IF(J139="","",J139+Inputs!$B$5/Inputs!$B$16*(Inputs!$C$16*(Inputs!$C$29*NGS_Archaea_Input!$B$10-J139)+Inputs!$D$16*(J10-J139)+Inputs!$E$16*(Inputs!$D$29*NGS_Archaea_Input!$C$10-J139)))</f>
        <v>0</v>
      </c>
      <c r="L139" s="21">
        <f>IF(K139="","",K139+Inputs!$B$5/Inputs!$B$16*(Inputs!$C$16*(Inputs!$C$29*NGS_Archaea_Input!$B$10-K139)+Inputs!$D$16*(K10-K139)+Inputs!$E$16*(Inputs!$D$29*NGS_Archaea_Input!$C$10-K139)))</f>
        <v>0</v>
      </c>
      <c r="M139" s="21">
        <f>IF(L139="","",L139+Inputs!$B$5/Inputs!$B$16*(Inputs!$C$16*(Inputs!$C$29*NGS_Archaea_Input!$B$10-L139)+Inputs!$D$16*(L10-L139)+Inputs!$E$16*(Inputs!$D$29*NGS_Archaea_Input!$C$10-L139)))</f>
        <v>0</v>
      </c>
      <c r="N139" s="21">
        <f>IF(M139="","",M139+Inputs!$B$5/Inputs!$B$16*(Inputs!$C$16*(Inputs!$C$29*NGS_Archaea_Input!$B$10-M139)+Inputs!$D$16*(M10-M139)+Inputs!$E$16*(Inputs!$D$29*NGS_Archaea_Input!$C$10-M139)))</f>
        <v>0</v>
      </c>
      <c r="O139" s="21">
        <f>IF(N139="","",N139+Inputs!$B$5/Inputs!$B$16*(Inputs!$C$16*(Inputs!$C$29*NGS_Archaea_Input!$B$10-N139)+Inputs!$D$16*(N10-N139)+Inputs!$E$16*(Inputs!$D$29*NGS_Archaea_Input!$C$10-N139)))</f>
        <v>0</v>
      </c>
      <c r="P139" s="21">
        <f>IF(O139="","",O139+Inputs!$B$5/Inputs!$B$16*(Inputs!$C$16*(Inputs!$C$29*NGS_Archaea_Input!$B$10-O139)+Inputs!$D$16*(O10-O139)+Inputs!$E$16*(Inputs!$D$29*NGS_Archaea_Input!$C$10-O139)))</f>
        <v>0</v>
      </c>
      <c r="Q139" s="21">
        <f>IF(P139="","",P139+Inputs!$B$5/Inputs!$B$16*(Inputs!$C$16*(Inputs!$C$29*NGS_Archaea_Input!$B$10-P139)+Inputs!$D$16*(P10-P139)+Inputs!$E$16*(Inputs!$D$29*NGS_Archaea_Input!$C$10-P139)))</f>
        <v>0</v>
      </c>
      <c r="R139" s="21">
        <f>IF(Q139="","",Q139+Inputs!$B$5/Inputs!$B$16*(Inputs!$C$16*(Inputs!$C$29*NGS_Archaea_Input!$B$10-Q139)+Inputs!$D$16*(Q10-Q139)+Inputs!$E$16*(Inputs!$D$29*NGS_Archaea_Input!$C$10-Q139)))</f>
        <v>0</v>
      </c>
      <c r="S139" s="21">
        <f>IF(R139="","",R139+Inputs!$B$5/Inputs!$B$16*(Inputs!$C$16*(Inputs!$C$29*NGS_Archaea_Input!$B$10-R139)+Inputs!$D$16*(R10-R139)+Inputs!$E$16*(Inputs!$D$29*NGS_Archaea_Input!$C$10-R139)))</f>
        <v>0</v>
      </c>
      <c r="T139" s="21">
        <f>IF(S139="","",S139+Inputs!$B$5/Inputs!$B$16*(Inputs!$C$16*(Inputs!$C$29*NGS_Archaea_Input!$B$10-S139)+Inputs!$D$16*(S10-S139)+Inputs!$E$16*(Inputs!$D$29*NGS_Archaea_Input!$C$10-S139)))</f>
        <v>0</v>
      </c>
      <c r="U139" s="21">
        <f>IF(T139="","",T139+Inputs!$B$5/Inputs!$B$16*(Inputs!$C$16*(Inputs!$C$29*NGS_Archaea_Input!$B$10-T139)+Inputs!$D$16*(T10-T139)+Inputs!$E$16*(Inputs!$D$29*NGS_Archaea_Input!$C$10-T139)))</f>
        <v>0</v>
      </c>
      <c r="V139" s="21">
        <f>IF(U139="","",U139+Inputs!$B$5/Inputs!$B$16*(Inputs!$C$16*(Inputs!$C$29*NGS_Archaea_Input!$B$10-U139)+Inputs!$D$16*(U10-U139)+Inputs!$E$16*(Inputs!$D$29*NGS_Archaea_Input!$C$10-U139)))</f>
        <v>0</v>
      </c>
      <c r="W139" s="21">
        <f>IF(V139="","",V139+Inputs!$B$5/Inputs!$B$16*(Inputs!$C$16*(Inputs!$C$29*NGS_Archaea_Input!$B$10-V139)+Inputs!$D$16*(V10-V139)+Inputs!$E$16*(Inputs!$D$29*NGS_Archaea_Input!$C$10-V139)))</f>
        <v>0</v>
      </c>
    </row>
    <row r="140" spans="1:23" ht="18" customHeight="1" x14ac:dyDescent="0.25">
      <c r="A140" s="11" t="str">
        <f>NGS_Archaea_Input!A11</f>
        <v>Arc_taxon_7</v>
      </c>
      <c r="B140" s="21">
        <f>IF(Inputs!$H$39="","",Inputs!$H$39*NGS_Archaea_Input!$H$11)</f>
        <v>0</v>
      </c>
      <c r="C140" s="21">
        <f>IF(B140="","",B140+Inputs!$B$5/Inputs!$B$16*(Inputs!$C$16*(Inputs!$C$29*NGS_Archaea_Input!$B$11-B140)+Inputs!$D$16*(B11-B140)+Inputs!$E$16*(Inputs!$D$29*NGS_Archaea_Input!$C$11-B140)))</f>
        <v>0</v>
      </c>
      <c r="D140" s="21">
        <f>IF(C140="","",C140+Inputs!$B$5/Inputs!$B$16*(Inputs!$C$16*(Inputs!$C$29*NGS_Archaea_Input!$B$11-C140)+Inputs!$D$16*(C11-C140)+Inputs!$E$16*(Inputs!$D$29*NGS_Archaea_Input!$C$11-C140)))</f>
        <v>0</v>
      </c>
      <c r="E140" s="21">
        <f>IF(D140="","",D140+Inputs!$B$5/Inputs!$B$16*(Inputs!$C$16*(Inputs!$C$29*NGS_Archaea_Input!$B$11-D140)+Inputs!$D$16*(D11-D140)+Inputs!$E$16*(Inputs!$D$29*NGS_Archaea_Input!$C$11-D140)))</f>
        <v>0</v>
      </c>
      <c r="F140" s="21">
        <f>IF(E140="","",E140+Inputs!$B$5/Inputs!$B$16*(Inputs!$C$16*(Inputs!$C$29*NGS_Archaea_Input!$B$11-E140)+Inputs!$D$16*(E11-E140)+Inputs!$E$16*(Inputs!$D$29*NGS_Archaea_Input!$C$11-E140)))</f>
        <v>0</v>
      </c>
      <c r="G140" s="21">
        <f>IF(F140="","",F140+Inputs!$B$5/Inputs!$B$16*(Inputs!$C$16*(Inputs!$C$29*NGS_Archaea_Input!$B$11-F140)+Inputs!$D$16*(F11-F140)+Inputs!$E$16*(Inputs!$D$29*NGS_Archaea_Input!$C$11-F140)))</f>
        <v>0</v>
      </c>
      <c r="H140" s="21">
        <f>IF(G140="","",G140+Inputs!$B$5/Inputs!$B$16*(Inputs!$C$16*(Inputs!$C$29*NGS_Archaea_Input!$B$11-G140)+Inputs!$D$16*(G11-G140)+Inputs!$E$16*(Inputs!$D$29*NGS_Archaea_Input!$C$11-G140)))</f>
        <v>0</v>
      </c>
      <c r="I140" s="21">
        <f>IF(H140="","",H140+Inputs!$B$5/Inputs!$B$16*(Inputs!$C$16*(Inputs!$C$29*NGS_Archaea_Input!$B$11-H140)+Inputs!$D$16*(H11-H140)+Inputs!$E$16*(Inputs!$D$29*NGS_Archaea_Input!$C$11-H140)))</f>
        <v>0</v>
      </c>
      <c r="J140" s="21">
        <f>IF(I140="","",I140+Inputs!$B$5/Inputs!$B$16*(Inputs!$C$16*(Inputs!$C$29*NGS_Archaea_Input!$B$11-I140)+Inputs!$D$16*(I11-I140)+Inputs!$E$16*(Inputs!$D$29*NGS_Archaea_Input!$C$11-I140)))</f>
        <v>0</v>
      </c>
      <c r="K140" s="21">
        <f>IF(J140="","",J140+Inputs!$B$5/Inputs!$B$16*(Inputs!$C$16*(Inputs!$C$29*NGS_Archaea_Input!$B$11-J140)+Inputs!$D$16*(J11-J140)+Inputs!$E$16*(Inputs!$D$29*NGS_Archaea_Input!$C$11-J140)))</f>
        <v>0</v>
      </c>
      <c r="L140" s="21">
        <f>IF(K140="","",K140+Inputs!$B$5/Inputs!$B$16*(Inputs!$C$16*(Inputs!$C$29*NGS_Archaea_Input!$B$11-K140)+Inputs!$D$16*(K11-K140)+Inputs!$E$16*(Inputs!$D$29*NGS_Archaea_Input!$C$11-K140)))</f>
        <v>0</v>
      </c>
      <c r="M140" s="21">
        <f>IF(L140="","",L140+Inputs!$B$5/Inputs!$B$16*(Inputs!$C$16*(Inputs!$C$29*NGS_Archaea_Input!$B$11-L140)+Inputs!$D$16*(L11-L140)+Inputs!$E$16*(Inputs!$D$29*NGS_Archaea_Input!$C$11-L140)))</f>
        <v>0</v>
      </c>
      <c r="N140" s="21">
        <f>IF(M140="","",M140+Inputs!$B$5/Inputs!$B$16*(Inputs!$C$16*(Inputs!$C$29*NGS_Archaea_Input!$B$11-M140)+Inputs!$D$16*(M11-M140)+Inputs!$E$16*(Inputs!$D$29*NGS_Archaea_Input!$C$11-M140)))</f>
        <v>0</v>
      </c>
      <c r="O140" s="21">
        <f>IF(N140="","",N140+Inputs!$B$5/Inputs!$B$16*(Inputs!$C$16*(Inputs!$C$29*NGS_Archaea_Input!$B$11-N140)+Inputs!$D$16*(N11-N140)+Inputs!$E$16*(Inputs!$D$29*NGS_Archaea_Input!$C$11-N140)))</f>
        <v>0</v>
      </c>
      <c r="P140" s="21">
        <f>IF(O140="","",O140+Inputs!$B$5/Inputs!$B$16*(Inputs!$C$16*(Inputs!$C$29*NGS_Archaea_Input!$B$11-O140)+Inputs!$D$16*(O11-O140)+Inputs!$E$16*(Inputs!$D$29*NGS_Archaea_Input!$C$11-O140)))</f>
        <v>0</v>
      </c>
      <c r="Q140" s="21">
        <f>IF(P140="","",P140+Inputs!$B$5/Inputs!$B$16*(Inputs!$C$16*(Inputs!$C$29*NGS_Archaea_Input!$B$11-P140)+Inputs!$D$16*(P11-P140)+Inputs!$E$16*(Inputs!$D$29*NGS_Archaea_Input!$C$11-P140)))</f>
        <v>0</v>
      </c>
      <c r="R140" s="21">
        <f>IF(Q140="","",Q140+Inputs!$B$5/Inputs!$B$16*(Inputs!$C$16*(Inputs!$C$29*NGS_Archaea_Input!$B$11-Q140)+Inputs!$D$16*(Q11-Q140)+Inputs!$E$16*(Inputs!$D$29*NGS_Archaea_Input!$C$11-Q140)))</f>
        <v>0</v>
      </c>
      <c r="S140" s="21">
        <f>IF(R140="","",R140+Inputs!$B$5/Inputs!$B$16*(Inputs!$C$16*(Inputs!$C$29*NGS_Archaea_Input!$B$11-R140)+Inputs!$D$16*(R11-R140)+Inputs!$E$16*(Inputs!$D$29*NGS_Archaea_Input!$C$11-R140)))</f>
        <v>0</v>
      </c>
      <c r="T140" s="21">
        <f>IF(S140="","",S140+Inputs!$B$5/Inputs!$B$16*(Inputs!$C$16*(Inputs!$C$29*NGS_Archaea_Input!$B$11-S140)+Inputs!$D$16*(S11-S140)+Inputs!$E$16*(Inputs!$D$29*NGS_Archaea_Input!$C$11-S140)))</f>
        <v>0</v>
      </c>
      <c r="U140" s="21">
        <f>IF(T140="","",T140+Inputs!$B$5/Inputs!$B$16*(Inputs!$C$16*(Inputs!$C$29*NGS_Archaea_Input!$B$11-T140)+Inputs!$D$16*(T11-T140)+Inputs!$E$16*(Inputs!$D$29*NGS_Archaea_Input!$C$11-T140)))</f>
        <v>0</v>
      </c>
      <c r="V140" s="21">
        <f>IF(U140="","",U140+Inputs!$B$5/Inputs!$B$16*(Inputs!$C$16*(Inputs!$C$29*NGS_Archaea_Input!$B$11-U140)+Inputs!$D$16*(U11-U140)+Inputs!$E$16*(Inputs!$D$29*NGS_Archaea_Input!$C$11-U140)))</f>
        <v>0</v>
      </c>
      <c r="W140" s="21">
        <f>IF(V140="","",V140+Inputs!$B$5/Inputs!$B$16*(Inputs!$C$16*(Inputs!$C$29*NGS_Archaea_Input!$B$11-V140)+Inputs!$D$16*(V11-V140)+Inputs!$E$16*(Inputs!$D$29*NGS_Archaea_Input!$C$11-V140)))</f>
        <v>0</v>
      </c>
    </row>
    <row r="141" spans="1:23" ht="18" customHeight="1" x14ac:dyDescent="0.25">
      <c r="A141" s="11" t="str">
        <f>NGS_Archaea_Input!A12</f>
        <v>Arc_taxon_8</v>
      </c>
      <c r="B141" s="21">
        <f>IF(Inputs!$H$39="","",Inputs!$H$39*NGS_Archaea_Input!$H$12)</f>
        <v>0</v>
      </c>
      <c r="C141" s="21">
        <f>IF(B141="","",B141+Inputs!$B$5/Inputs!$B$16*(Inputs!$C$16*(Inputs!$C$29*NGS_Archaea_Input!$B$12-B141)+Inputs!$D$16*(B12-B141)+Inputs!$E$16*(Inputs!$D$29*NGS_Archaea_Input!$C$12-B141)))</f>
        <v>0</v>
      </c>
      <c r="D141" s="21">
        <f>IF(C141="","",C141+Inputs!$B$5/Inputs!$B$16*(Inputs!$C$16*(Inputs!$C$29*NGS_Archaea_Input!$B$12-C141)+Inputs!$D$16*(C12-C141)+Inputs!$E$16*(Inputs!$D$29*NGS_Archaea_Input!$C$12-C141)))</f>
        <v>0</v>
      </c>
      <c r="E141" s="21">
        <f>IF(D141="","",D141+Inputs!$B$5/Inputs!$B$16*(Inputs!$C$16*(Inputs!$C$29*NGS_Archaea_Input!$B$12-D141)+Inputs!$D$16*(D12-D141)+Inputs!$E$16*(Inputs!$D$29*NGS_Archaea_Input!$C$12-D141)))</f>
        <v>0</v>
      </c>
      <c r="F141" s="21">
        <f>IF(E141="","",E141+Inputs!$B$5/Inputs!$B$16*(Inputs!$C$16*(Inputs!$C$29*NGS_Archaea_Input!$B$12-E141)+Inputs!$D$16*(E12-E141)+Inputs!$E$16*(Inputs!$D$29*NGS_Archaea_Input!$C$12-E141)))</f>
        <v>0</v>
      </c>
      <c r="G141" s="21">
        <f>IF(F141="","",F141+Inputs!$B$5/Inputs!$B$16*(Inputs!$C$16*(Inputs!$C$29*NGS_Archaea_Input!$B$12-F141)+Inputs!$D$16*(F12-F141)+Inputs!$E$16*(Inputs!$D$29*NGS_Archaea_Input!$C$12-F141)))</f>
        <v>0</v>
      </c>
      <c r="H141" s="21">
        <f>IF(G141="","",G141+Inputs!$B$5/Inputs!$B$16*(Inputs!$C$16*(Inputs!$C$29*NGS_Archaea_Input!$B$12-G141)+Inputs!$D$16*(G12-G141)+Inputs!$E$16*(Inputs!$D$29*NGS_Archaea_Input!$C$12-G141)))</f>
        <v>0</v>
      </c>
      <c r="I141" s="21">
        <f>IF(H141="","",H141+Inputs!$B$5/Inputs!$B$16*(Inputs!$C$16*(Inputs!$C$29*NGS_Archaea_Input!$B$12-H141)+Inputs!$D$16*(H12-H141)+Inputs!$E$16*(Inputs!$D$29*NGS_Archaea_Input!$C$12-H141)))</f>
        <v>0</v>
      </c>
      <c r="J141" s="21">
        <f>IF(I141="","",I141+Inputs!$B$5/Inputs!$B$16*(Inputs!$C$16*(Inputs!$C$29*NGS_Archaea_Input!$B$12-I141)+Inputs!$D$16*(I12-I141)+Inputs!$E$16*(Inputs!$D$29*NGS_Archaea_Input!$C$12-I141)))</f>
        <v>0</v>
      </c>
      <c r="K141" s="21">
        <f>IF(J141="","",J141+Inputs!$B$5/Inputs!$B$16*(Inputs!$C$16*(Inputs!$C$29*NGS_Archaea_Input!$B$12-J141)+Inputs!$D$16*(J12-J141)+Inputs!$E$16*(Inputs!$D$29*NGS_Archaea_Input!$C$12-J141)))</f>
        <v>0</v>
      </c>
      <c r="L141" s="21">
        <f>IF(K141="","",K141+Inputs!$B$5/Inputs!$B$16*(Inputs!$C$16*(Inputs!$C$29*NGS_Archaea_Input!$B$12-K141)+Inputs!$D$16*(K12-K141)+Inputs!$E$16*(Inputs!$D$29*NGS_Archaea_Input!$C$12-K141)))</f>
        <v>0</v>
      </c>
      <c r="M141" s="21">
        <f>IF(L141="","",L141+Inputs!$B$5/Inputs!$B$16*(Inputs!$C$16*(Inputs!$C$29*NGS_Archaea_Input!$B$12-L141)+Inputs!$D$16*(L12-L141)+Inputs!$E$16*(Inputs!$D$29*NGS_Archaea_Input!$C$12-L141)))</f>
        <v>0</v>
      </c>
      <c r="N141" s="21">
        <f>IF(M141="","",M141+Inputs!$B$5/Inputs!$B$16*(Inputs!$C$16*(Inputs!$C$29*NGS_Archaea_Input!$B$12-M141)+Inputs!$D$16*(M12-M141)+Inputs!$E$16*(Inputs!$D$29*NGS_Archaea_Input!$C$12-M141)))</f>
        <v>0</v>
      </c>
      <c r="O141" s="21">
        <f>IF(N141="","",N141+Inputs!$B$5/Inputs!$B$16*(Inputs!$C$16*(Inputs!$C$29*NGS_Archaea_Input!$B$12-N141)+Inputs!$D$16*(N12-N141)+Inputs!$E$16*(Inputs!$D$29*NGS_Archaea_Input!$C$12-N141)))</f>
        <v>0</v>
      </c>
      <c r="P141" s="21">
        <f>IF(O141="","",O141+Inputs!$B$5/Inputs!$B$16*(Inputs!$C$16*(Inputs!$C$29*NGS_Archaea_Input!$B$12-O141)+Inputs!$D$16*(O12-O141)+Inputs!$E$16*(Inputs!$D$29*NGS_Archaea_Input!$C$12-O141)))</f>
        <v>0</v>
      </c>
      <c r="Q141" s="21">
        <f>IF(P141="","",P141+Inputs!$B$5/Inputs!$B$16*(Inputs!$C$16*(Inputs!$C$29*NGS_Archaea_Input!$B$12-P141)+Inputs!$D$16*(P12-P141)+Inputs!$E$16*(Inputs!$D$29*NGS_Archaea_Input!$C$12-P141)))</f>
        <v>0</v>
      </c>
      <c r="R141" s="21">
        <f>IF(Q141="","",Q141+Inputs!$B$5/Inputs!$B$16*(Inputs!$C$16*(Inputs!$C$29*NGS_Archaea_Input!$B$12-Q141)+Inputs!$D$16*(Q12-Q141)+Inputs!$E$16*(Inputs!$D$29*NGS_Archaea_Input!$C$12-Q141)))</f>
        <v>0</v>
      </c>
      <c r="S141" s="21">
        <f>IF(R141="","",R141+Inputs!$B$5/Inputs!$B$16*(Inputs!$C$16*(Inputs!$C$29*NGS_Archaea_Input!$B$12-R141)+Inputs!$D$16*(R12-R141)+Inputs!$E$16*(Inputs!$D$29*NGS_Archaea_Input!$C$12-R141)))</f>
        <v>0</v>
      </c>
      <c r="T141" s="21">
        <f>IF(S141="","",S141+Inputs!$B$5/Inputs!$B$16*(Inputs!$C$16*(Inputs!$C$29*NGS_Archaea_Input!$B$12-S141)+Inputs!$D$16*(S12-S141)+Inputs!$E$16*(Inputs!$D$29*NGS_Archaea_Input!$C$12-S141)))</f>
        <v>0</v>
      </c>
      <c r="U141" s="21">
        <f>IF(T141="","",T141+Inputs!$B$5/Inputs!$B$16*(Inputs!$C$16*(Inputs!$C$29*NGS_Archaea_Input!$B$12-T141)+Inputs!$D$16*(T12-T141)+Inputs!$E$16*(Inputs!$D$29*NGS_Archaea_Input!$C$12-T141)))</f>
        <v>0</v>
      </c>
      <c r="V141" s="21">
        <f>IF(U141="","",U141+Inputs!$B$5/Inputs!$B$16*(Inputs!$C$16*(Inputs!$C$29*NGS_Archaea_Input!$B$12-U141)+Inputs!$D$16*(U12-U141)+Inputs!$E$16*(Inputs!$D$29*NGS_Archaea_Input!$C$12-U141)))</f>
        <v>0</v>
      </c>
      <c r="W141" s="21">
        <f>IF(V141="","",V141+Inputs!$B$5/Inputs!$B$16*(Inputs!$C$16*(Inputs!$C$29*NGS_Archaea_Input!$B$12-V141)+Inputs!$D$16*(V12-V141)+Inputs!$E$16*(Inputs!$D$29*NGS_Archaea_Input!$C$12-V141)))</f>
        <v>0</v>
      </c>
    </row>
    <row r="142" spans="1:23" ht="18" customHeight="1" x14ac:dyDescent="0.25">
      <c r="A142" s="11" t="str">
        <f>NGS_Archaea_Input!A13</f>
        <v>Arc_taxon_9</v>
      </c>
      <c r="B142" s="21">
        <f>IF(Inputs!$H$39="","",Inputs!$H$39*NGS_Archaea_Input!$H$13)</f>
        <v>0</v>
      </c>
      <c r="C142" s="21">
        <f>IF(B142="","",B142+Inputs!$B$5/Inputs!$B$16*(Inputs!$C$16*(Inputs!$C$29*NGS_Archaea_Input!$B$13-B142)+Inputs!$D$16*(B13-B142)+Inputs!$E$16*(Inputs!$D$29*NGS_Archaea_Input!$C$13-B142)))</f>
        <v>0</v>
      </c>
      <c r="D142" s="21">
        <f>IF(C142="","",C142+Inputs!$B$5/Inputs!$B$16*(Inputs!$C$16*(Inputs!$C$29*NGS_Archaea_Input!$B$13-C142)+Inputs!$D$16*(C13-C142)+Inputs!$E$16*(Inputs!$D$29*NGS_Archaea_Input!$C$13-C142)))</f>
        <v>0</v>
      </c>
      <c r="E142" s="21">
        <f>IF(D142="","",D142+Inputs!$B$5/Inputs!$B$16*(Inputs!$C$16*(Inputs!$C$29*NGS_Archaea_Input!$B$13-D142)+Inputs!$D$16*(D13-D142)+Inputs!$E$16*(Inputs!$D$29*NGS_Archaea_Input!$C$13-D142)))</f>
        <v>0</v>
      </c>
      <c r="F142" s="21">
        <f>IF(E142="","",E142+Inputs!$B$5/Inputs!$B$16*(Inputs!$C$16*(Inputs!$C$29*NGS_Archaea_Input!$B$13-E142)+Inputs!$D$16*(E13-E142)+Inputs!$E$16*(Inputs!$D$29*NGS_Archaea_Input!$C$13-E142)))</f>
        <v>0</v>
      </c>
      <c r="G142" s="21">
        <f>IF(F142="","",F142+Inputs!$B$5/Inputs!$B$16*(Inputs!$C$16*(Inputs!$C$29*NGS_Archaea_Input!$B$13-F142)+Inputs!$D$16*(F13-F142)+Inputs!$E$16*(Inputs!$D$29*NGS_Archaea_Input!$C$13-F142)))</f>
        <v>0</v>
      </c>
      <c r="H142" s="21">
        <f>IF(G142="","",G142+Inputs!$B$5/Inputs!$B$16*(Inputs!$C$16*(Inputs!$C$29*NGS_Archaea_Input!$B$13-G142)+Inputs!$D$16*(G13-G142)+Inputs!$E$16*(Inputs!$D$29*NGS_Archaea_Input!$C$13-G142)))</f>
        <v>0</v>
      </c>
      <c r="I142" s="21">
        <f>IF(H142="","",H142+Inputs!$B$5/Inputs!$B$16*(Inputs!$C$16*(Inputs!$C$29*NGS_Archaea_Input!$B$13-H142)+Inputs!$D$16*(H13-H142)+Inputs!$E$16*(Inputs!$D$29*NGS_Archaea_Input!$C$13-H142)))</f>
        <v>0</v>
      </c>
      <c r="J142" s="21">
        <f>IF(I142="","",I142+Inputs!$B$5/Inputs!$B$16*(Inputs!$C$16*(Inputs!$C$29*NGS_Archaea_Input!$B$13-I142)+Inputs!$D$16*(I13-I142)+Inputs!$E$16*(Inputs!$D$29*NGS_Archaea_Input!$C$13-I142)))</f>
        <v>0</v>
      </c>
      <c r="K142" s="21">
        <f>IF(J142="","",J142+Inputs!$B$5/Inputs!$B$16*(Inputs!$C$16*(Inputs!$C$29*NGS_Archaea_Input!$B$13-J142)+Inputs!$D$16*(J13-J142)+Inputs!$E$16*(Inputs!$D$29*NGS_Archaea_Input!$C$13-J142)))</f>
        <v>0</v>
      </c>
      <c r="L142" s="21">
        <f>IF(K142="","",K142+Inputs!$B$5/Inputs!$B$16*(Inputs!$C$16*(Inputs!$C$29*NGS_Archaea_Input!$B$13-K142)+Inputs!$D$16*(K13-K142)+Inputs!$E$16*(Inputs!$D$29*NGS_Archaea_Input!$C$13-K142)))</f>
        <v>0</v>
      </c>
      <c r="M142" s="21">
        <f>IF(L142="","",L142+Inputs!$B$5/Inputs!$B$16*(Inputs!$C$16*(Inputs!$C$29*NGS_Archaea_Input!$B$13-L142)+Inputs!$D$16*(L13-L142)+Inputs!$E$16*(Inputs!$D$29*NGS_Archaea_Input!$C$13-L142)))</f>
        <v>0</v>
      </c>
      <c r="N142" s="21">
        <f>IF(M142="","",M142+Inputs!$B$5/Inputs!$B$16*(Inputs!$C$16*(Inputs!$C$29*NGS_Archaea_Input!$B$13-M142)+Inputs!$D$16*(M13-M142)+Inputs!$E$16*(Inputs!$D$29*NGS_Archaea_Input!$C$13-M142)))</f>
        <v>0</v>
      </c>
      <c r="O142" s="21">
        <f>IF(N142="","",N142+Inputs!$B$5/Inputs!$B$16*(Inputs!$C$16*(Inputs!$C$29*NGS_Archaea_Input!$B$13-N142)+Inputs!$D$16*(N13-N142)+Inputs!$E$16*(Inputs!$D$29*NGS_Archaea_Input!$C$13-N142)))</f>
        <v>0</v>
      </c>
      <c r="P142" s="21">
        <f>IF(O142="","",O142+Inputs!$B$5/Inputs!$B$16*(Inputs!$C$16*(Inputs!$C$29*NGS_Archaea_Input!$B$13-O142)+Inputs!$D$16*(O13-O142)+Inputs!$E$16*(Inputs!$D$29*NGS_Archaea_Input!$C$13-O142)))</f>
        <v>0</v>
      </c>
      <c r="Q142" s="21">
        <f>IF(P142="","",P142+Inputs!$B$5/Inputs!$B$16*(Inputs!$C$16*(Inputs!$C$29*NGS_Archaea_Input!$B$13-P142)+Inputs!$D$16*(P13-P142)+Inputs!$E$16*(Inputs!$D$29*NGS_Archaea_Input!$C$13-P142)))</f>
        <v>0</v>
      </c>
      <c r="R142" s="21">
        <f>IF(Q142="","",Q142+Inputs!$B$5/Inputs!$B$16*(Inputs!$C$16*(Inputs!$C$29*NGS_Archaea_Input!$B$13-Q142)+Inputs!$D$16*(Q13-Q142)+Inputs!$E$16*(Inputs!$D$29*NGS_Archaea_Input!$C$13-Q142)))</f>
        <v>0</v>
      </c>
      <c r="S142" s="21">
        <f>IF(R142="","",R142+Inputs!$B$5/Inputs!$B$16*(Inputs!$C$16*(Inputs!$C$29*NGS_Archaea_Input!$B$13-R142)+Inputs!$D$16*(R13-R142)+Inputs!$E$16*(Inputs!$D$29*NGS_Archaea_Input!$C$13-R142)))</f>
        <v>0</v>
      </c>
      <c r="T142" s="21">
        <f>IF(S142="","",S142+Inputs!$B$5/Inputs!$B$16*(Inputs!$C$16*(Inputs!$C$29*NGS_Archaea_Input!$B$13-S142)+Inputs!$D$16*(S13-S142)+Inputs!$E$16*(Inputs!$D$29*NGS_Archaea_Input!$C$13-S142)))</f>
        <v>0</v>
      </c>
      <c r="U142" s="21">
        <f>IF(T142="","",T142+Inputs!$B$5/Inputs!$B$16*(Inputs!$C$16*(Inputs!$C$29*NGS_Archaea_Input!$B$13-T142)+Inputs!$D$16*(T13-T142)+Inputs!$E$16*(Inputs!$D$29*NGS_Archaea_Input!$C$13-T142)))</f>
        <v>0</v>
      </c>
      <c r="V142" s="21">
        <f>IF(U142="","",U142+Inputs!$B$5/Inputs!$B$16*(Inputs!$C$16*(Inputs!$C$29*NGS_Archaea_Input!$B$13-U142)+Inputs!$D$16*(U13-U142)+Inputs!$E$16*(Inputs!$D$29*NGS_Archaea_Input!$C$13-U142)))</f>
        <v>0</v>
      </c>
      <c r="W142" s="21">
        <f>IF(V142="","",V142+Inputs!$B$5/Inputs!$B$16*(Inputs!$C$16*(Inputs!$C$29*NGS_Archaea_Input!$B$13-V142)+Inputs!$D$16*(V13-V142)+Inputs!$E$16*(Inputs!$D$29*NGS_Archaea_Input!$C$13-V142)))</f>
        <v>0</v>
      </c>
    </row>
    <row r="143" spans="1:23" ht="18" customHeight="1" x14ac:dyDescent="0.25">
      <c r="A143" s="11" t="str">
        <f>NGS_Archaea_Input!A14</f>
        <v>Arc_taxon_10</v>
      </c>
      <c r="B143" s="21">
        <f>IF(Inputs!$H$39="","",Inputs!$H$39*NGS_Archaea_Input!$H$14)</f>
        <v>0</v>
      </c>
      <c r="C143" s="21">
        <f>IF(B143="","",B143+Inputs!$B$5/Inputs!$B$16*(Inputs!$C$16*(Inputs!$C$29*NGS_Archaea_Input!$B$14-B143)+Inputs!$D$16*(B14-B143)+Inputs!$E$16*(Inputs!$D$29*NGS_Archaea_Input!$C$14-B143)))</f>
        <v>0</v>
      </c>
      <c r="D143" s="21">
        <f>IF(C143="","",C143+Inputs!$B$5/Inputs!$B$16*(Inputs!$C$16*(Inputs!$C$29*NGS_Archaea_Input!$B$14-C143)+Inputs!$D$16*(C14-C143)+Inputs!$E$16*(Inputs!$D$29*NGS_Archaea_Input!$C$14-C143)))</f>
        <v>0</v>
      </c>
      <c r="E143" s="21">
        <f>IF(D143="","",D143+Inputs!$B$5/Inputs!$B$16*(Inputs!$C$16*(Inputs!$C$29*NGS_Archaea_Input!$B$14-D143)+Inputs!$D$16*(D14-D143)+Inputs!$E$16*(Inputs!$D$29*NGS_Archaea_Input!$C$14-D143)))</f>
        <v>0</v>
      </c>
      <c r="F143" s="21">
        <f>IF(E143="","",E143+Inputs!$B$5/Inputs!$B$16*(Inputs!$C$16*(Inputs!$C$29*NGS_Archaea_Input!$B$14-E143)+Inputs!$D$16*(E14-E143)+Inputs!$E$16*(Inputs!$D$29*NGS_Archaea_Input!$C$14-E143)))</f>
        <v>0</v>
      </c>
      <c r="G143" s="21">
        <f>IF(F143="","",F143+Inputs!$B$5/Inputs!$B$16*(Inputs!$C$16*(Inputs!$C$29*NGS_Archaea_Input!$B$14-F143)+Inputs!$D$16*(F14-F143)+Inputs!$E$16*(Inputs!$D$29*NGS_Archaea_Input!$C$14-F143)))</f>
        <v>0</v>
      </c>
      <c r="H143" s="21">
        <f>IF(G143="","",G143+Inputs!$B$5/Inputs!$B$16*(Inputs!$C$16*(Inputs!$C$29*NGS_Archaea_Input!$B$14-G143)+Inputs!$D$16*(G14-G143)+Inputs!$E$16*(Inputs!$D$29*NGS_Archaea_Input!$C$14-G143)))</f>
        <v>0</v>
      </c>
      <c r="I143" s="21">
        <f>IF(H143="","",H143+Inputs!$B$5/Inputs!$B$16*(Inputs!$C$16*(Inputs!$C$29*NGS_Archaea_Input!$B$14-H143)+Inputs!$D$16*(H14-H143)+Inputs!$E$16*(Inputs!$D$29*NGS_Archaea_Input!$C$14-H143)))</f>
        <v>0</v>
      </c>
      <c r="J143" s="21">
        <f>IF(I143="","",I143+Inputs!$B$5/Inputs!$B$16*(Inputs!$C$16*(Inputs!$C$29*NGS_Archaea_Input!$B$14-I143)+Inputs!$D$16*(I14-I143)+Inputs!$E$16*(Inputs!$D$29*NGS_Archaea_Input!$C$14-I143)))</f>
        <v>0</v>
      </c>
      <c r="K143" s="21">
        <f>IF(J143="","",J143+Inputs!$B$5/Inputs!$B$16*(Inputs!$C$16*(Inputs!$C$29*NGS_Archaea_Input!$B$14-J143)+Inputs!$D$16*(J14-J143)+Inputs!$E$16*(Inputs!$D$29*NGS_Archaea_Input!$C$14-J143)))</f>
        <v>0</v>
      </c>
      <c r="L143" s="21">
        <f>IF(K143="","",K143+Inputs!$B$5/Inputs!$B$16*(Inputs!$C$16*(Inputs!$C$29*NGS_Archaea_Input!$B$14-K143)+Inputs!$D$16*(K14-K143)+Inputs!$E$16*(Inputs!$D$29*NGS_Archaea_Input!$C$14-K143)))</f>
        <v>0</v>
      </c>
      <c r="M143" s="21">
        <f>IF(L143="","",L143+Inputs!$B$5/Inputs!$B$16*(Inputs!$C$16*(Inputs!$C$29*NGS_Archaea_Input!$B$14-L143)+Inputs!$D$16*(L14-L143)+Inputs!$E$16*(Inputs!$D$29*NGS_Archaea_Input!$C$14-L143)))</f>
        <v>0</v>
      </c>
      <c r="N143" s="21">
        <f>IF(M143="","",M143+Inputs!$B$5/Inputs!$B$16*(Inputs!$C$16*(Inputs!$C$29*NGS_Archaea_Input!$B$14-M143)+Inputs!$D$16*(M14-M143)+Inputs!$E$16*(Inputs!$D$29*NGS_Archaea_Input!$C$14-M143)))</f>
        <v>0</v>
      </c>
      <c r="O143" s="21">
        <f>IF(N143="","",N143+Inputs!$B$5/Inputs!$B$16*(Inputs!$C$16*(Inputs!$C$29*NGS_Archaea_Input!$B$14-N143)+Inputs!$D$16*(N14-N143)+Inputs!$E$16*(Inputs!$D$29*NGS_Archaea_Input!$C$14-N143)))</f>
        <v>0</v>
      </c>
      <c r="P143" s="21">
        <f>IF(O143="","",O143+Inputs!$B$5/Inputs!$B$16*(Inputs!$C$16*(Inputs!$C$29*NGS_Archaea_Input!$B$14-O143)+Inputs!$D$16*(O14-O143)+Inputs!$E$16*(Inputs!$D$29*NGS_Archaea_Input!$C$14-O143)))</f>
        <v>0</v>
      </c>
      <c r="Q143" s="21">
        <f>IF(P143="","",P143+Inputs!$B$5/Inputs!$B$16*(Inputs!$C$16*(Inputs!$C$29*NGS_Archaea_Input!$B$14-P143)+Inputs!$D$16*(P14-P143)+Inputs!$E$16*(Inputs!$D$29*NGS_Archaea_Input!$C$14-P143)))</f>
        <v>0</v>
      </c>
      <c r="R143" s="21">
        <f>IF(Q143="","",Q143+Inputs!$B$5/Inputs!$B$16*(Inputs!$C$16*(Inputs!$C$29*NGS_Archaea_Input!$B$14-Q143)+Inputs!$D$16*(Q14-Q143)+Inputs!$E$16*(Inputs!$D$29*NGS_Archaea_Input!$C$14-Q143)))</f>
        <v>0</v>
      </c>
      <c r="S143" s="21">
        <f>IF(R143="","",R143+Inputs!$B$5/Inputs!$B$16*(Inputs!$C$16*(Inputs!$C$29*NGS_Archaea_Input!$B$14-R143)+Inputs!$D$16*(R14-R143)+Inputs!$E$16*(Inputs!$D$29*NGS_Archaea_Input!$C$14-R143)))</f>
        <v>0</v>
      </c>
      <c r="T143" s="21">
        <f>IF(S143="","",S143+Inputs!$B$5/Inputs!$B$16*(Inputs!$C$16*(Inputs!$C$29*NGS_Archaea_Input!$B$14-S143)+Inputs!$D$16*(S14-S143)+Inputs!$E$16*(Inputs!$D$29*NGS_Archaea_Input!$C$14-S143)))</f>
        <v>0</v>
      </c>
      <c r="U143" s="21">
        <f>IF(T143="","",T143+Inputs!$B$5/Inputs!$B$16*(Inputs!$C$16*(Inputs!$C$29*NGS_Archaea_Input!$B$14-T143)+Inputs!$D$16*(T14-T143)+Inputs!$E$16*(Inputs!$D$29*NGS_Archaea_Input!$C$14-T143)))</f>
        <v>0</v>
      </c>
      <c r="V143" s="21">
        <f>IF(U143="","",U143+Inputs!$B$5/Inputs!$B$16*(Inputs!$C$16*(Inputs!$C$29*NGS_Archaea_Input!$B$14-U143)+Inputs!$D$16*(U14-U143)+Inputs!$E$16*(Inputs!$D$29*NGS_Archaea_Input!$C$14-U143)))</f>
        <v>0</v>
      </c>
      <c r="W143" s="21">
        <f>IF(V143="","",V143+Inputs!$B$5/Inputs!$B$16*(Inputs!$C$16*(Inputs!$C$29*NGS_Archaea_Input!$B$14-V143)+Inputs!$D$16*(V14-V143)+Inputs!$E$16*(Inputs!$D$29*NGS_Archaea_Input!$C$14-V143)))</f>
        <v>0</v>
      </c>
    </row>
    <row r="144" spans="1:23" ht="18" customHeight="1" x14ac:dyDescent="0.25">
      <c r="A144" s="11" t="str">
        <f>NGS_Archaea_Input!A15</f>
        <v>Others</v>
      </c>
      <c r="B144" s="21">
        <f>IF(Inputs!$H$39="","",Inputs!$H$39*NGS_Archaea_Input!$H$15)</f>
        <v>7043007.9040707704</v>
      </c>
      <c r="C144" s="21">
        <f>IF(B144="","",B144+Inputs!$B$5/Inputs!$B$16*(Inputs!$C$16*(Inputs!$C$29*NGS_Archaea_Input!$B$15-B144)+Inputs!$D$16*(B15-B144)+Inputs!$E$16*(Inputs!$D$29*NGS_Archaea_Input!$C$15-B144)))</f>
        <v>7136145.7456135489</v>
      </c>
      <c r="D144" s="21">
        <f>IF(C144="","",C144+Inputs!$B$5/Inputs!$B$16*(Inputs!$C$16*(Inputs!$C$29*NGS_Archaea_Input!$B$15-C144)+Inputs!$D$16*(C15-C144)+Inputs!$E$16*(Inputs!$D$29*NGS_Archaea_Input!$C$15-C144)))</f>
        <v>7219851.7820724277</v>
      </c>
      <c r="E144" s="21">
        <f>IF(D144="","",D144+Inputs!$B$5/Inputs!$B$16*(Inputs!$C$16*(Inputs!$C$29*NGS_Archaea_Input!$B$15-D144)+Inputs!$D$16*(D15-D144)+Inputs!$E$16*(Inputs!$D$29*NGS_Archaea_Input!$C$15-D144)))</f>
        <v>7294672.171251446</v>
      </c>
      <c r="F144" s="21">
        <f>IF(E144="","",E144+Inputs!$B$5/Inputs!$B$16*(Inputs!$C$16*(Inputs!$C$29*NGS_Archaea_Input!$B$15-E144)+Inputs!$D$16*(E15-E144)+Inputs!$E$16*(Inputs!$D$29*NGS_Archaea_Input!$C$15-E144)))</f>
        <v>7361125.3457948547</v>
      </c>
      <c r="G144" s="21">
        <f>IF(F144="","",F144+Inputs!$B$5/Inputs!$B$16*(Inputs!$C$16*(Inputs!$C$29*NGS_Archaea_Input!$B$15-F144)+Inputs!$D$16*(F15-F144)+Inputs!$E$16*(Inputs!$D$29*NGS_Archaea_Input!$C$15-F144)))</f>
        <v>7419703.3566055009</v>
      </c>
      <c r="H144" s="21">
        <f>IF(G144="","",G144+Inputs!$B$5/Inputs!$B$16*(Inputs!$C$16*(Inputs!$C$29*NGS_Archaea_Input!$B$15-G144)+Inputs!$D$16*(G15-G144)+Inputs!$E$16*(Inputs!$D$29*NGS_Archaea_Input!$C$15-G144)))</f>
        <v>7470873.1523193996</v>
      </c>
      <c r="I144" s="21">
        <f>IF(H144="","",H144+Inputs!$B$5/Inputs!$B$16*(Inputs!$C$16*(Inputs!$C$29*NGS_Archaea_Input!$B$15-H144)+Inputs!$D$16*(H15-H144)+Inputs!$E$16*(Inputs!$D$29*NGS_Archaea_Input!$C$15-H144)))</f>
        <v>7515077.7978605684</v>
      </c>
      <c r="J144" s="21">
        <f>IF(I144="","",I144+Inputs!$B$5/Inputs!$B$16*(Inputs!$C$16*(Inputs!$C$29*NGS_Archaea_Input!$B$15-I144)+Inputs!$D$16*(I15-I144)+Inputs!$E$16*(Inputs!$D$29*NGS_Archaea_Input!$C$15-I144)))</f>
        <v>7552737.63495743</v>
      </c>
      <c r="K144" s="21">
        <f>IF(J144="","",J144+Inputs!$B$5/Inputs!$B$16*(Inputs!$C$16*(Inputs!$C$29*NGS_Archaea_Input!$B$15-J144)+Inputs!$D$16*(J15-J144)+Inputs!$E$16*(Inputs!$D$29*NGS_Archaea_Input!$C$15-J144)))</f>
        <v>7584251.3873660462</v>
      </c>
      <c r="L144" s="21">
        <f>IF(K144="","",K144+Inputs!$B$5/Inputs!$B$16*(Inputs!$C$16*(Inputs!$C$29*NGS_Archaea_Input!$B$15-K144)+Inputs!$D$16*(K15-K144)+Inputs!$E$16*(Inputs!$D$29*NGS_Archaea_Input!$C$15-K144)))</f>
        <v>7609997.2134158183</v>
      </c>
      <c r="M144" s="21">
        <f>IF(L144="","",L144+Inputs!$B$5/Inputs!$B$16*(Inputs!$C$16*(Inputs!$C$29*NGS_Archaea_Input!$B$15-L144)+Inputs!$D$16*(L15-L144)+Inputs!$E$16*(Inputs!$D$29*NGS_Archaea_Input!$C$15-L144)))</f>
        <v>7630333.7083697999</v>
      </c>
      <c r="N144" s="21">
        <f>IF(M144="","",M144+Inputs!$B$5/Inputs!$B$16*(Inputs!$C$16*(Inputs!$C$29*NGS_Archaea_Input!$B$15-M144)+Inputs!$D$16*(M15-M144)+Inputs!$E$16*(Inputs!$D$29*NGS_Archaea_Input!$C$15-M144)))</f>
        <v>7645600.8589741187</v>
      </c>
      <c r="O144" s="21">
        <f>IF(N144="","",N144+Inputs!$B$5/Inputs!$B$16*(Inputs!$C$16*(Inputs!$C$29*NGS_Archaea_Input!$B$15-N144)+Inputs!$D$16*(N15-N144)+Inputs!$E$16*(Inputs!$D$29*NGS_Archaea_Input!$C$15-N144)))</f>
        <v>7656120.9524588697</v>
      </c>
      <c r="P144" s="21">
        <f>IF(O144="","",O144+Inputs!$B$5/Inputs!$B$16*(Inputs!$C$16*(Inputs!$C$29*NGS_Archaea_Input!$B$15-O144)+Inputs!$D$16*(O15-O144)+Inputs!$E$16*(Inputs!$D$29*NGS_Archaea_Input!$C$15-O144)))</f>
        <v>7662199.4421460629</v>
      </c>
      <c r="Q144" s="21">
        <f>IF(P144="","",P144+Inputs!$B$5/Inputs!$B$16*(Inputs!$C$16*(Inputs!$C$29*NGS_Archaea_Input!$B$15-P144)+Inputs!$D$16*(P15-P144)+Inputs!$E$16*(Inputs!$D$29*NGS_Archaea_Input!$C$15-P144)))</f>
        <v>7664125.7717184164</v>
      </c>
      <c r="R144" s="21">
        <f>IF(Q144="","",Q144+Inputs!$B$5/Inputs!$B$16*(Inputs!$C$16*(Inputs!$C$29*NGS_Archaea_Input!$B$15-Q144)+Inputs!$D$16*(Q15-Q144)+Inputs!$E$16*(Inputs!$D$29*NGS_Archaea_Input!$C$15-Q144)))</f>
        <v>7662174.1601058366</v>
      </c>
      <c r="S144" s="21">
        <f>IF(R144="","",R144+Inputs!$B$5/Inputs!$B$16*(Inputs!$C$16*(Inputs!$C$29*NGS_Archaea_Input!$B$15-R144)+Inputs!$D$16*(R15-R144)+Inputs!$E$16*(Inputs!$D$29*NGS_Archaea_Input!$C$15-R144)))</f>
        <v>7656604.3488540333</v>
      </c>
      <c r="T144" s="21">
        <f>IF(S144="","",S144+Inputs!$B$5/Inputs!$B$16*(Inputs!$C$16*(Inputs!$C$29*NGS_Archaea_Input!$B$15-S144)+Inputs!$D$16*(S15-S144)+Inputs!$E$16*(Inputs!$D$29*NGS_Archaea_Input!$C$15-S144)))</f>
        <v>7647662.3137517013</v>
      </c>
      <c r="U144" s="21">
        <f>IF(T144="","",T144+Inputs!$B$5/Inputs!$B$16*(Inputs!$C$16*(Inputs!$C$29*NGS_Archaea_Input!$B$15-T144)+Inputs!$D$16*(T15-T144)+Inputs!$E$16*(Inputs!$D$29*NGS_Archaea_Input!$C$15-T144)))</f>
        <v>7635580.9424088318</v>
      </c>
      <c r="V144" s="21">
        <f>IF(U144="","",U144+Inputs!$B$5/Inputs!$B$16*(Inputs!$C$16*(Inputs!$C$29*NGS_Archaea_Input!$B$15-U144)+Inputs!$D$16*(U15-U144)+Inputs!$E$16*(Inputs!$D$29*NGS_Archaea_Input!$C$15-U144)))</f>
        <v>7620580.6793988049</v>
      </c>
      <c r="W144" s="21">
        <f>IF(V144="","",V144+Inputs!$B$5/Inputs!$B$16*(Inputs!$C$16*(Inputs!$C$29*NGS_Archaea_Input!$B$15-V144)+Inputs!$D$16*(V15-V144)+Inputs!$E$16*(Inputs!$D$29*NGS_Archaea_Input!$C$15-V144)))</f>
        <v>7602870.1405007746</v>
      </c>
    </row>
    <row r="145" spans="1:23" ht="18" customHeight="1" x14ac:dyDescent="0.25"/>
    <row r="146" spans="1:23" ht="18" customHeight="1" x14ac:dyDescent="0.25">
      <c r="A146" s="25" t="s">
        <v>162</v>
      </c>
    </row>
    <row r="147" spans="1:23" ht="18" customHeight="1" x14ac:dyDescent="0.25">
      <c r="A147" s="11" t="str">
        <f>NGS_Archaea_Input!A5</f>
        <v>Arc_taxon_1</v>
      </c>
      <c r="B147" s="14">
        <f>IF(BAC_ARC_Daily!AE5&lt;&gt;0,B134/BAC_ARC_Daily!AE5,"")</f>
        <v>0</v>
      </c>
      <c r="C147" s="14">
        <f>IF(BAC_ARC_Daily!AE6&lt;&gt;0,C134/BAC_ARC_Daily!AE6,"")</f>
        <v>0</v>
      </c>
      <c r="D147" s="14">
        <f>IF(BAC_ARC_Daily!AE7&lt;&gt;0,D134/BAC_ARC_Daily!AE7,"")</f>
        <v>0</v>
      </c>
      <c r="E147" s="14">
        <f>IF(BAC_ARC_Daily!AE8&lt;&gt;0,E134/BAC_ARC_Daily!AE8,"")</f>
        <v>0</v>
      </c>
      <c r="F147" s="14">
        <f>IF(BAC_ARC_Daily!AE9&lt;&gt;0,F134/BAC_ARC_Daily!AE9,"")</f>
        <v>0</v>
      </c>
      <c r="G147" s="14">
        <f>IF(BAC_ARC_Daily!AE10&lt;&gt;0,G134/BAC_ARC_Daily!AE10,"")</f>
        <v>0</v>
      </c>
      <c r="H147" s="14">
        <f>IF(BAC_ARC_Daily!AE11&lt;&gt;0,H134/BAC_ARC_Daily!AE11,"")</f>
        <v>0</v>
      </c>
      <c r="I147" s="14">
        <f>IF(BAC_ARC_Daily!AE12&lt;&gt;0,I134/BAC_ARC_Daily!AE12,"")</f>
        <v>0</v>
      </c>
      <c r="J147" s="14">
        <f>IF(BAC_ARC_Daily!AE13&lt;&gt;0,J134/BAC_ARC_Daily!AE13,"")</f>
        <v>0</v>
      </c>
      <c r="K147" s="14">
        <f>IF(BAC_ARC_Daily!AE14&lt;&gt;0,K134/BAC_ARC_Daily!AE14,"")</f>
        <v>0</v>
      </c>
      <c r="L147" s="14">
        <f>IF(BAC_ARC_Daily!AE15&lt;&gt;0,L134/BAC_ARC_Daily!AE15,"")</f>
        <v>0</v>
      </c>
      <c r="M147" s="14">
        <f>IF(BAC_ARC_Daily!AE16&lt;&gt;0,M134/BAC_ARC_Daily!AE16,"")</f>
        <v>0</v>
      </c>
      <c r="N147" s="14">
        <f>IF(BAC_ARC_Daily!AE17&lt;&gt;0,N134/BAC_ARC_Daily!AE17,"")</f>
        <v>0</v>
      </c>
      <c r="O147" s="14">
        <f>IF(BAC_ARC_Daily!AE18&lt;&gt;0,O134/BAC_ARC_Daily!AE18,"")</f>
        <v>0</v>
      </c>
      <c r="P147" s="14">
        <f>IF(BAC_ARC_Daily!AE19&lt;&gt;0,P134/BAC_ARC_Daily!AE19,"")</f>
        <v>0</v>
      </c>
      <c r="Q147" s="14">
        <f>IF(BAC_ARC_Daily!AE20&lt;&gt;0,Q134/BAC_ARC_Daily!AE20,"")</f>
        <v>0</v>
      </c>
      <c r="R147" s="14">
        <f>IF(BAC_ARC_Daily!AE21&lt;&gt;0,R134/BAC_ARC_Daily!AE21,"")</f>
        <v>0</v>
      </c>
      <c r="S147" s="14">
        <f>IF(BAC_ARC_Daily!AE22&lt;&gt;0,S134/BAC_ARC_Daily!AE22,"")</f>
        <v>0</v>
      </c>
      <c r="T147" s="14">
        <f>IF(BAC_ARC_Daily!AE23&lt;&gt;0,T134/BAC_ARC_Daily!AE23,"")</f>
        <v>0</v>
      </c>
      <c r="U147" s="14">
        <f>IF(BAC_ARC_Daily!AE24&lt;&gt;0,U134/BAC_ARC_Daily!AE24,"")</f>
        <v>0</v>
      </c>
      <c r="V147" s="14">
        <f>IF(BAC_ARC_Daily!AE25&lt;&gt;0,V134/BAC_ARC_Daily!AE25,"")</f>
        <v>0</v>
      </c>
      <c r="W147" s="14">
        <f>IF(BAC_ARC_Daily!AE26&lt;&gt;0,W134/BAC_ARC_Daily!AE26,"")</f>
        <v>0</v>
      </c>
    </row>
    <row r="148" spans="1:23" ht="18" customHeight="1" x14ac:dyDescent="0.25">
      <c r="A148" s="11" t="str">
        <f>NGS_Archaea_Input!A6</f>
        <v>Arc_taxon_2</v>
      </c>
      <c r="B148" s="14">
        <f>IF(BAC_ARC_Daily!AE5&lt;&gt;0,B135/BAC_ARC_Daily!AE5,"")</f>
        <v>0</v>
      </c>
      <c r="C148" s="14">
        <f>IF(BAC_ARC_Daily!AE6&lt;&gt;0,C135/BAC_ARC_Daily!AE6,"")</f>
        <v>0</v>
      </c>
      <c r="D148" s="14">
        <f>IF(BAC_ARC_Daily!AE7&lt;&gt;0,D135/BAC_ARC_Daily!AE7,"")</f>
        <v>0</v>
      </c>
      <c r="E148" s="14">
        <f>IF(BAC_ARC_Daily!AE8&lt;&gt;0,E135/BAC_ARC_Daily!AE8,"")</f>
        <v>0</v>
      </c>
      <c r="F148" s="14">
        <f>IF(BAC_ARC_Daily!AE9&lt;&gt;0,F135/BAC_ARC_Daily!AE9,"")</f>
        <v>0</v>
      </c>
      <c r="G148" s="14">
        <f>IF(BAC_ARC_Daily!AE10&lt;&gt;0,G135/BAC_ARC_Daily!AE10,"")</f>
        <v>0</v>
      </c>
      <c r="H148" s="14">
        <f>IF(BAC_ARC_Daily!AE11&lt;&gt;0,H135/BAC_ARC_Daily!AE11,"")</f>
        <v>0</v>
      </c>
      <c r="I148" s="14">
        <f>IF(BAC_ARC_Daily!AE12&lt;&gt;0,I135/BAC_ARC_Daily!AE12,"")</f>
        <v>0</v>
      </c>
      <c r="J148" s="14">
        <f>IF(BAC_ARC_Daily!AE13&lt;&gt;0,J135/BAC_ARC_Daily!AE13,"")</f>
        <v>0</v>
      </c>
      <c r="K148" s="14">
        <f>IF(BAC_ARC_Daily!AE14&lt;&gt;0,K135/BAC_ARC_Daily!AE14,"")</f>
        <v>0</v>
      </c>
      <c r="L148" s="14">
        <f>IF(BAC_ARC_Daily!AE15&lt;&gt;0,L135/BAC_ARC_Daily!AE15,"")</f>
        <v>0</v>
      </c>
      <c r="M148" s="14">
        <f>IF(BAC_ARC_Daily!AE16&lt;&gt;0,M135/BAC_ARC_Daily!AE16,"")</f>
        <v>0</v>
      </c>
      <c r="N148" s="14">
        <f>IF(BAC_ARC_Daily!AE17&lt;&gt;0,N135/BAC_ARC_Daily!AE17,"")</f>
        <v>0</v>
      </c>
      <c r="O148" s="14">
        <f>IF(BAC_ARC_Daily!AE18&lt;&gt;0,O135/BAC_ARC_Daily!AE18,"")</f>
        <v>0</v>
      </c>
      <c r="P148" s="14">
        <f>IF(BAC_ARC_Daily!AE19&lt;&gt;0,P135/BAC_ARC_Daily!AE19,"")</f>
        <v>0</v>
      </c>
      <c r="Q148" s="14">
        <f>IF(BAC_ARC_Daily!AE20&lt;&gt;0,Q135/BAC_ARC_Daily!AE20,"")</f>
        <v>0</v>
      </c>
      <c r="R148" s="14">
        <f>IF(BAC_ARC_Daily!AE21&lt;&gt;0,R135/BAC_ARC_Daily!AE21,"")</f>
        <v>0</v>
      </c>
      <c r="S148" s="14">
        <f>IF(BAC_ARC_Daily!AE22&lt;&gt;0,S135/BAC_ARC_Daily!AE22,"")</f>
        <v>0</v>
      </c>
      <c r="T148" s="14">
        <f>IF(BAC_ARC_Daily!AE23&lt;&gt;0,T135/BAC_ARC_Daily!AE23,"")</f>
        <v>0</v>
      </c>
      <c r="U148" s="14">
        <f>IF(BAC_ARC_Daily!AE24&lt;&gt;0,U135/BAC_ARC_Daily!AE24,"")</f>
        <v>0</v>
      </c>
      <c r="V148" s="14">
        <f>IF(BAC_ARC_Daily!AE25&lt;&gt;0,V135/BAC_ARC_Daily!AE25,"")</f>
        <v>0</v>
      </c>
      <c r="W148" s="14">
        <f>IF(BAC_ARC_Daily!AE26&lt;&gt;0,W135/BAC_ARC_Daily!AE26,"")</f>
        <v>0</v>
      </c>
    </row>
    <row r="149" spans="1:23" ht="18" customHeight="1" x14ac:dyDescent="0.25">
      <c r="A149" s="11" t="str">
        <f>NGS_Archaea_Input!A7</f>
        <v>Arc_taxon_3</v>
      </c>
      <c r="B149" s="14">
        <f>IF(BAC_ARC_Daily!AE5&lt;&gt;0,B136/BAC_ARC_Daily!AE5,"")</f>
        <v>0</v>
      </c>
      <c r="C149" s="14">
        <f>IF(BAC_ARC_Daily!AE6&lt;&gt;0,C136/BAC_ARC_Daily!AE6,"")</f>
        <v>0</v>
      </c>
      <c r="D149" s="14">
        <f>IF(BAC_ARC_Daily!AE7&lt;&gt;0,D136/BAC_ARC_Daily!AE7,"")</f>
        <v>0</v>
      </c>
      <c r="E149" s="14">
        <f>IF(BAC_ARC_Daily!AE8&lt;&gt;0,E136/BAC_ARC_Daily!AE8,"")</f>
        <v>0</v>
      </c>
      <c r="F149" s="14">
        <f>IF(BAC_ARC_Daily!AE9&lt;&gt;0,F136/BAC_ARC_Daily!AE9,"")</f>
        <v>0</v>
      </c>
      <c r="G149" s="14">
        <f>IF(BAC_ARC_Daily!AE10&lt;&gt;0,G136/BAC_ARC_Daily!AE10,"")</f>
        <v>0</v>
      </c>
      <c r="H149" s="14">
        <f>IF(BAC_ARC_Daily!AE11&lt;&gt;0,H136/BAC_ARC_Daily!AE11,"")</f>
        <v>0</v>
      </c>
      <c r="I149" s="14">
        <f>IF(BAC_ARC_Daily!AE12&lt;&gt;0,I136/BAC_ARC_Daily!AE12,"")</f>
        <v>0</v>
      </c>
      <c r="J149" s="14">
        <f>IF(BAC_ARC_Daily!AE13&lt;&gt;0,J136/BAC_ARC_Daily!AE13,"")</f>
        <v>0</v>
      </c>
      <c r="K149" s="14">
        <f>IF(BAC_ARC_Daily!AE14&lt;&gt;0,K136/BAC_ARC_Daily!AE14,"")</f>
        <v>0</v>
      </c>
      <c r="L149" s="14">
        <f>IF(BAC_ARC_Daily!AE15&lt;&gt;0,L136/BAC_ARC_Daily!AE15,"")</f>
        <v>0</v>
      </c>
      <c r="M149" s="14">
        <f>IF(BAC_ARC_Daily!AE16&lt;&gt;0,M136/BAC_ARC_Daily!AE16,"")</f>
        <v>0</v>
      </c>
      <c r="N149" s="14">
        <f>IF(BAC_ARC_Daily!AE17&lt;&gt;0,N136/BAC_ARC_Daily!AE17,"")</f>
        <v>0</v>
      </c>
      <c r="O149" s="14">
        <f>IF(BAC_ARC_Daily!AE18&lt;&gt;0,O136/BAC_ARC_Daily!AE18,"")</f>
        <v>0</v>
      </c>
      <c r="P149" s="14">
        <f>IF(BAC_ARC_Daily!AE19&lt;&gt;0,P136/BAC_ARC_Daily!AE19,"")</f>
        <v>0</v>
      </c>
      <c r="Q149" s="14">
        <f>IF(BAC_ARC_Daily!AE20&lt;&gt;0,Q136/BAC_ARC_Daily!AE20,"")</f>
        <v>0</v>
      </c>
      <c r="R149" s="14">
        <f>IF(BAC_ARC_Daily!AE21&lt;&gt;0,R136/BAC_ARC_Daily!AE21,"")</f>
        <v>0</v>
      </c>
      <c r="S149" s="14">
        <f>IF(BAC_ARC_Daily!AE22&lt;&gt;0,S136/BAC_ARC_Daily!AE22,"")</f>
        <v>0</v>
      </c>
      <c r="T149" s="14">
        <f>IF(BAC_ARC_Daily!AE23&lt;&gt;0,T136/BAC_ARC_Daily!AE23,"")</f>
        <v>0</v>
      </c>
      <c r="U149" s="14">
        <f>IF(BAC_ARC_Daily!AE24&lt;&gt;0,U136/BAC_ARC_Daily!AE24,"")</f>
        <v>0</v>
      </c>
      <c r="V149" s="14">
        <f>IF(BAC_ARC_Daily!AE25&lt;&gt;0,V136/BAC_ARC_Daily!AE25,"")</f>
        <v>0</v>
      </c>
      <c r="W149" s="14">
        <f>IF(BAC_ARC_Daily!AE26&lt;&gt;0,W136/BAC_ARC_Daily!AE26,"")</f>
        <v>0</v>
      </c>
    </row>
    <row r="150" spans="1:23" ht="18" customHeight="1" x14ac:dyDescent="0.25">
      <c r="A150" s="11" t="str">
        <f>NGS_Archaea_Input!A8</f>
        <v>Arc_taxon_4</v>
      </c>
      <c r="B150" s="14">
        <f>IF(BAC_ARC_Daily!AE5&lt;&gt;0,B137/BAC_ARC_Daily!AE5,"")</f>
        <v>0</v>
      </c>
      <c r="C150" s="14">
        <f>IF(BAC_ARC_Daily!AE6&lt;&gt;0,C137/BAC_ARC_Daily!AE6,"")</f>
        <v>0</v>
      </c>
      <c r="D150" s="14">
        <f>IF(BAC_ARC_Daily!AE7&lt;&gt;0,D137/BAC_ARC_Daily!AE7,"")</f>
        <v>0</v>
      </c>
      <c r="E150" s="14">
        <f>IF(BAC_ARC_Daily!AE8&lt;&gt;0,E137/BAC_ARC_Daily!AE8,"")</f>
        <v>0</v>
      </c>
      <c r="F150" s="14">
        <f>IF(BAC_ARC_Daily!AE9&lt;&gt;0,F137/BAC_ARC_Daily!AE9,"")</f>
        <v>0</v>
      </c>
      <c r="G150" s="14">
        <f>IF(BAC_ARC_Daily!AE10&lt;&gt;0,G137/BAC_ARC_Daily!AE10,"")</f>
        <v>0</v>
      </c>
      <c r="H150" s="14">
        <f>IF(BAC_ARC_Daily!AE11&lt;&gt;0,H137/BAC_ARC_Daily!AE11,"")</f>
        <v>0</v>
      </c>
      <c r="I150" s="14">
        <f>IF(BAC_ARC_Daily!AE12&lt;&gt;0,I137/BAC_ARC_Daily!AE12,"")</f>
        <v>0</v>
      </c>
      <c r="J150" s="14">
        <f>IF(BAC_ARC_Daily!AE13&lt;&gt;0,J137/BAC_ARC_Daily!AE13,"")</f>
        <v>0</v>
      </c>
      <c r="K150" s="14">
        <f>IF(BAC_ARC_Daily!AE14&lt;&gt;0,K137/BAC_ARC_Daily!AE14,"")</f>
        <v>0</v>
      </c>
      <c r="L150" s="14">
        <f>IF(BAC_ARC_Daily!AE15&lt;&gt;0,L137/BAC_ARC_Daily!AE15,"")</f>
        <v>0</v>
      </c>
      <c r="M150" s="14">
        <f>IF(BAC_ARC_Daily!AE16&lt;&gt;0,M137/BAC_ARC_Daily!AE16,"")</f>
        <v>0</v>
      </c>
      <c r="N150" s="14">
        <f>IF(BAC_ARC_Daily!AE17&lt;&gt;0,N137/BAC_ARC_Daily!AE17,"")</f>
        <v>0</v>
      </c>
      <c r="O150" s="14">
        <f>IF(BAC_ARC_Daily!AE18&lt;&gt;0,O137/BAC_ARC_Daily!AE18,"")</f>
        <v>0</v>
      </c>
      <c r="P150" s="14">
        <f>IF(BAC_ARC_Daily!AE19&lt;&gt;0,P137/BAC_ARC_Daily!AE19,"")</f>
        <v>0</v>
      </c>
      <c r="Q150" s="14">
        <f>IF(BAC_ARC_Daily!AE20&lt;&gt;0,Q137/BAC_ARC_Daily!AE20,"")</f>
        <v>0</v>
      </c>
      <c r="R150" s="14">
        <f>IF(BAC_ARC_Daily!AE21&lt;&gt;0,R137/BAC_ARC_Daily!AE21,"")</f>
        <v>0</v>
      </c>
      <c r="S150" s="14">
        <f>IF(BAC_ARC_Daily!AE22&lt;&gt;0,S137/BAC_ARC_Daily!AE22,"")</f>
        <v>0</v>
      </c>
      <c r="T150" s="14">
        <f>IF(BAC_ARC_Daily!AE23&lt;&gt;0,T137/BAC_ARC_Daily!AE23,"")</f>
        <v>0</v>
      </c>
      <c r="U150" s="14">
        <f>IF(BAC_ARC_Daily!AE24&lt;&gt;0,U137/BAC_ARC_Daily!AE24,"")</f>
        <v>0</v>
      </c>
      <c r="V150" s="14">
        <f>IF(BAC_ARC_Daily!AE25&lt;&gt;0,V137/BAC_ARC_Daily!AE25,"")</f>
        <v>0</v>
      </c>
      <c r="W150" s="14">
        <f>IF(BAC_ARC_Daily!AE26&lt;&gt;0,W137/BAC_ARC_Daily!AE26,"")</f>
        <v>0</v>
      </c>
    </row>
    <row r="151" spans="1:23" ht="18" customHeight="1" x14ac:dyDescent="0.25">
      <c r="A151" s="11" t="str">
        <f>NGS_Archaea_Input!A9</f>
        <v>Arc_taxon_5</v>
      </c>
      <c r="B151" s="14">
        <f>IF(BAC_ARC_Daily!AE5&lt;&gt;0,B138/BAC_ARC_Daily!AE5,"")</f>
        <v>0</v>
      </c>
      <c r="C151" s="14">
        <f>IF(BAC_ARC_Daily!AE6&lt;&gt;0,C138/BAC_ARC_Daily!AE6,"")</f>
        <v>0</v>
      </c>
      <c r="D151" s="14">
        <f>IF(BAC_ARC_Daily!AE7&lt;&gt;0,D138/BAC_ARC_Daily!AE7,"")</f>
        <v>0</v>
      </c>
      <c r="E151" s="14">
        <f>IF(BAC_ARC_Daily!AE8&lt;&gt;0,E138/BAC_ARC_Daily!AE8,"")</f>
        <v>0</v>
      </c>
      <c r="F151" s="14">
        <f>IF(BAC_ARC_Daily!AE9&lt;&gt;0,F138/BAC_ARC_Daily!AE9,"")</f>
        <v>0</v>
      </c>
      <c r="G151" s="14">
        <f>IF(BAC_ARC_Daily!AE10&lt;&gt;0,G138/BAC_ARC_Daily!AE10,"")</f>
        <v>0</v>
      </c>
      <c r="H151" s="14">
        <f>IF(BAC_ARC_Daily!AE11&lt;&gt;0,H138/BAC_ARC_Daily!AE11,"")</f>
        <v>0</v>
      </c>
      <c r="I151" s="14">
        <f>IF(BAC_ARC_Daily!AE12&lt;&gt;0,I138/BAC_ARC_Daily!AE12,"")</f>
        <v>0</v>
      </c>
      <c r="J151" s="14">
        <f>IF(BAC_ARC_Daily!AE13&lt;&gt;0,J138/BAC_ARC_Daily!AE13,"")</f>
        <v>0</v>
      </c>
      <c r="K151" s="14">
        <f>IF(BAC_ARC_Daily!AE14&lt;&gt;0,K138/BAC_ARC_Daily!AE14,"")</f>
        <v>0</v>
      </c>
      <c r="L151" s="14">
        <f>IF(BAC_ARC_Daily!AE15&lt;&gt;0,L138/BAC_ARC_Daily!AE15,"")</f>
        <v>0</v>
      </c>
      <c r="M151" s="14">
        <f>IF(BAC_ARC_Daily!AE16&lt;&gt;0,M138/BAC_ARC_Daily!AE16,"")</f>
        <v>0</v>
      </c>
      <c r="N151" s="14">
        <f>IF(BAC_ARC_Daily!AE17&lt;&gt;0,N138/BAC_ARC_Daily!AE17,"")</f>
        <v>0</v>
      </c>
      <c r="O151" s="14">
        <f>IF(BAC_ARC_Daily!AE18&lt;&gt;0,O138/BAC_ARC_Daily!AE18,"")</f>
        <v>0</v>
      </c>
      <c r="P151" s="14">
        <f>IF(BAC_ARC_Daily!AE19&lt;&gt;0,P138/BAC_ARC_Daily!AE19,"")</f>
        <v>0</v>
      </c>
      <c r="Q151" s="14">
        <f>IF(BAC_ARC_Daily!AE20&lt;&gt;0,Q138/BAC_ARC_Daily!AE20,"")</f>
        <v>0</v>
      </c>
      <c r="R151" s="14">
        <f>IF(BAC_ARC_Daily!AE21&lt;&gt;0,R138/BAC_ARC_Daily!AE21,"")</f>
        <v>0</v>
      </c>
      <c r="S151" s="14">
        <f>IF(BAC_ARC_Daily!AE22&lt;&gt;0,S138/BAC_ARC_Daily!AE22,"")</f>
        <v>0</v>
      </c>
      <c r="T151" s="14">
        <f>IF(BAC_ARC_Daily!AE23&lt;&gt;0,T138/BAC_ARC_Daily!AE23,"")</f>
        <v>0</v>
      </c>
      <c r="U151" s="14">
        <f>IF(BAC_ARC_Daily!AE24&lt;&gt;0,U138/BAC_ARC_Daily!AE24,"")</f>
        <v>0</v>
      </c>
      <c r="V151" s="14">
        <f>IF(BAC_ARC_Daily!AE25&lt;&gt;0,V138/BAC_ARC_Daily!AE25,"")</f>
        <v>0</v>
      </c>
      <c r="W151" s="14">
        <f>IF(BAC_ARC_Daily!AE26&lt;&gt;0,W138/BAC_ARC_Daily!AE26,"")</f>
        <v>0</v>
      </c>
    </row>
    <row r="152" spans="1:23" ht="18" customHeight="1" x14ac:dyDescent="0.25">
      <c r="A152" s="11" t="str">
        <f>NGS_Archaea_Input!A10</f>
        <v>Arc_taxon_6</v>
      </c>
      <c r="B152" s="14">
        <f>IF(BAC_ARC_Daily!AE5&lt;&gt;0,B139/BAC_ARC_Daily!AE5,"")</f>
        <v>0</v>
      </c>
      <c r="C152" s="14">
        <f>IF(BAC_ARC_Daily!AE6&lt;&gt;0,C139/BAC_ARC_Daily!AE6,"")</f>
        <v>0</v>
      </c>
      <c r="D152" s="14">
        <f>IF(BAC_ARC_Daily!AE7&lt;&gt;0,D139/BAC_ARC_Daily!AE7,"")</f>
        <v>0</v>
      </c>
      <c r="E152" s="14">
        <f>IF(BAC_ARC_Daily!AE8&lt;&gt;0,E139/BAC_ARC_Daily!AE8,"")</f>
        <v>0</v>
      </c>
      <c r="F152" s="14">
        <f>IF(BAC_ARC_Daily!AE9&lt;&gt;0,F139/BAC_ARC_Daily!AE9,"")</f>
        <v>0</v>
      </c>
      <c r="G152" s="14">
        <f>IF(BAC_ARC_Daily!AE10&lt;&gt;0,G139/BAC_ARC_Daily!AE10,"")</f>
        <v>0</v>
      </c>
      <c r="H152" s="14">
        <f>IF(BAC_ARC_Daily!AE11&lt;&gt;0,H139/BAC_ARC_Daily!AE11,"")</f>
        <v>0</v>
      </c>
      <c r="I152" s="14">
        <f>IF(BAC_ARC_Daily!AE12&lt;&gt;0,I139/BAC_ARC_Daily!AE12,"")</f>
        <v>0</v>
      </c>
      <c r="J152" s="14">
        <f>IF(BAC_ARC_Daily!AE13&lt;&gt;0,J139/BAC_ARC_Daily!AE13,"")</f>
        <v>0</v>
      </c>
      <c r="K152" s="14">
        <f>IF(BAC_ARC_Daily!AE14&lt;&gt;0,K139/BAC_ARC_Daily!AE14,"")</f>
        <v>0</v>
      </c>
      <c r="L152" s="14">
        <f>IF(BAC_ARC_Daily!AE15&lt;&gt;0,L139/BAC_ARC_Daily!AE15,"")</f>
        <v>0</v>
      </c>
      <c r="M152" s="14">
        <f>IF(BAC_ARC_Daily!AE16&lt;&gt;0,M139/BAC_ARC_Daily!AE16,"")</f>
        <v>0</v>
      </c>
      <c r="N152" s="14">
        <f>IF(BAC_ARC_Daily!AE17&lt;&gt;0,N139/BAC_ARC_Daily!AE17,"")</f>
        <v>0</v>
      </c>
      <c r="O152" s="14">
        <f>IF(BAC_ARC_Daily!AE18&lt;&gt;0,O139/BAC_ARC_Daily!AE18,"")</f>
        <v>0</v>
      </c>
      <c r="P152" s="14">
        <f>IF(BAC_ARC_Daily!AE19&lt;&gt;0,P139/BAC_ARC_Daily!AE19,"")</f>
        <v>0</v>
      </c>
      <c r="Q152" s="14">
        <f>IF(BAC_ARC_Daily!AE20&lt;&gt;0,Q139/BAC_ARC_Daily!AE20,"")</f>
        <v>0</v>
      </c>
      <c r="R152" s="14">
        <f>IF(BAC_ARC_Daily!AE21&lt;&gt;0,R139/BAC_ARC_Daily!AE21,"")</f>
        <v>0</v>
      </c>
      <c r="S152" s="14">
        <f>IF(BAC_ARC_Daily!AE22&lt;&gt;0,S139/BAC_ARC_Daily!AE22,"")</f>
        <v>0</v>
      </c>
      <c r="T152" s="14">
        <f>IF(BAC_ARC_Daily!AE23&lt;&gt;0,T139/BAC_ARC_Daily!AE23,"")</f>
        <v>0</v>
      </c>
      <c r="U152" s="14">
        <f>IF(BAC_ARC_Daily!AE24&lt;&gt;0,U139/BAC_ARC_Daily!AE24,"")</f>
        <v>0</v>
      </c>
      <c r="V152" s="14">
        <f>IF(BAC_ARC_Daily!AE25&lt;&gt;0,V139/BAC_ARC_Daily!AE25,"")</f>
        <v>0</v>
      </c>
      <c r="W152" s="14">
        <f>IF(BAC_ARC_Daily!AE26&lt;&gt;0,W139/BAC_ARC_Daily!AE26,"")</f>
        <v>0</v>
      </c>
    </row>
    <row r="153" spans="1:23" ht="18" customHeight="1" x14ac:dyDescent="0.25">
      <c r="A153" s="11" t="str">
        <f>NGS_Archaea_Input!A11</f>
        <v>Arc_taxon_7</v>
      </c>
      <c r="B153" s="14">
        <f>IF(BAC_ARC_Daily!AE5&lt;&gt;0,B140/BAC_ARC_Daily!AE5,"")</f>
        <v>0</v>
      </c>
      <c r="C153" s="14">
        <f>IF(BAC_ARC_Daily!AE6&lt;&gt;0,C140/BAC_ARC_Daily!AE6,"")</f>
        <v>0</v>
      </c>
      <c r="D153" s="14">
        <f>IF(BAC_ARC_Daily!AE7&lt;&gt;0,D140/BAC_ARC_Daily!AE7,"")</f>
        <v>0</v>
      </c>
      <c r="E153" s="14">
        <f>IF(BAC_ARC_Daily!AE8&lt;&gt;0,E140/BAC_ARC_Daily!AE8,"")</f>
        <v>0</v>
      </c>
      <c r="F153" s="14">
        <f>IF(BAC_ARC_Daily!AE9&lt;&gt;0,F140/BAC_ARC_Daily!AE9,"")</f>
        <v>0</v>
      </c>
      <c r="G153" s="14">
        <f>IF(BAC_ARC_Daily!AE10&lt;&gt;0,G140/BAC_ARC_Daily!AE10,"")</f>
        <v>0</v>
      </c>
      <c r="H153" s="14">
        <f>IF(BAC_ARC_Daily!AE11&lt;&gt;0,H140/BAC_ARC_Daily!AE11,"")</f>
        <v>0</v>
      </c>
      <c r="I153" s="14">
        <f>IF(BAC_ARC_Daily!AE12&lt;&gt;0,I140/BAC_ARC_Daily!AE12,"")</f>
        <v>0</v>
      </c>
      <c r="J153" s="14">
        <f>IF(BAC_ARC_Daily!AE13&lt;&gt;0,J140/BAC_ARC_Daily!AE13,"")</f>
        <v>0</v>
      </c>
      <c r="K153" s="14">
        <f>IF(BAC_ARC_Daily!AE14&lt;&gt;0,K140/BAC_ARC_Daily!AE14,"")</f>
        <v>0</v>
      </c>
      <c r="L153" s="14">
        <f>IF(BAC_ARC_Daily!AE15&lt;&gt;0,L140/BAC_ARC_Daily!AE15,"")</f>
        <v>0</v>
      </c>
      <c r="M153" s="14">
        <f>IF(BAC_ARC_Daily!AE16&lt;&gt;0,M140/BAC_ARC_Daily!AE16,"")</f>
        <v>0</v>
      </c>
      <c r="N153" s="14">
        <f>IF(BAC_ARC_Daily!AE17&lt;&gt;0,N140/BAC_ARC_Daily!AE17,"")</f>
        <v>0</v>
      </c>
      <c r="O153" s="14">
        <f>IF(BAC_ARC_Daily!AE18&lt;&gt;0,O140/BAC_ARC_Daily!AE18,"")</f>
        <v>0</v>
      </c>
      <c r="P153" s="14">
        <f>IF(BAC_ARC_Daily!AE19&lt;&gt;0,P140/BAC_ARC_Daily!AE19,"")</f>
        <v>0</v>
      </c>
      <c r="Q153" s="14">
        <f>IF(BAC_ARC_Daily!AE20&lt;&gt;0,Q140/BAC_ARC_Daily!AE20,"")</f>
        <v>0</v>
      </c>
      <c r="R153" s="14">
        <f>IF(BAC_ARC_Daily!AE21&lt;&gt;0,R140/BAC_ARC_Daily!AE21,"")</f>
        <v>0</v>
      </c>
      <c r="S153" s="14">
        <f>IF(BAC_ARC_Daily!AE22&lt;&gt;0,S140/BAC_ARC_Daily!AE22,"")</f>
        <v>0</v>
      </c>
      <c r="T153" s="14">
        <f>IF(BAC_ARC_Daily!AE23&lt;&gt;0,T140/BAC_ARC_Daily!AE23,"")</f>
        <v>0</v>
      </c>
      <c r="U153" s="14">
        <f>IF(BAC_ARC_Daily!AE24&lt;&gt;0,U140/BAC_ARC_Daily!AE24,"")</f>
        <v>0</v>
      </c>
      <c r="V153" s="14">
        <f>IF(BAC_ARC_Daily!AE25&lt;&gt;0,V140/BAC_ARC_Daily!AE25,"")</f>
        <v>0</v>
      </c>
      <c r="W153" s="14">
        <f>IF(BAC_ARC_Daily!AE26&lt;&gt;0,W140/BAC_ARC_Daily!AE26,"")</f>
        <v>0</v>
      </c>
    </row>
    <row r="154" spans="1:23" ht="18" customHeight="1" x14ac:dyDescent="0.25">
      <c r="A154" s="11" t="str">
        <f>NGS_Archaea_Input!A12</f>
        <v>Arc_taxon_8</v>
      </c>
      <c r="B154" s="14">
        <f>IF(BAC_ARC_Daily!AE5&lt;&gt;0,B141/BAC_ARC_Daily!AE5,"")</f>
        <v>0</v>
      </c>
      <c r="C154" s="14">
        <f>IF(BAC_ARC_Daily!AE6&lt;&gt;0,C141/BAC_ARC_Daily!AE6,"")</f>
        <v>0</v>
      </c>
      <c r="D154" s="14">
        <f>IF(BAC_ARC_Daily!AE7&lt;&gt;0,D141/BAC_ARC_Daily!AE7,"")</f>
        <v>0</v>
      </c>
      <c r="E154" s="14">
        <f>IF(BAC_ARC_Daily!AE8&lt;&gt;0,E141/BAC_ARC_Daily!AE8,"")</f>
        <v>0</v>
      </c>
      <c r="F154" s="14">
        <f>IF(BAC_ARC_Daily!AE9&lt;&gt;0,F141/BAC_ARC_Daily!AE9,"")</f>
        <v>0</v>
      </c>
      <c r="G154" s="14">
        <f>IF(BAC_ARC_Daily!AE10&lt;&gt;0,G141/BAC_ARC_Daily!AE10,"")</f>
        <v>0</v>
      </c>
      <c r="H154" s="14">
        <f>IF(BAC_ARC_Daily!AE11&lt;&gt;0,H141/BAC_ARC_Daily!AE11,"")</f>
        <v>0</v>
      </c>
      <c r="I154" s="14">
        <f>IF(BAC_ARC_Daily!AE12&lt;&gt;0,I141/BAC_ARC_Daily!AE12,"")</f>
        <v>0</v>
      </c>
      <c r="J154" s="14">
        <f>IF(BAC_ARC_Daily!AE13&lt;&gt;0,J141/BAC_ARC_Daily!AE13,"")</f>
        <v>0</v>
      </c>
      <c r="K154" s="14">
        <f>IF(BAC_ARC_Daily!AE14&lt;&gt;0,K141/BAC_ARC_Daily!AE14,"")</f>
        <v>0</v>
      </c>
      <c r="L154" s="14">
        <f>IF(BAC_ARC_Daily!AE15&lt;&gt;0,L141/BAC_ARC_Daily!AE15,"")</f>
        <v>0</v>
      </c>
      <c r="M154" s="14">
        <f>IF(BAC_ARC_Daily!AE16&lt;&gt;0,M141/BAC_ARC_Daily!AE16,"")</f>
        <v>0</v>
      </c>
      <c r="N154" s="14">
        <f>IF(BAC_ARC_Daily!AE17&lt;&gt;0,N141/BAC_ARC_Daily!AE17,"")</f>
        <v>0</v>
      </c>
      <c r="O154" s="14">
        <f>IF(BAC_ARC_Daily!AE18&lt;&gt;0,O141/BAC_ARC_Daily!AE18,"")</f>
        <v>0</v>
      </c>
      <c r="P154" s="14">
        <f>IF(BAC_ARC_Daily!AE19&lt;&gt;0,P141/BAC_ARC_Daily!AE19,"")</f>
        <v>0</v>
      </c>
      <c r="Q154" s="14">
        <f>IF(BAC_ARC_Daily!AE20&lt;&gt;0,Q141/BAC_ARC_Daily!AE20,"")</f>
        <v>0</v>
      </c>
      <c r="R154" s="14">
        <f>IF(BAC_ARC_Daily!AE21&lt;&gt;0,R141/BAC_ARC_Daily!AE21,"")</f>
        <v>0</v>
      </c>
      <c r="S154" s="14">
        <f>IF(BAC_ARC_Daily!AE22&lt;&gt;0,S141/BAC_ARC_Daily!AE22,"")</f>
        <v>0</v>
      </c>
      <c r="T154" s="14">
        <f>IF(BAC_ARC_Daily!AE23&lt;&gt;0,T141/BAC_ARC_Daily!AE23,"")</f>
        <v>0</v>
      </c>
      <c r="U154" s="14">
        <f>IF(BAC_ARC_Daily!AE24&lt;&gt;0,U141/BAC_ARC_Daily!AE24,"")</f>
        <v>0</v>
      </c>
      <c r="V154" s="14">
        <f>IF(BAC_ARC_Daily!AE25&lt;&gt;0,V141/BAC_ARC_Daily!AE25,"")</f>
        <v>0</v>
      </c>
      <c r="W154" s="14">
        <f>IF(BAC_ARC_Daily!AE26&lt;&gt;0,W141/BAC_ARC_Daily!AE26,"")</f>
        <v>0</v>
      </c>
    </row>
    <row r="155" spans="1:23" ht="18" customHeight="1" x14ac:dyDescent="0.25">
      <c r="A155" s="11" t="str">
        <f>NGS_Archaea_Input!A13</f>
        <v>Arc_taxon_9</v>
      </c>
      <c r="B155" s="14">
        <f>IF(BAC_ARC_Daily!AE5&lt;&gt;0,B142/BAC_ARC_Daily!AE5,"")</f>
        <v>0</v>
      </c>
      <c r="C155" s="14">
        <f>IF(BAC_ARC_Daily!AE6&lt;&gt;0,C142/BAC_ARC_Daily!AE6,"")</f>
        <v>0</v>
      </c>
      <c r="D155" s="14">
        <f>IF(BAC_ARC_Daily!AE7&lt;&gt;0,D142/BAC_ARC_Daily!AE7,"")</f>
        <v>0</v>
      </c>
      <c r="E155" s="14">
        <f>IF(BAC_ARC_Daily!AE8&lt;&gt;0,E142/BAC_ARC_Daily!AE8,"")</f>
        <v>0</v>
      </c>
      <c r="F155" s="14">
        <f>IF(BAC_ARC_Daily!AE9&lt;&gt;0,F142/BAC_ARC_Daily!AE9,"")</f>
        <v>0</v>
      </c>
      <c r="G155" s="14">
        <f>IF(BAC_ARC_Daily!AE10&lt;&gt;0,G142/BAC_ARC_Daily!AE10,"")</f>
        <v>0</v>
      </c>
      <c r="H155" s="14">
        <f>IF(BAC_ARC_Daily!AE11&lt;&gt;0,H142/BAC_ARC_Daily!AE11,"")</f>
        <v>0</v>
      </c>
      <c r="I155" s="14">
        <f>IF(BAC_ARC_Daily!AE12&lt;&gt;0,I142/BAC_ARC_Daily!AE12,"")</f>
        <v>0</v>
      </c>
      <c r="J155" s="14">
        <f>IF(BAC_ARC_Daily!AE13&lt;&gt;0,J142/BAC_ARC_Daily!AE13,"")</f>
        <v>0</v>
      </c>
      <c r="K155" s="14">
        <f>IF(BAC_ARC_Daily!AE14&lt;&gt;0,K142/BAC_ARC_Daily!AE14,"")</f>
        <v>0</v>
      </c>
      <c r="L155" s="14">
        <f>IF(BAC_ARC_Daily!AE15&lt;&gt;0,L142/BAC_ARC_Daily!AE15,"")</f>
        <v>0</v>
      </c>
      <c r="M155" s="14">
        <f>IF(BAC_ARC_Daily!AE16&lt;&gt;0,M142/BAC_ARC_Daily!AE16,"")</f>
        <v>0</v>
      </c>
      <c r="N155" s="14">
        <f>IF(BAC_ARC_Daily!AE17&lt;&gt;0,N142/BAC_ARC_Daily!AE17,"")</f>
        <v>0</v>
      </c>
      <c r="O155" s="14">
        <f>IF(BAC_ARC_Daily!AE18&lt;&gt;0,O142/BAC_ARC_Daily!AE18,"")</f>
        <v>0</v>
      </c>
      <c r="P155" s="14">
        <f>IF(BAC_ARC_Daily!AE19&lt;&gt;0,P142/BAC_ARC_Daily!AE19,"")</f>
        <v>0</v>
      </c>
      <c r="Q155" s="14">
        <f>IF(BAC_ARC_Daily!AE20&lt;&gt;0,Q142/BAC_ARC_Daily!AE20,"")</f>
        <v>0</v>
      </c>
      <c r="R155" s="14">
        <f>IF(BAC_ARC_Daily!AE21&lt;&gt;0,R142/BAC_ARC_Daily!AE21,"")</f>
        <v>0</v>
      </c>
      <c r="S155" s="14">
        <f>IF(BAC_ARC_Daily!AE22&lt;&gt;0,S142/BAC_ARC_Daily!AE22,"")</f>
        <v>0</v>
      </c>
      <c r="T155" s="14">
        <f>IF(BAC_ARC_Daily!AE23&lt;&gt;0,T142/BAC_ARC_Daily!AE23,"")</f>
        <v>0</v>
      </c>
      <c r="U155" s="14">
        <f>IF(BAC_ARC_Daily!AE24&lt;&gt;0,U142/BAC_ARC_Daily!AE24,"")</f>
        <v>0</v>
      </c>
      <c r="V155" s="14">
        <f>IF(BAC_ARC_Daily!AE25&lt;&gt;0,V142/BAC_ARC_Daily!AE25,"")</f>
        <v>0</v>
      </c>
      <c r="W155" s="14">
        <f>IF(BAC_ARC_Daily!AE26&lt;&gt;0,W142/BAC_ARC_Daily!AE26,"")</f>
        <v>0</v>
      </c>
    </row>
    <row r="156" spans="1:23" ht="18" customHeight="1" x14ac:dyDescent="0.25">
      <c r="A156" s="11" t="str">
        <f>NGS_Archaea_Input!A14</f>
        <v>Arc_taxon_10</v>
      </c>
      <c r="B156" s="14">
        <f>IF(BAC_ARC_Daily!AE5&lt;&gt;0,B143/BAC_ARC_Daily!AE5,"")</f>
        <v>0</v>
      </c>
      <c r="C156" s="14">
        <f>IF(BAC_ARC_Daily!AE6&lt;&gt;0,C143/BAC_ARC_Daily!AE6,"")</f>
        <v>0</v>
      </c>
      <c r="D156" s="14">
        <f>IF(BAC_ARC_Daily!AE7&lt;&gt;0,D143/BAC_ARC_Daily!AE7,"")</f>
        <v>0</v>
      </c>
      <c r="E156" s="14">
        <f>IF(BAC_ARC_Daily!AE8&lt;&gt;0,E143/BAC_ARC_Daily!AE8,"")</f>
        <v>0</v>
      </c>
      <c r="F156" s="14">
        <f>IF(BAC_ARC_Daily!AE9&lt;&gt;0,F143/BAC_ARC_Daily!AE9,"")</f>
        <v>0</v>
      </c>
      <c r="G156" s="14">
        <f>IF(BAC_ARC_Daily!AE10&lt;&gt;0,G143/BAC_ARC_Daily!AE10,"")</f>
        <v>0</v>
      </c>
      <c r="H156" s="14">
        <f>IF(BAC_ARC_Daily!AE11&lt;&gt;0,H143/BAC_ARC_Daily!AE11,"")</f>
        <v>0</v>
      </c>
      <c r="I156" s="14">
        <f>IF(BAC_ARC_Daily!AE12&lt;&gt;0,I143/BAC_ARC_Daily!AE12,"")</f>
        <v>0</v>
      </c>
      <c r="J156" s="14">
        <f>IF(BAC_ARC_Daily!AE13&lt;&gt;0,J143/BAC_ARC_Daily!AE13,"")</f>
        <v>0</v>
      </c>
      <c r="K156" s="14">
        <f>IF(BAC_ARC_Daily!AE14&lt;&gt;0,K143/BAC_ARC_Daily!AE14,"")</f>
        <v>0</v>
      </c>
      <c r="L156" s="14">
        <f>IF(BAC_ARC_Daily!AE15&lt;&gt;0,L143/BAC_ARC_Daily!AE15,"")</f>
        <v>0</v>
      </c>
      <c r="M156" s="14">
        <f>IF(BAC_ARC_Daily!AE16&lt;&gt;0,M143/BAC_ARC_Daily!AE16,"")</f>
        <v>0</v>
      </c>
      <c r="N156" s="14">
        <f>IF(BAC_ARC_Daily!AE17&lt;&gt;0,N143/BAC_ARC_Daily!AE17,"")</f>
        <v>0</v>
      </c>
      <c r="O156" s="14">
        <f>IF(BAC_ARC_Daily!AE18&lt;&gt;0,O143/BAC_ARC_Daily!AE18,"")</f>
        <v>0</v>
      </c>
      <c r="P156" s="14">
        <f>IF(BAC_ARC_Daily!AE19&lt;&gt;0,P143/BAC_ARC_Daily!AE19,"")</f>
        <v>0</v>
      </c>
      <c r="Q156" s="14">
        <f>IF(BAC_ARC_Daily!AE20&lt;&gt;0,Q143/BAC_ARC_Daily!AE20,"")</f>
        <v>0</v>
      </c>
      <c r="R156" s="14">
        <f>IF(BAC_ARC_Daily!AE21&lt;&gt;0,R143/BAC_ARC_Daily!AE21,"")</f>
        <v>0</v>
      </c>
      <c r="S156" s="14">
        <f>IF(BAC_ARC_Daily!AE22&lt;&gt;0,S143/BAC_ARC_Daily!AE22,"")</f>
        <v>0</v>
      </c>
      <c r="T156" s="14">
        <f>IF(BAC_ARC_Daily!AE23&lt;&gt;0,T143/BAC_ARC_Daily!AE23,"")</f>
        <v>0</v>
      </c>
      <c r="U156" s="14">
        <f>IF(BAC_ARC_Daily!AE24&lt;&gt;0,U143/BAC_ARC_Daily!AE24,"")</f>
        <v>0</v>
      </c>
      <c r="V156" s="14">
        <f>IF(BAC_ARC_Daily!AE25&lt;&gt;0,V143/BAC_ARC_Daily!AE25,"")</f>
        <v>0</v>
      </c>
      <c r="W156" s="14">
        <f>IF(BAC_ARC_Daily!AE26&lt;&gt;0,W143/BAC_ARC_Daily!AE26,"")</f>
        <v>0</v>
      </c>
    </row>
    <row r="157" spans="1:23" ht="18" customHeight="1" x14ac:dyDescent="0.25">
      <c r="A157" s="11" t="str">
        <f>NGS_Archaea_Input!A15</f>
        <v>Others</v>
      </c>
      <c r="B157" s="14">
        <f>IF(BAC_ARC_Daily!AE5&lt;&gt;0,B144/BAC_ARC_Daily!AE5,"")</f>
        <v>1</v>
      </c>
      <c r="C157" s="14">
        <f>IF(BAC_ARC_Daily!AE6&lt;&gt;0,C144/BAC_ARC_Daily!AE6,"")</f>
        <v>1</v>
      </c>
      <c r="D157" s="14">
        <f>IF(BAC_ARC_Daily!AE7&lt;&gt;0,D144/BAC_ARC_Daily!AE7,"")</f>
        <v>1</v>
      </c>
      <c r="E157" s="14">
        <f>IF(BAC_ARC_Daily!AE8&lt;&gt;0,E144/BAC_ARC_Daily!AE8,"")</f>
        <v>1</v>
      </c>
      <c r="F157" s="14">
        <f>IF(BAC_ARC_Daily!AE9&lt;&gt;0,F144/BAC_ARC_Daily!AE9,"")</f>
        <v>1</v>
      </c>
      <c r="G157" s="14">
        <f>IF(BAC_ARC_Daily!AE10&lt;&gt;0,G144/BAC_ARC_Daily!AE10,"")</f>
        <v>1</v>
      </c>
      <c r="H157" s="14">
        <f>IF(BAC_ARC_Daily!AE11&lt;&gt;0,H144/BAC_ARC_Daily!AE11,"")</f>
        <v>1</v>
      </c>
      <c r="I157" s="14">
        <f>IF(BAC_ARC_Daily!AE12&lt;&gt;0,I144/BAC_ARC_Daily!AE12,"")</f>
        <v>1</v>
      </c>
      <c r="J157" s="14">
        <f>IF(BAC_ARC_Daily!AE13&lt;&gt;0,J144/BAC_ARC_Daily!AE13,"")</f>
        <v>1</v>
      </c>
      <c r="K157" s="14">
        <f>IF(BAC_ARC_Daily!AE14&lt;&gt;0,K144/BAC_ARC_Daily!AE14,"")</f>
        <v>1</v>
      </c>
      <c r="L157" s="14">
        <f>IF(BAC_ARC_Daily!AE15&lt;&gt;0,L144/BAC_ARC_Daily!AE15,"")</f>
        <v>1</v>
      </c>
      <c r="M157" s="14">
        <f>IF(BAC_ARC_Daily!AE16&lt;&gt;0,M144/BAC_ARC_Daily!AE16,"")</f>
        <v>1</v>
      </c>
      <c r="N157" s="14">
        <f>IF(BAC_ARC_Daily!AE17&lt;&gt;0,N144/BAC_ARC_Daily!AE17,"")</f>
        <v>1</v>
      </c>
      <c r="O157" s="14">
        <f>IF(BAC_ARC_Daily!AE18&lt;&gt;0,O144/BAC_ARC_Daily!AE18,"")</f>
        <v>1</v>
      </c>
      <c r="P157" s="14">
        <f>IF(BAC_ARC_Daily!AE19&lt;&gt;0,P144/BAC_ARC_Daily!AE19,"")</f>
        <v>1</v>
      </c>
      <c r="Q157" s="14">
        <f>IF(BAC_ARC_Daily!AE20&lt;&gt;0,Q144/BAC_ARC_Daily!AE20,"")</f>
        <v>1</v>
      </c>
      <c r="R157" s="14">
        <f>IF(BAC_ARC_Daily!AE21&lt;&gt;0,R144/BAC_ARC_Daily!AE21,"")</f>
        <v>1</v>
      </c>
      <c r="S157" s="14">
        <f>IF(BAC_ARC_Daily!AE22&lt;&gt;0,S144/BAC_ARC_Daily!AE22,"")</f>
        <v>1</v>
      </c>
      <c r="T157" s="14">
        <f>IF(BAC_ARC_Daily!AE23&lt;&gt;0,T144/BAC_ARC_Daily!AE23,"")</f>
        <v>1</v>
      </c>
      <c r="U157" s="14">
        <f>IF(BAC_ARC_Daily!AE24&lt;&gt;0,U144/BAC_ARC_Daily!AE24,"")</f>
        <v>1</v>
      </c>
      <c r="V157" s="14">
        <f>IF(BAC_ARC_Daily!AE25&lt;&gt;0,V144/BAC_ARC_Daily!AE25,"")</f>
        <v>1</v>
      </c>
      <c r="W157" s="14">
        <f>IF(BAC_ARC_Daily!AE26&lt;&gt;0,W144/BAC_ARC_Daily!AE26,"")</f>
        <v>1</v>
      </c>
    </row>
  </sheetData>
  <mergeCells count="7">
    <mergeCell ref="A1:W1"/>
    <mergeCell ref="A132:W132"/>
    <mergeCell ref="A48:W48"/>
    <mergeCell ref="A3:W3"/>
    <mergeCell ref="A20:W20"/>
    <mergeCell ref="A104:W104"/>
    <mergeCell ref="A76:W76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showGridLines="0" tabSelected="1" workbookViewId="0">
      <selection activeCell="L12" sqref="L12"/>
    </sheetView>
  </sheetViews>
  <sheetFormatPr defaultRowHeight="15" x14ac:dyDescent="0.25"/>
  <cols>
    <col min="1" max="1" width="18" customWidth="1"/>
    <col min="2" max="2" width="20" customWidth="1"/>
    <col min="3" max="3" width="14" customWidth="1"/>
    <col min="4" max="4" width="23.7109375" customWidth="1"/>
    <col min="5" max="5" width="17.5703125" customWidth="1"/>
    <col min="6" max="6" width="14" customWidth="1"/>
    <col min="7" max="7" width="18" customWidth="1"/>
  </cols>
  <sheetData>
    <row r="1" spans="1:7" ht="18" customHeight="1" x14ac:dyDescent="0.25">
      <c r="A1" s="31" t="s">
        <v>164</v>
      </c>
      <c r="B1" s="30"/>
      <c r="C1" s="30"/>
      <c r="D1" s="30"/>
      <c r="E1" s="30"/>
      <c r="F1" s="30"/>
      <c r="G1" s="30"/>
    </row>
    <row r="2" spans="1:7" ht="18" customHeight="1" x14ac:dyDescent="0.25"/>
    <row r="3" spans="1:7" ht="18" customHeight="1" x14ac:dyDescent="0.25">
      <c r="A3" s="29" t="s">
        <v>165</v>
      </c>
      <c r="B3" s="30"/>
      <c r="C3" s="30"/>
      <c r="D3" s="30"/>
      <c r="E3" s="30"/>
      <c r="F3" s="30"/>
      <c r="G3" s="30"/>
    </row>
    <row r="4" spans="1:7" x14ac:dyDescent="0.25">
      <c r="A4" s="10" t="s">
        <v>58</v>
      </c>
      <c r="B4" s="10" t="s">
        <v>166</v>
      </c>
      <c r="C4" s="10" t="s">
        <v>167</v>
      </c>
      <c r="D4" s="10" t="s">
        <v>168</v>
      </c>
      <c r="E4" s="10" t="s">
        <v>169</v>
      </c>
      <c r="F4" s="10" t="s">
        <v>170</v>
      </c>
      <c r="G4" s="10" t="s">
        <v>171</v>
      </c>
    </row>
    <row r="5" spans="1:7" ht="18" customHeight="1" x14ac:dyDescent="0.25">
      <c r="A5" s="11" t="s">
        <v>62</v>
      </c>
      <c r="B5" s="22">
        <f>Chemistry_Daily!AD26</f>
        <v>5.559334404578232</v>
      </c>
      <c r="C5" s="22">
        <f>Inputs!B44</f>
        <v>7.3</v>
      </c>
      <c r="D5" s="22">
        <f t="shared" ref="D5:D11" si="0">IF(C5="","",IF(B5="","",C5-B5))</f>
        <v>1.7406655954217678</v>
      </c>
      <c r="E5" s="14">
        <f t="shared" ref="E5:E11" si="1">IF(B5="","",IF(B5&lt;&gt;0,C5/B5,""))</f>
        <v>1.3131068341541556</v>
      </c>
      <c r="F5" s="11" t="s">
        <v>63</v>
      </c>
      <c r="G5" s="26" t="s">
        <v>172</v>
      </c>
    </row>
    <row r="6" spans="1:7" ht="18" customHeight="1" x14ac:dyDescent="0.25">
      <c r="A6" s="11" t="s">
        <v>65</v>
      </c>
      <c r="B6" s="8">
        <f>Chemistry_Daily!AE26</f>
        <v>1.271143180759613</v>
      </c>
      <c r="C6" s="8">
        <f>Inputs!C44</f>
        <v>3.7</v>
      </c>
      <c r="D6" s="8">
        <f t="shared" si="0"/>
        <v>2.4288568192403872</v>
      </c>
      <c r="E6" s="14">
        <f t="shared" si="1"/>
        <v>2.9107657233301953</v>
      </c>
      <c r="F6" s="11" t="s">
        <v>66</v>
      </c>
      <c r="G6" s="26" t="s">
        <v>173</v>
      </c>
    </row>
    <row r="7" spans="1:7" ht="18" customHeight="1" x14ac:dyDescent="0.25">
      <c r="A7" s="11" t="s">
        <v>68</v>
      </c>
      <c r="B7" s="8">
        <f>Chemistry_Daily!AF26</f>
        <v>0.74353813756338449</v>
      </c>
      <c r="C7" s="8">
        <f>Inputs!D44</f>
        <v>0.1</v>
      </c>
      <c r="D7" s="8">
        <f t="shared" si="0"/>
        <v>-0.64353813756338452</v>
      </c>
      <c r="E7" s="14">
        <f t="shared" si="1"/>
        <v>0.13449209253435945</v>
      </c>
      <c r="F7" s="11" t="s">
        <v>69</v>
      </c>
      <c r="G7" s="26" t="s">
        <v>173</v>
      </c>
    </row>
    <row r="8" spans="1:7" ht="18" customHeight="1" x14ac:dyDescent="0.25">
      <c r="A8" s="11" t="s">
        <v>71</v>
      </c>
      <c r="B8" s="8">
        <f>Chemistry_Daily!AG26</f>
        <v>44.405543736382477</v>
      </c>
      <c r="C8" s="8">
        <f>Inputs!E44</f>
        <v>24.3</v>
      </c>
      <c r="D8" s="8">
        <f t="shared" si="0"/>
        <v>-20.105543736382476</v>
      </c>
      <c r="E8" s="14">
        <f t="shared" si="1"/>
        <v>0.54722897087487876</v>
      </c>
      <c r="F8" s="11" t="s">
        <v>69</v>
      </c>
      <c r="G8" s="26" t="s">
        <v>173</v>
      </c>
    </row>
    <row r="9" spans="1:7" ht="18" customHeight="1" x14ac:dyDescent="0.25">
      <c r="A9" s="11" t="s">
        <v>73</v>
      </c>
      <c r="B9" s="8">
        <f>Chemistry_Daily!AH26</f>
        <v>28.017779380565973</v>
      </c>
      <c r="C9" s="8">
        <f>Inputs!F44</f>
        <v>15.3</v>
      </c>
      <c r="D9" s="8">
        <f t="shared" si="0"/>
        <v>-12.717779380565972</v>
      </c>
      <c r="E9" s="14">
        <f t="shared" si="1"/>
        <v>0.54608182155265916</v>
      </c>
      <c r="F9" s="11" t="s">
        <v>69</v>
      </c>
      <c r="G9" s="26" t="s">
        <v>173</v>
      </c>
    </row>
    <row r="10" spans="1:7" ht="18" customHeight="1" x14ac:dyDescent="0.25">
      <c r="A10" s="11" t="s">
        <v>75</v>
      </c>
      <c r="B10" s="21">
        <f>BAC_ARC_Daily!W26</f>
        <v>783248.20523428451</v>
      </c>
      <c r="C10" s="21">
        <f>Inputs!B50</f>
        <v>8386991.9284507418</v>
      </c>
      <c r="D10" s="21">
        <f t="shared" si="0"/>
        <v>7603743.7232164573</v>
      </c>
      <c r="E10" s="14">
        <f t="shared" si="1"/>
        <v>10.707961885392425</v>
      </c>
      <c r="F10" s="11" t="s">
        <v>76</v>
      </c>
      <c r="G10" s="26" t="s">
        <v>174</v>
      </c>
    </row>
    <row r="11" spans="1:7" ht="18" customHeight="1" x14ac:dyDescent="0.25">
      <c r="A11" s="11" t="s">
        <v>78</v>
      </c>
      <c r="B11" s="21">
        <f>BAC_ARC_Daily!X26</f>
        <v>7886236.9710047785</v>
      </c>
      <c r="C11" s="21">
        <f>Inputs!C50</f>
        <v>11536862.781012271</v>
      </c>
      <c r="D11" s="21">
        <f t="shared" si="0"/>
        <v>3650625.8100074921</v>
      </c>
      <c r="E11" s="14">
        <f t="shared" si="1"/>
        <v>1.4629109958817748</v>
      </c>
      <c r="F11" s="11" t="s">
        <v>76</v>
      </c>
      <c r="G11" s="26" t="s">
        <v>174</v>
      </c>
    </row>
    <row r="12" spans="1:7" ht="18" customHeight="1" x14ac:dyDescent="0.25"/>
    <row r="13" spans="1:7" ht="18" customHeight="1" x14ac:dyDescent="0.25"/>
    <row r="14" spans="1:7" ht="18" customHeight="1" x14ac:dyDescent="0.25">
      <c r="A14" s="29" t="s">
        <v>175</v>
      </c>
      <c r="B14" s="30"/>
      <c r="C14" s="30"/>
      <c r="D14" s="30"/>
      <c r="E14" s="30"/>
      <c r="F14" s="30"/>
      <c r="G14" s="30"/>
    </row>
    <row r="15" spans="1:7" x14ac:dyDescent="0.25">
      <c r="A15" s="10" t="s">
        <v>58</v>
      </c>
      <c r="B15" s="10" t="s">
        <v>166</v>
      </c>
      <c r="C15" s="10" t="s">
        <v>167</v>
      </c>
      <c r="D15" s="10" t="s">
        <v>168</v>
      </c>
      <c r="E15" s="10" t="s">
        <v>169</v>
      </c>
      <c r="F15" s="10" t="s">
        <v>170</v>
      </c>
      <c r="G15" s="10" t="s">
        <v>171</v>
      </c>
    </row>
    <row r="16" spans="1:7" ht="18" customHeight="1" x14ac:dyDescent="0.25">
      <c r="A16" s="11" t="s">
        <v>62</v>
      </c>
      <c r="B16" s="22">
        <f>Chemistry_Daily!AM26</f>
        <v>5.559334404578232</v>
      </c>
      <c r="C16" s="22">
        <f>Inputs!B45</f>
        <v>7.3</v>
      </c>
      <c r="D16" s="22">
        <f t="shared" ref="D16:D22" si="2">IF(C16="","",IF(B16="","",C16-B16))</f>
        <v>1.7406655954217678</v>
      </c>
      <c r="E16" s="14">
        <f t="shared" ref="E16:E22" si="3">IF(B16="","",IF(B16&lt;&gt;0,C16/B16,""))</f>
        <v>1.3131068341541556</v>
      </c>
      <c r="F16" s="11" t="s">
        <v>63</v>
      </c>
      <c r="G16" s="26" t="s">
        <v>172</v>
      </c>
    </row>
    <row r="17" spans="1:7" ht="18" customHeight="1" x14ac:dyDescent="0.25">
      <c r="A17" s="11" t="s">
        <v>65</v>
      </c>
      <c r="B17" s="8">
        <f>Chemistry_Daily!AN26</f>
        <v>1.2364669991324242</v>
      </c>
      <c r="C17" s="8">
        <f>Inputs!C45</f>
        <v>3.7</v>
      </c>
      <c r="D17" s="8">
        <f t="shared" si="2"/>
        <v>2.4635330008675762</v>
      </c>
      <c r="E17" s="14">
        <f t="shared" si="3"/>
        <v>2.992396887742359</v>
      </c>
      <c r="F17" s="11" t="s">
        <v>66</v>
      </c>
      <c r="G17" s="26" t="s">
        <v>173</v>
      </c>
    </row>
    <row r="18" spans="1:7" ht="18" customHeight="1" x14ac:dyDescent="0.25">
      <c r="A18" s="11" t="s">
        <v>68</v>
      </c>
      <c r="B18" s="8">
        <f>Chemistry_Daily!AO26</f>
        <v>0.71165199353838304</v>
      </c>
      <c r="C18" s="8">
        <f>Inputs!D45</f>
        <v>0.1</v>
      </c>
      <c r="D18" s="8">
        <f t="shared" si="2"/>
        <v>-0.61165199353838307</v>
      </c>
      <c r="E18" s="14">
        <f t="shared" si="3"/>
        <v>0.14051811968205566</v>
      </c>
      <c r="F18" s="11" t="s">
        <v>69</v>
      </c>
      <c r="G18" s="26" t="s">
        <v>173</v>
      </c>
    </row>
    <row r="19" spans="1:7" ht="18" customHeight="1" x14ac:dyDescent="0.25">
      <c r="A19" s="11" t="s">
        <v>71</v>
      </c>
      <c r="B19" s="8">
        <f>Chemistry_Daily!AP26</f>
        <v>44.325828376319976</v>
      </c>
      <c r="C19" s="8">
        <f>Inputs!E45</f>
        <v>24.7</v>
      </c>
      <c r="D19" s="8">
        <f t="shared" si="2"/>
        <v>-19.625828376319976</v>
      </c>
      <c r="E19" s="14">
        <f t="shared" si="3"/>
        <v>0.55723718889809604</v>
      </c>
      <c r="F19" s="11" t="s">
        <v>69</v>
      </c>
      <c r="G19" s="26" t="s">
        <v>173</v>
      </c>
    </row>
    <row r="20" spans="1:7" ht="18" customHeight="1" x14ac:dyDescent="0.25">
      <c r="A20" s="11" t="s">
        <v>73</v>
      </c>
      <c r="B20" s="8">
        <f>Chemistry_Daily!AQ26</f>
        <v>27.818490980409706</v>
      </c>
      <c r="C20" s="8">
        <f>Inputs!F45</f>
        <v>15.5</v>
      </c>
      <c r="D20" s="8">
        <f t="shared" si="2"/>
        <v>-12.318490980409706</v>
      </c>
      <c r="E20" s="14">
        <f t="shared" si="3"/>
        <v>0.55718335012907005</v>
      </c>
      <c r="F20" s="11" t="s">
        <v>69</v>
      </c>
      <c r="G20" s="26" t="s">
        <v>173</v>
      </c>
    </row>
    <row r="21" spans="1:7" ht="18" customHeight="1" x14ac:dyDescent="0.25">
      <c r="A21" s="11" t="s">
        <v>75</v>
      </c>
      <c r="B21" s="21">
        <f>BAC_ARC_Daily!AD26</f>
        <v>980521.4874007504</v>
      </c>
      <c r="C21" s="21">
        <f>Inputs!B51</f>
        <v>4889659.8281878363</v>
      </c>
      <c r="D21" s="21">
        <f t="shared" si="2"/>
        <v>3909138.3407870857</v>
      </c>
      <c r="E21" s="14">
        <f t="shared" si="3"/>
        <v>4.9867951809498452</v>
      </c>
      <c r="F21" s="11" t="s">
        <v>76</v>
      </c>
      <c r="G21" s="26" t="s">
        <v>174</v>
      </c>
    </row>
    <row r="22" spans="1:7" ht="18" customHeight="1" x14ac:dyDescent="0.25">
      <c r="A22" s="11" t="s">
        <v>78</v>
      </c>
      <c r="B22" s="21">
        <f>BAC_ARC_Daily!AE26</f>
        <v>7602870.1405007746</v>
      </c>
      <c r="C22" s="21">
        <f>Inputs!C51</f>
        <v>10313850.74406489</v>
      </c>
      <c r="D22" s="21">
        <f t="shared" si="2"/>
        <v>2710980.6035641152</v>
      </c>
      <c r="E22" s="14">
        <f t="shared" si="3"/>
        <v>1.3565733142175638</v>
      </c>
      <c r="F22" s="11" t="s">
        <v>76</v>
      </c>
      <c r="G22" s="26" t="s">
        <v>174</v>
      </c>
    </row>
    <row r="23" spans="1:7" ht="18" customHeight="1" x14ac:dyDescent="0.25">
      <c r="G23" s="28"/>
    </row>
    <row r="24" spans="1:7" ht="18" customHeight="1" x14ac:dyDescent="0.25"/>
    <row r="25" spans="1:7" ht="18" customHeight="1" x14ac:dyDescent="0.25">
      <c r="A25" s="5" t="s">
        <v>176</v>
      </c>
      <c r="B25" s="26" t="s">
        <v>177</v>
      </c>
    </row>
  </sheetData>
  <mergeCells count="3">
    <mergeCell ref="A3:G3"/>
    <mergeCell ref="A14:G14"/>
    <mergeCell ref="A1:G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README</vt:lpstr>
      <vt:lpstr>Inputs</vt:lpstr>
      <vt:lpstr>Reservoir</vt:lpstr>
      <vt:lpstr>Chemistry_Daily</vt:lpstr>
      <vt:lpstr>BAC_ARC_Daily</vt:lpstr>
      <vt:lpstr>NGS_Bacteria_Input</vt:lpstr>
      <vt:lpstr>NGS_Archaea_Input</vt:lpstr>
      <vt:lpstr>NGS_Bacteria_Daily</vt:lpstr>
      <vt:lpstr>NGS_Archaea_Daily</vt:lpstr>
      <vt:lpstr>Observed_Compare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박상혁(환경공학부)</cp:lastModifiedBy>
  <dcterms:modified xsi:type="dcterms:W3CDTF">2026-06-09T11:53:46Z</dcterms:modified>
</cp:coreProperties>
</file>