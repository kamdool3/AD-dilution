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stechackr-my.sharepoint.com/personal/kamdool3_postech_ac_kr/Documents/2. Ansan-RE/"/>
    </mc:Choice>
  </mc:AlternateContent>
  <xr:revisionPtr revIDLastSave="0" documentId="8_{48856DEE-127F-4CD8-8B11-E48D594B1C82}" xr6:coauthVersionLast="36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puts" sheetId="1" r:id="rId1"/>
    <sheet name="Simulation" sheetId="2" r:id="rId2"/>
    <sheet name="Charts" sheetId="3" r:id="rId3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56" i="2" l="1"/>
  <c r="Q56" i="2"/>
  <c r="P56" i="2"/>
  <c r="O56" i="2"/>
  <c r="D56" i="2"/>
  <c r="C56" i="2"/>
  <c r="B56" i="2"/>
  <c r="R55" i="2"/>
  <c r="Q55" i="2"/>
  <c r="P55" i="2"/>
  <c r="O55" i="2"/>
  <c r="H55" i="2"/>
  <c r="L55" i="2" s="1"/>
  <c r="D55" i="2"/>
  <c r="C55" i="2"/>
  <c r="B55" i="2"/>
  <c r="R54" i="2"/>
  <c r="Q54" i="2"/>
  <c r="P54" i="2"/>
  <c r="O54" i="2"/>
  <c r="H54" i="2"/>
  <c r="L54" i="2" s="1"/>
  <c r="G54" i="2"/>
  <c r="K54" i="2" s="1"/>
  <c r="D54" i="2"/>
  <c r="C54" i="2"/>
  <c r="B54" i="2"/>
  <c r="E54" i="2" s="1"/>
  <c r="F54" i="2" s="1"/>
  <c r="J54" i="2" s="1"/>
  <c r="R53" i="2"/>
  <c r="Q53" i="2"/>
  <c r="P53" i="2"/>
  <c r="O53" i="2"/>
  <c r="H53" i="2"/>
  <c r="L53" i="2" s="1"/>
  <c r="D53" i="2"/>
  <c r="C53" i="2"/>
  <c r="B53" i="2"/>
  <c r="R52" i="2"/>
  <c r="Q52" i="2"/>
  <c r="P52" i="2"/>
  <c r="O52" i="2"/>
  <c r="G52" i="2"/>
  <c r="K52" i="2" s="1"/>
  <c r="D52" i="2"/>
  <c r="C52" i="2"/>
  <c r="B52" i="2"/>
  <c r="E52" i="2" s="1"/>
  <c r="F52" i="2" s="1"/>
  <c r="J52" i="2" s="1"/>
  <c r="R51" i="2"/>
  <c r="Q51" i="2"/>
  <c r="P51" i="2"/>
  <c r="O51" i="2"/>
  <c r="H51" i="2"/>
  <c r="L51" i="2" s="1"/>
  <c r="D51" i="2"/>
  <c r="C51" i="2"/>
  <c r="B51" i="2"/>
  <c r="R50" i="2"/>
  <c r="Q50" i="2"/>
  <c r="P50" i="2"/>
  <c r="O50" i="2"/>
  <c r="G50" i="2"/>
  <c r="K50" i="2" s="1"/>
  <c r="D50" i="2"/>
  <c r="C50" i="2"/>
  <c r="B50" i="2"/>
  <c r="E50" i="2" s="1"/>
  <c r="F50" i="2" s="1"/>
  <c r="J50" i="2" s="1"/>
  <c r="R49" i="2"/>
  <c r="Q49" i="2"/>
  <c r="P49" i="2"/>
  <c r="O49" i="2"/>
  <c r="H49" i="2"/>
  <c r="L49" i="2" s="1"/>
  <c r="D49" i="2"/>
  <c r="C49" i="2"/>
  <c r="B49" i="2"/>
  <c r="R48" i="2"/>
  <c r="Q48" i="2"/>
  <c r="P48" i="2"/>
  <c r="O48" i="2"/>
  <c r="G48" i="2"/>
  <c r="K48" i="2" s="1"/>
  <c r="D48" i="2"/>
  <c r="C48" i="2"/>
  <c r="B48" i="2"/>
  <c r="E48" i="2" s="1"/>
  <c r="F48" i="2" s="1"/>
  <c r="J48" i="2" s="1"/>
  <c r="R47" i="2"/>
  <c r="Q47" i="2"/>
  <c r="P47" i="2"/>
  <c r="O47" i="2"/>
  <c r="H47" i="2"/>
  <c r="L47" i="2" s="1"/>
  <c r="D47" i="2"/>
  <c r="C47" i="2"/>
  <c r="B47" i="2"/>
  <c r="R46" i="2"/>
  <c r="Q46" i="2"/>
  <c r="P46" i="2"/>
  <c r="O46" i="2"/>
  <c r="G46" i="2"/>
  <c r="K46" i="2" s="1"/>
  <c r="D46" i="2"/>
  <c r="C46" i="2"/>
  <c r="B46" i="2"/>
  <c r="E46" i="2" s="1"/>
  <c r="F46" i="2" s="1"/>
  <c r="J46" i="2" s="1"/>
  <c r="R45" i="2"/>
  <c r="Q45" i="2"/>
  <c r="P45" i="2"/>
  <c r="O45" i="2"/>
  <c r="H45" i="2"/>
  <c r="L45" i="2" s="1"/>
  <c r="D45" i="2"/>
  <c r="C45" i="2"/>
  <c r="B45" i="2"/>
  <c r="R44" i="2"/>
  <c r="Q44" i="2"/>
  <c r="P44" i="2"/>
  <c r="O44" i="2"/>
  <c r="G44" i="2"/>
  <c r="K44" i="2" s="1"/>
  <c r="D44" i="2"/>
  <c r="C44" i="2"/>
  <c r="B44" i="2"/>
  <c r="E44" i="2" s="1"/>
  <c r="F44" i="2" s="1"/>
  <c r="J44" i="2" s="1"/>
  <c r="R43" i="2"/>
  <c r="Q43" i="2"/>
  <c r="P43" i="2"/>
  <c r="O43" i="2"/>
  <c r="H43" i="2"/>
  <c r="L43" i="2" s="1"/>
  <c r="D43" i="2"/>
  <c r="C43" i="2"/>
  <c r="B43" i="2"/>
  <c r="R42" i="2"/>
  <c r="Q42" i="2"/>
  <c r="P42" i="2"/>
  <c r="O42" i="2"/>
  <c r="G42" i="2"/>
  <c r="K42" i="2" s="1"/>
  <c r="D42" i="2"/>
  <c r="C42" i="2"/>
  <c r="B42" i="2"/>
  <c r="E42" i="2" s="1"/>
  <c r="F42" i="2" s="1"/>
  <c r="J42" i="2" s="1"/>
  <c r="R41" i="2"/>
  <c r="Q41" i="2"/>
  <c r="P41" i="2"/>
  <c r="O41" i="2"/>
  <c r="H41" i="2"/>
  <c r="L41" i="2" s="1"/>
  <c r="D41" i="2"/>
  <c r="C41" i="2"/>
  <c r="B41" i="2"/>
  <c r="R40" i="2"/>
  <c r="Q40" i="2"/>
  <c r="P40" i="2"/>
  <c r="O40" i="2"/>
  <c r="G40" i="2"/>
  <c r="K40" i="2" s="1"/>
  <c r="D40" i="2"/>
  <c r="C40" i="2"/>
  <c r="B40" i="2"/>
  <c r="E40" i="2" s="1"/>
  <c r="F40" i="2" s="1"/>
  <c r="J40" i="2" s="1"/>
  <c r="R39" i="2"/>
  <c r="Q39" i="2"/>
  <c r="P39" i="2"/>
  <c r="O39" i="2"/>
  <c r="H39" i="2"/>
  <c r="L39" i="2" s="1"/>
  <c r="D39" i="2"/>
  <c r="C39" i="2"/>
  <c r="B39" i="2"/>
  <c r="R38" i="2"/>
  <c r="Q38" i="2"/>
  <c r="P38" i="2"/>
  <c r="O38" i="2"/>
  <c r="G38" i="2"/>
  <c r="K38" i="2" s="1"/>
  <c r="D38" i="2"/>
  <c r="C38" i="2"/>
  <c r="B38" i="2"/>
  <c r="E38" i="2" s="1"/>
  <c r="F38" i="2" s="1"/>
  <c r="J38" i="2" s="1"/>
  <c r="R37" i="2"/>
  <c r="Q37" i="2"/>
  <c r="P37" i="2"/>
  <c r="O37" i="2"/>
  <c r="H37" i="2"/>
  <c r="L37" i="2" s="1"/>
  <c r="D37" i="2"/>
  <c r="C37" i="2"/>
  <c r="B37" i="2"/>
  <c r="R36" i="2"/>
  <c r="Q36" i="2"/>
  <c r="P36" i="2"/>
  <c r="O36" i="2"/>
  <c r="G36" i="2"/>
  <c r="K36" i="2" s="1"/>
  <c r="D36" i="2"/>
  <c r="C36" i="2"/>
  <c r="B36" i="2"/>
  <c r="E36" i="2" s="1"/>
  <c r="F36" i="2" s="1"/>
  <c r="J36" i="2" s="1"/>
  <c r="R35" i="2"/>
  <c r="Q35" i="2"/>
  <c r="P35" i="2"/>
  <c r="O35" i="2"/>
  <c r="H35" i="2"/>
  <c r="L35" i="2" s="1"/>
  <c r="D35" i="2"/>
  <c r="C35" i="2"/>
  <c r="B35" i="2"/>
  <c r="R34" i="2"/>
  <c r="Q34" i="2"/>
  <c r="P34" i="2"/>
  <c r="O34" i="2"/>
  <c r="G34" i="2"/>
  <c r="K34" i="2" s="1"/>
  <c r="D34" i="2"/>
  <c r="C34" i="2"/>
  <c r="B34" i="2"/>
  <c r="E34" i="2" s="1"/>
  <c r="F34" i="2" s="1"/>
  <c r="J34" i="2" s="1"/>
  <c r="R33" i="2"/>
  <c r="Q33" i="2"/>
  <c r="P33" i="2"/>
  <c r="O33" i="2"/>
  <c r="H33" i="2"/>
  <c r="L33" i="2" s="1"/>
  <c r="D33" i="2"/>
  <c r="C33" i="2"/>
  <c r="B33" i="2"/>
  <c r="R32" i="2"/>
  <c r="Q32" i="2"/>
  <c r="P32" i="2"/>
  <c r="O32" i="2"/>
  <c r="G32" i="2"/>
  <c r="K32" i="2" s="1"/>
  <c r="D32" i="2"/>
  <c r="C32" i="2"/>
  <c r="B32" i="2"/>
  <c r="E32" i="2" s="1"/>
  <c r="F32" i="2" s="1"/>
  <c r="J32" i="2" s="1"/>
  <c r="R31" i="2"/>
  <c r="Q31" i="2"/>
  <c r="P31" i="2"/>
  <c r="O31" i="2"/>
  <c r="H31" i="2"/>
  <c r="L31" i="2" s="1"/>
  <c r="D31" i="2"/>
  <c r="C31" i="2"/>
  <c r="B31" i="2"/>
  <c r="R30" i="2"/>
  <c r="Q30" i="2"/>
  <c r="P30" i="2"/>
  <c r="O30" i="2"/>
  <c r="G30" i="2"/>
  <c r="K30" i="2" s="1"/>
  <c r="D30" i="2"/>
  <c r="C30" i="2"/>
  <c r="B30" i="2"/>
  <c r="E30" i="2" s="1"/>
  <c r="F30" i="2" s="1"/>
  <c r="J30" i="2" s="1"/>
  <c r="R29" i="2"/>
  <c r="Q29" i="2"/>
  <c r="P29" i="2"/>
  <c r="O29" i="2"/>
  <c r="H29" i="2"/>
  <c r="L29" i="2" s="1"/>
  <c r="D29" i="2"/>
  <c r="C29" i="2"/>
  <c r="B29" i="2"/>
  <c r="R28" i="2"/>
  <c r="Q28" i="2"/>
  <c r="P28" i="2"/>
  <c r="O28" i="2"/>
  <c r="G28" i="2"/>
  <c r="K28" i="2" s="1"/>
  <c r="D28" i="2"/>
  <c r="C28" i="2"/>
  <c r="B28" i="2"/>
  <c r="E28" i="2" s="1"/>
  <c r="F28" i="2" s="1"/>
  <c r="J28" i="2" s="1"/>
  <c r="R27" i="2"/>
  <c r="Q27" i="2"/>
  <c r="P27" i="2"/>
  <c r="O27" i="2"/>
  <c r="D27" i="2"/>
  <c r="C27" i="2"/>
  <c r="B27" i="2"/>
  <c r="R26" i="2"/>
  <c r="Q26" i="2"/>
  <c r="P26" i="2"/>
  <c r="O26" i="2"/>
  <c r="D26" i="2"/>
  <c r="C26" i="2"/>
  <c r="B26" i="2"/>
  <c r="R25" i="2"/>
  <c r="Q25" i="2"/>
  <c r="P25" i="2"/>
  <c r="O25" i="2"/>
  <c r="D25" i="2"/>
  <c r="C25" i="2"/>
  <c r="B25" i="2"/>
  <c r="R24" i="2"/>
  <c r="Q24" i="2"/>
  <c r="P24" i="2"/>
  <c r="O24" i="2"/>
  <c r="G24" i="2"/>
  <c r="K24" i="2" s="1"/>
  <c r="D24" i="2"/>
  <c r="C24" i="2"/>
  <c r="B24" i="2"/>
  <c r="R23" i="2"/>
  <c r="Q23" i="2"/>
  <c r="P23" i="2"/>
  <c r="O23" i="2"/>
  <c r="D23" i="2"/>
  <c r="C23" i="2"/>
  <c r="B23" i="2"/>
  <c r="R22" i="2"/>
  <c r="Q22" i="2"/>
  <c r="P22" i="2"/>
  <c r="O22" i="2"/>
  <c r="D22" i="2"/>
  <c r="C22" i="2"/>
  <c r="B22" i="2"/>
  <c r="R21" i="2"/>
  <c r="Q21" i="2"/>
  <c r="P21" i="2"/>
  <c r="O21" i="2"/>
  <c r="H21" i="2"/>
  <c r="D21" i="2"/>
  <c r="C21" i="2"/>
  <c r="B21" i="2"/>
  <c r="R20" i="2"/>
  <c r="Q20" i="2"/>
  <c r="P20" i="2"/>
  <c r="O20" i="2"/>
  <c r="G20" i="2"/>
  <c r="K20" i="2" s="1"/>
  <c r="D20" i="2"/>
  <c r="C20" i="2"/>
  <c r="B20" i="2"/>
  <c r="R19" i="2"/>
  <c r="Q19" i="2"/>
  <c r="P19" i="2"/>
  <c r="O19" i="2"/>
  <c r="H19" i="2"/>
  <c r="D19" i="2"/>
  <c r="C19" i="2"/>
  <c r="B19" i="2"/>
  <c r="R18" i="2"/>
  <c r="Q18" i="2"/>
  <c r="P18" i="2"/>
  <c r="O18" i="2"/>
  <c r="D18" i="2"/>
  <c r="C18" i="2"/>
  <c r="B18" i="2"/>
  <c r="R17" i="2"/>
  <c r="Q17" i="2"/>
  <c r="P17" i="2"/>
  <c r="O17" i="2"/>
  <c r="H17" i="2"/>
  <c r="D17" i="2"/>
  <c r="C17" i="2"/>
  <c r="B17" i="2"/>
  <c r="R16" i="2"/>
  <c r="Q16" i="2"/>
  <c r="P16" i="2"/>
  <c r="O16" i="2"/>
  <c r="G16" i="2"/>
  <c r="K16" i="2" s="1"/>
  <c r="D16" i="2"/>
  <c r="C16" i="2"/>
  <c r="B16" i="2"/>
  <c r="R15" i="2"/>
  <c r="Q15" i="2"/>
  <c r="P15" i="2"/>
  <c r="O15" i="2"/>
  <c r="H15" i="2"/>
  <c r="D15" i="2"/>
  <c r="C15" i="2"/>
  <c r="B15" i="2"/>
  <c r="R14" i="2"/>
  <c r="Q14" i="2"/>
  <c r="P14" i="2"/>
  <c r="O14" i="2"/>
  <c r="D14" i="2"/>
  <c r="C14" i="2"/>
  <c r="B14" i="2"/>
  <c r="R13" i="2"/>
  <c r="Q13" i="2"/>
  <c r="P13" i="2"/>
  <c r="O13" i="2"/>
  <c r="H13" i="2"/>
  <c r="D13" i="2"/>
  <c r="C13" i="2"/>
  <c r="B13" i="2"/>
  <c r="R12" i="2"/>
  <c r="Q12" i="2"/>
  <c r="P12" i="2"/>
  <c r="O12" i="2"/>
  <c r="G12" i="2"/>
  <c r="K12" i="2" s="1"/>
  <c r="D12" i="2"/>
  <c r="C12" i="2"/>
  <c r="B12" i="2"/>
  <c r="R11" i="2"/>
  <c r="Q11" i="2"/>
  <c r="P11" i="2"/>
  <c r="O11" i="2"/>
  <c r="H11" i="2"/>
  <c r="D11" i="2"/>
  <c r="C11" i="2"/>
  <c r="B11" i="2"/>
  <c r="R10" i="2"/>
  <c r="Q10" i="2"/>
  <c r="P10" i="2"/>
  <c r="O10" i="2"/>
  <c r="D10" i="2"/>
  <c r="C10" i="2"/>
  <c r="B10" i="2"/>
  <c r="R9" i="2"/>
  <c r="Q9" i="2"/>
  <c r="P9" i="2"/>
  <c r="O9" i="2"/>
  <c r="H9" i="2"/>
  <c r="D9" i="2"/>
  <c r="C9" i="2"/>
  <c r="B9" i="2"/>
  <c r="R8" i="2"/>
  <c r="Q8" i="2"/>
  <c r="P8" i="2"/>
  <c r="O8" i="2"/>
  <c r="H8" i="2"/>
  <c r="L8" i="2" s="1"/>
  <c r="G8" i="2"/>
  <c r="K8" i="2" s="1"/>
  <c r="E8" i="2"/>
  <c r="F8" i="2" s="1"/>
  <c r="J8" i="2" s="1"/>
  <c r="D8" i="2"/>
  <c r="C8" i="2"/>
  <c r="B8" i="2"/>
  <c r="R7" i="2"/>
  <c r="Q7" i="2"/>
  <c r="P7" i="2"/>
  <c r="O7" i="2"/>
  <c r="H7" i="2"/>
  <c r="L7" i="2" s="1"/>
  <c r="D7" i="2"/>
  <c r="C7" i="2"/>
  <c r="B7" i="2"/>
  <c r="R6" i="2"/>
  <c r="Q6" i="2"/>
  <c r="P6" i="2"/>
  <c r="O6" i="2"/>
  <c r="H6" i="2"/>
  <c r="L6" i="2" s="1"/>
  <c r="G6" i="2"/>
  <c r="K6" i="2" s="1"/>
  <c r="E6" i="2"/>
  <c r="F6" i="2" s="1"/>
  <c r="J6" i="2" s="1"/>
  <c r="D6" i="2"/>
  <c r="C6" i="2"/>
  <c r="B6" i="2"/>
  <c r="I6" i="2" l="1"/>
  <c r="M6" i="2" s="1"/>
  <c r="E12" i="2"/>
  <c r="F12" i="2" s="1"/>
  <c r="J12" i="2" s="1"/>
  <c r="H12" i="2"/>
  <c r="E16" i="2"/>
  <c r="F16" i="2" s="1"/>
  <c r="J16" i="2" s="1"/>
  <c r="H16" i="2"/>
  <c r="L21" i="2"/>
  <c r="N54" i="2"/>
  <c r="S54" i="2" s="1"/>
  <c r="E24" i="2"/>
  <c r="F24" i="2" s="1"/>
  <c r="J24" i="2" s="1"/>
  <c r="H24" i="2"/>
  <c r="G27" i="2"/>
  <c r="K27" i="2" s="1"/>
  <c r="E27" i="2"/>
  <c r="F27" i="2" s="1"/>
  <c r="J27" i="2" s="1"/>
  <c r="H27" i="2"/>
  <c r="L9" i="2"/>
  <c r="L13" i="2"/>
  <c r="L17" i="2"/>
  <c r="I17" i="2"/>
  <c r="M17" i="2" s="1"/>
  <c r="E20" i="2"/>
  <c r="F20" i="2" s="1"/>
  <c r="J20" i="2" s="1"/>
  <c r="H20" i="2"/>
  <c r="N6" i="2"/>
  <c r="G15" i="2"/>
  <c r="K15" i="2" s="1"/>
  <c r="E15" i="2"/>
  <c r="F15" i="2" s="1"/>
  <c r="J15" i="2" s="1"/>
  <c r="G19" i="2"/>
  <c r="K19" i="2" s="1"/>
  <c r="E19" i="2"/>
  <c r="F19" i="2" s="1"/>
  <c r="J19" i="2" s="1"/>
  <c r="G23" i="2"/>
  <c r="K23" i="2" s="1"/>
  <c r="E23" i="2"/>
  <c r="F23" i="2" s="1"/>
  <c r="J23" i="2" s="1"/>
  <c r="H23" i="2"/>
  <c r="E26" i="2"/>
  <c r="F26" i="2" s="1"/>
  <c r="J26" i="2" s="1"/>
  <c r="H26" i="2"/>
  <c r="G26" i="2"/>
  <c r="K26" i="2" s="1"/>
  <c r="G11" i="2"/>
  <c r="K11" i="2" s="1"/>
  <c r="E11" i="2"/>
  <c r="F11" i="2" s="1"/>
  <c r="J11" i="2" s="1"/>
  <c r="E14" i="2"/>
  <c r="F14" i="2" s="1"/>
  <c r="J14" i="2" s="1"/>
  <c r="H14" i="2"/>
  <c r="E10" i="2"/>
  <c r="F10" i="2" s="1"/>
  <c r="J10" i="2" s="1"/>
  <c r="H10" i="2"/>
  <c r="L11" i="2"/>
  <c r="L15" i="2"/>
  <c r="E18" i="2"/>
  <c r="F18" i="2" s="1"/>
  <c r="J18" i="2" s="1"/>
  <c r="H18" i="2"/>
  <c r="L19" i="2"/>
  <c r="E22" i="2"/>
  <c r="F22" i="2" s="1"/>
  <c r="J22" i="2" s="1"/>
  <c r="H22" i="2"/>
  <c r="G25" i="2"/>
  <c r="K25" i="2" s="1"/>
  <c r="E25" i="2"/>
  <c r="F25" i="2" s="1"/>
  <c r="J25" i="2" s="1"/>
  <c r="H25" i="2"/>
  <c r="G9" i="2"/>
  <c r="K9" i="2" s="1"/>
  <c r="E9" i="2"/>
  <c r="F9" i="2" s="1"/>
  <c r="J9" i="2" s="1"/>
  <c r="G10" i="2"/>
  <c r="K10" i="2" s="1"/>
  <c r="G13" i="2"/>
  <c r="K13" i="2" s="1"/>
  <c r="E13" i="2"/>
  <c r="F13" i="2" s="1"/>
  <c r="J13" i="2" s="1"/>
  <c r="G14" i="2"/>
  <c r="K14" i="2" s="1"/>
  <c r="G17" i="2"/>
  <c r="K17" i="2" s="1"/>
  <c r="E17" i="2"/>
  <c r="F17" i="2" s="1"/>
  <c r="J17" i="2" s="1"/>
  <c r="G18" i="2"/>
  <c r="K18" i="2" s="1"/>
  <c r="G21" i="2"/>
  <c r="K21" i="2" s="1"/>
  <c r="E21" i="2"/>
  <c r="F21" i="2" s="1"/>
  <c r="J21" i="2" s="1"/>
  <c r="G22" i="2"/>
  <c r="K22" i="2" s="1"/>
  <c r="G7" i="2"/>
  <c r="E7" i="2"/>
  <c r="F7" i="2" s="1"/>
  <c r="J7" i="2" s="1"/>
  <c r="E56" i="2"/>
  <c r="F56" i="2" s="1"/>
  <c r="J56" i="2" s="1"/>
  <c r="H56" i="2"/>
  <c r="G29" i="2"/>
  <c r="K29" i="2" s="1"/>
  <c r="E29" i="2"/>
  <c r="F29" i="2" s="1"/>
  <c r="J29" i="2" s="1"/>
  <c r="G31" i="2"/>
  <c r="K31" i="2" s="1"/>
  <c r="E31" i="2"/>
  <c r="F31" i="2" s="1"/>
  <c r="J31" i="2" s="1"/>
  <c r="G33" i="2"/>
  <c r="K33" i="2" s="1"/>
  <c r="E33" i="2"/>
  <c r="F33" i="2" s="1"/>
  <c r="J33" i="2" s="1"/>
  <c r="G35" i="2"/>
  <c r="K35" i="2" s="1"/>
  <c r="E35" i="2"/>
  <c r="F35" i="2" s="1"/>
  <c r="J35" i="2" s="1"/>
  <c r="G37" i="2"/>
  <c r="K37" i="2" s="1"/>
  <c r="E37" i="2"/>
  <c r="F37" i="2" s="1"/>
  <c r="J37" i="2" s="1"/>
  <c r="G39" i="2"/>
  <c r="K39" i="2" s="1"/>
  <c r="E39" i="2"/>
  <c r="F39" i="2" s="1"/>
  <c r="J39" i="2" s="1"/>
  <c r="G41" i="2"/>
  <c r="K41" i="2" s="1"/>
  <c r="E41" i="2"/>
  <c r="F41" i="2" s="1"/>
  <c r="J41" i="2" s="1"/>
  <c r="G43" i="2"/>
  <c r="K43" i="2" s="1"/>
  <c r="E43" i="2"/>
  <c r="F43" i="2" s="1"/>
  <c r="J43" i="2" s="1"/>
  <c r="G45" i="2"/>
  <c r="K45" i="2" s="1"/>
  <c r="E45" i="2"/>
  <c r="F45" i="2" s="1"/>
  <c r="J45" i="2" s="1"/>
  <c r="G47" i="2"/>
  <c r="K47" i="2" s="1"/>
  <c r="E47" i="2"/>
  <c r="F47" i="2" s="1"/>
  <c r="J47" i="2" s="1"/>
  <c r="G49" i="2"/>
  <c r="K49" i="2" s="1"/>
  <c r="E49" i="2"/>
  <c r="F49" i="2" s="1"/>
  <c r="J49" i="2" s="1"/>
  <c r="G51" i="2"/>
  <c r="K51" i="2" s="1"/>
  <c r="E51" i="2"/>
  <c r="F51" i="2" s="1"/>
  <c r="J51" i="2" s="1"/>
  <c r="G53" i="2"/>
  <c r="K53" i="2" s="1"/>
  <c r="E53" i="2"/>
  <c r="F53" i="2" s="1"/>
  <c r="J53" i="2" s="1"/>
  <c r="G55" i="2"/>
  <c r="K55" i="2" s="1"/>
  <c r="E55" i="2"/>
  <c r="F55" i="2" s="1"/>
  <c r="J55" i="2" s="1"/>
  <c r="G56" i="2"/>
  <c r="K56" i="2" s="1"/>
  <c r="H28" i="2"/>
  <c r="I31" i="2"/>
  <c r="M31" i="2" s="1"/>
  <c r="I35" i="2"/>
  <c r="M35" i="2" s="1"/>
  <c r="H38" i="2"/>
  <c r="H42" i="2"/>
  <c r="I45" i="2"/>
  <c r="M45" i="2" s="1"/>
  <c r="H48" i="2"/>
  <c r="H50" i="2"/>
  <c r="H52" i="2"/>
  <c r="H30" i="2"/>
  <c r="H32" i="2"/>
  <c r="H34" i="2"/>
  <c r="H36" i="2"/>
  <c r="I39" i="2"/>
  <c r="M39" i="2" s="1"/>
  <c r="H40" i="2"/>
  <c r="I43" i="2"/>
  <c r="M43" i="2" s="1"/>
  <c r="H44" i="2"/>
  <c r="H46" i="2"/>
  <c r="I51" i="2"/>
  <c r="M51" i="2" s="1"/>
  <c r="I8" i="2"/>
  <c r="M8" i="2" s="1"/>
  <c r="N8" i="2" s="1"/>
  <c r="S8" i="2" s="1"/>
  <c r="I54" i="2"/>
  <c r="M54" i="2" s="1"/>
  <c r="I33" i="2" l="1"/>
  <c r="M33" i="2" s="1"/>
  <c r="I55" i="2"/>
  <c r="M55" i="2" s="1"/>
  <c r="I15" i="2"/>
  <c r="M15" i="2" s="1"/>
  <c r="L40" i="2"/>
  <c r="I40" i="2"/>
  <c r="M40" i="2" s="1"/>
  <c r="N51" i="2"/>
  <c r="S51" i="2" s="1"/>
  <c r="L23" i="2"/>
  <c r="I23" i="2"/>
  <c r="M23" i="2" s="1"/>
  <c r="N23" i="2" s="1"/>
  <c r="S23" i="2" s="1"/>
  <c r="I37" i="2"/>
  <c r="M37" i="2" s="1"/>
  <c r="N37" i="2" s="1"/>
  <c r="S37" i="2" s="1"/>
  <c r="L42" i="2"/>
  <c r="N42" i="2" s="1"/>
  <c r="S42" i="2" s="1"/>
  <c r="I42" i="2"/>
  <c r="M42" i="2" s="1"/>
  <c r="L14" i="2"/>
  <c r="N14" i="2" s="1"/>
  <c r="S14" i="2" s="1"/>
  <c r="I14" i="2"/>
  <c r="M14" i="2" s="1"/>
  <c r="N39" i="2"/>
  <c r="S39" i="2" s="1"/>
  <c r="L56" i="2"/>
  <c r="I56" i="2"/>
  <c r="M56" i="2" s="1"/>
  <c r="N56" i="2" s="1"/>
  <c r="S56" i="2" s="1"/>
  <c r="I19" i="2"/>
  <c r="M19" i="2" s="1"/>
  <c r="N19" i="2" s="1"/>
  <c r="S19" i="2" s="1"/>
  <c r="L36" i="2"/>
  <c r="I36" i="2"/>
  <c r="M36" i="2" s="1"/>
  <c r="L38" i="2"/>
  <c r="I38" i="2"/>
  <c r="M38" i="2" s="1"/>
  <c r="N7" i="2"/>
  <c r="S7" i="2" s="1"/>
  <c r="L18" i="2"/>
  <c r="I18" i="2"/>
  <c r="M18" i="2" s="1"/>
  <c r="N18" i="2" s="1"/>
  <c r="S18" i="2" s="1"/>
  <c r="I13" i="2"/>
  <c r="M13" i="2" s="1"/>
  <c r="I21" i="2"/>
  <c r="M21" i="2" s="1"/>
  <c r="I53" i="2"/>
  <c r="M53" i="2" s="1"/>
  <c r="N35" i="2"/>
  <c r="S35" i="2" s="1"/>
  <c r="N15" i="2"/>
  <c r="S15" i="2" s="1"/>
  <c r="I47" i="2"/>
  <c r="M47" i="2" s="1"/>
  <c r="N47" i="2" s="1"/>
  <c r="S47" i="2" s="1"/>
  <c r="N45" i="2"/>
  <c r="S45" i="2" s="1"/>
  <c r="N33" i="2"/>
  <c r="S33" i="2" s="1"/>
  <c r="I11" i="2"/>
  <c r="M11" i="2" s="1"/>
  <c r="L27" i="2"/>
  <c r="I27" i="2"/>
  <c r="M27" i="2" s="1"/>
  <c r="N27" i="2" s="1"/>
  <c r="S27" i="2" s="1"/>
  <c r="L12" i="2"/>
  <c r="I12" i="2"/>
  <c r="M12" i="2" s="1"/>
  <c r="N12" i="2" s="1"/>
  <c r="S12" i="2" s="1"/>
  <c r="N13" i="2"/>
  <c r="S13" i="2" s="1"/>
  <c r="L34" i="2"/>
  <c r="I34" i="2"/>
  <c r="M34" i="2" s="1"/>
  <c r="N21" i="2"/>
  <c r="S21" i="2" s="1"/>
  <c r="S6" i="2"/>
  <c r="L48" i="2"/>
  <c r="I48" i="2"/>
  <c r="M48" i="2" s="1"/>
  <c r="N11" i="2"/>
  <c r="S11" i="2" s="1"/>
  <c r="I9" i="2"/>
  <c r="M9" i="2" s="1"/>
  <c r="N9" i="2" s="1"/>
  <c r="L16" i="2"/>
  <c r="I16" i="2"/>
  <c r="M16" i="2" s="1"/>
  <c r="N16" i="2" s="1"/>
  <c r="S16" i="2" s="1"/>
  <c r="I49" i="2"/>
  <c r="M49" i="2" s="1"/>
  <c r="N49" i="2" s="1"/>
  <c r="S49" i="2" s="1"/>
  <c r="L32" i="2"/>
  <c r="N32" i="2" s="1"/>
  <c r="S32" i="2" s="1"/>
  <c r="I32" i="2"/>
  <c r="M32" i="2" s="1"/>
  <c r="L28" i="2"/>
  <c r="N28" i="2" s="1"/>
  <c r="S28" i="2" s="1"/>
  <c r="I28" i="2"/>
  <c r="M28" i="2" s="1"/>
  <c r="L25" i="2"/>
  <c r="I25" i="2"/>
  <c r="M25" i="2" s="1"/>
  <c r="I29" i="2"/>
  <c r="M29" i="2" s="1"/>
  <c r="N29" i="2" s="1"/>
  <c r="S29" i="2" s="1"/>
  <c r="L44" i="2"/>
  <c r="I44" i="2"/>
  <c r="M44" i="2" s="1"/>
  <c r="N55" i="2"/>
  <c r="S55" i="2" s="1"/>
  <c r="N43" i="2"/>
  <c r="S43" i="2" s="1"/>
  <c r="N31" i="2"/>
  <c r="S31" i="2" s="1"/>
  <c r="N17" i="2"/>
  <c r="S17" i="2" s="1"/>
  <c r="L10" i="2"/>
  <c r="I10" i="2"/>
  <c r="M10" i="2" s="1"/>
  <c r="N10" i="2" s="1"/>
  <c r="S10" i="2" s="1"/>
  <c r="F4" i="1"/>
  <c r="N22" i="2"/>
  <c r="S22" i="2" s="1"/>
  <c r="L30" i="2"/>
  <c r="I30" i="2"/>
  <c r="M30" i="2" s="1"/>
  <c r="L46" i="2"/>
  <c r="N46" i="2" s="1"/>
  <c r="S46" i="2" s="1"/>
  <c r="I46" i="2"/>
  <c r="M46" i="2" s="1"/>
  <c r="L52" i="2"/>
  <c r="I52" i="2"/>
  <c r="M52" i="2" s="1"/>
  <c r="L26" i="2"/>
  <c r="I26" i="2"/>
  <c r="M26" i="2" s="1"/>
  <c r="L24" i="2"/>
  <c r="I24" i="2"/>
  <c r="M24" i="2" s="1"/>
  <c r="K7" i="2"/>
  <c r="F5" i="1" s="1"/>
  <c r="I7" i="2"/>
  <c r="M7" i="2" s="1"/>
  <c r="I41" i="2"/>
  <c r="M41" i="2" s="1"/>
  <c r="L50" i="2"/>
  <c r="I50" i="2"/>
  <c r="M50" i="2" s="1"/>
  <c r="N53" i="2"/>
  <c r="S53" i="2" s="1"/>
  <c r="N41" i="2"/>
  <c r="S41" i="2" s="1"/>
  <c r="L22" i="2"/>
  <c r="I22" i="2"/>
  <c r="M22" i="2" s="1"/>
  <c r="N26" i="2"/>
  <c r="S26" i="2" s="1"/>
  <c r="L20" i="2"/>
  <c r="I20" i="2"/>
  <c r="M20" i="2" s="1"/>
  <c r="N24" i="2"/>
  <c r="S24" i="2" s="1"/>
  <c r="N34" i="2" l="1"/>
  <c r="S34" i="2" s="1"/>
  <c r="N40" i="2"/>
  <c r="S40" i="2" s="1"/>
  <c r="N20" i="2"/>
  <c r="S20" i="2" s="1"/>
  <c r="N48" i="2"/>
  <c r="S48" i="2" s="1"/>
  <c r="N25" i="2"/>
  <c r="S25" i="2" s="1"/>
  <c r="N38" i="2"/>
  <c r="S38" i="2" s="1"/>
  <c r="S9" i="2"/>
  <c r="F8" i="1"/>
  <c r="N52" i="2"/>
  <c r="S52" i="2" s="1"/>
  <c r="N50" i="2"/>
  <c r="S50" i="2" s="1"/>
  <c r="F7" i="1"/>
  <c r="N44" i="2"/>
  <c r="S44" i="2" s="1"/>
  <c r="N36" i="2"/>
  <c r="S36" i="2" s="1"/>
  <c r="N30" i="2"/>
  <c r="S30" i="2" s="1"/>
  <c r="F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초기 반응조 pH</t>
        </r>
      </text>
    </comment>
    <comment ref="B11" authorId="0" shapeId="0" xr:uid="{00000000-0006-0000-0000-000002000000}">
      <text>
        <r>
          <rPr>
            <sz val="8"/>
            <color indexed="81"/>
            <rFont val="Tahoma"/>
            <family val="2"/>
          </rPr>
          <t>유입 음식물류폐수 COD. OLR(kg COD/m³·d) 계산에 사용</t>
        </r>
      </text>
    </comment>
    <comment ref="B15" authorId="0" shapeId="0" xr:uid="{00000000-0006-0000-0000-000003000000}">
      <text>
        <r>
          <rPr>
            <sz val="8"/>
            <color indexed="81"/>
            <rFont val="Tahoma"/>
            <family val="2"/>
          </rPr>
          <t>예시 pH 경보선. 실제 기준은 현장 기준으로 바꿔 사용</t>
        </r>
      </text>
    </comment>
  </commentList>
</comments>
</file>

<file path=xl/sharedStrings.xml><?xml version="1.0" encoding="utf-8"?>
<sst xmlns="http://schemas.openxmlformats.org/spreadsheetml/2006/main" count="65" uniqueCount="58">
  <si>
    <t>혐기소화조 혼합-오경보 예시 모델 (미생물 반응 없음)</t>
  </si>
  <si>
    <t>입력 변수</t>
  </si>
  <si>
    <t>반응조 유효부피</t>
  </si>
  <si>
    <t>mL</t>
  </si>
  <si>
    <t>초기 반응조 pH</t>
  </si>
  <si>
    <t>-</t>
  </si>
  <si>
    <t>초기 반응조 Alk</t>
  </si>
  <si>
    <t>mg/L as CaCO3</t>
  </si>
  <si>
    <t>초기 반응조 VFA</t>
  </si>
  <si>
    <t>mg/L as HAc</t>
  </si>
  <si>
    <t>음식물류폐수 pH</t>
  </si>
  <si>
    <t>음식물류폐수 Alk</t>
  </si>
  <si>
    <t>음식물류폐수 VFA</t>
  </si>
  <si>
    <t>음식물류폐수 COD</t>
  </si>
  <si>
    <t>mg/L</t>
  </si>
  <si>
    <t>예시 경보선 (현장별 조정)</t>
  </si>
  <si>
    <t>pH 하한</t>
  </si>
  <si>
    <t>Alk 하한</t>
  </si>
  <si>
    <t>VFA 상한</t>
  </si>
  <si>
    <t>VFA/Alk 상한</t>
  </si>
  <si>
    <t>해석 메모</t>
  </si>
  <si>
    <t>• 이 파일은 '순수 혼합'만 가정한 예시입니다. 미생물의 산생성/메탄생성 반응은 0으로 둡니다.</t>
  </si>
  <si>
    <t>• 즉, 음식물류폐수가 유입되어 완전혼합된 직후 분석값이 어디까지 움직일 수 있는지만 계산합니다.</t>
  </si>
  <si>
    <t>• pH는 단순 H+ 혼합식으로 계산했습니다. 실제 현장은 탄산염 완충, 해리평형 때문에 차이가 날 수 있습니다.</t>
  </si>
  <si>
    <t>• 따라서 결과는 정밀한 생물학 모델이 아니라 '혼합만으로도 오경보가 가능한가?'를 보는 스크리닝용 예시입니다.</t>
  </si>
  <si>
    <t>• 파란색 셀(B열)은 사용자가 바꿔볼 수 있는 입력값입니다.</t>
  </si>
  <si>
    <t>요약</t>
  </si>
  <si>
    <t>pH 첫 경보 유입량 (mL/d)</t>
  </si>
  <si>
    <t>Alk 첫 경보 유입량 (mL/d)</t>
  </si>
  <si>
    <t>VFA 첫 경보 유입량 (mL/d)</t>
  </si>
  <si>
    <t>VFA/Alk 첫 경보 유입량 (mL/d)</t>
  </si>
  <si>
    <t>종합 오경보 첫 발생 (mL/d)</t>
  </si>
  <si>
    <t>핵심 해석</t>
  </si>
  <si>
    <t>입력값이 이 예시처럼 산성·저알칼리·고유기산이면, 미생물 불균형이 전혀 없어도 혼합만으로 경보지표가 기준을 넘을 수 있습니다.</t>
  </si>
  <si>
    <t>0~100 mL/d (2 mL 간격) 유입 시 순수 혼합 기반 지표 변화</t>
  </si>
  <si>
    <t>수식 개요</t>
  </si>
  <si>
    <t>혼합 후 지표 = (기존 반응조 성상 × (1-유입비율)) + (유입수 성상 × 유입비율)</t>
  </si>
  <si>
    <t>음식물류폐수
유입량
(mL/d)</t>
  </si>
  <si>
    <t>유입비율
(Q/V)</t>
  </si>
  <si>
    <t>OLR
(kg COD/m³·d)</t>
  </si>
  <si>
    <t>HRT
(d)</t>
  </si>
  <si>
    <t>혼합 H+
(상대값)</t>
  </si>
  <si>
    <t>pH
(혼합 후)</t>
  </si>
  <si>
    <t>Alk
(혼합 후)</t>
  </si>
  <si>
    <t>VFA
(혼합 후)</t>
  </si>
  <si>
    <t>VFA/Alk</t>
  </si>
  <si>
    <t>pH
경보</t>
  </si>
  <si>
    <t>Alk
경보</t>
  </si>
  <si>
    <t>VFA
경보</t>
  </si>
  <si>
    <t>비율
경보</t>
  </si>
  <si>
    <t>종합
오경보?</t>
  </si>
  <si>
    <t>pH 기준</t>
  </si>
  <si>
    <t>Alk 기준</t>
  </si>
  <si>
    <t>VFA 기준</t>
  </si>
  <si>
    <t>비율 기준</t>
  </si>
  <si>
    <t>설명</t>
  </si>
  <si>
    <t>차트</t>
  </si>
  <si>
    <t>아래 차트는 미생물 반응을 0으로 놓고, 유입수와의 혼합만으로 지표가 어떻게 움직일 수 있는지 보여줍니다.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</si>
</sst>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%"/>
  </numFmts>
  <fonts count="7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sz val="11"/>
      <color rgb="FF0000F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color indexed="81"/>
      <name val="Tahoma"/>
      <family val="2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3" borderId="0" xfId="0" applyFill="1"/>
    <xf numFmtId="3" fontId="3" fillId="4" borderId="0" xfId="0" applyNumberFormat="1" applyFont="1" applyFill="1"/>
    <xf numFmtId="3" fontId="4" fillId="5" borderId="0" xfId="0" applyNumberFormat="1" applyFont="1" applyFill="1"/>
    <xf numFmtId="176" fontId="3" fillId="4" borderId="0" xfId="0" applyNumberFormat="1" applyFont="1" applyFill="1"/>
    <xf numFmtId="3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/>
    </xf>
    <xf numFmtId="0" fontId="0" fillId="7" borderId="0" xfId="0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0" fillId="6" borderId="0" xfId="0" applyFill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</cellXfs>
  <cellStyles count="1">
    <cellStyle name="표준" xfId="0" builtinId="0"/>
  </cellStyles>
  <dxfs count="5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유입량 증가에 따른 pH 변화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Simulation!$F$5</c:f>
              <c:strCache>
                <c:ptCount val="1"/>
                <c:pt idx="0">
                  <c:v>pH
(혼합 후)</c:v>
                </c:pt>
              </c:strCache>
            </c:strRef>
          </c:tx>
          <c:marker>
            <c:symbol val="none"/>
          </c:marker>
          <c:cat>
            <c:numRef>
              <c:f>Simulation!$A$6:$A$56</c:f>
              <c:numCache>
                <c:formatCode>#,##0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cat>
          <c:val>
            <c:numRef>
              <c:f>Simulation!$F$6:$F$56</c:f>
              <c:numCache>
                <c:formatCode>0.00</c:formatCode>
                <c:ptCount val="51"/>
                <c:pt idx="0">
                  <c:v>7.5000000000000009</c:v>
                </c:pt>
                <c:pt idx="1">
                  <c:v>6.8800945484002174</c:v>
                </c:pt>
                <c:pt idx="2">
                  <c:v>6.6345659702908799</c:v>
                </c:pt>
                <c:pt idx="3">
                  <c:v>6.4786717838758214</c:v>
                </c:pt>
                <c:pt idx="4">
                  <c:v>6.3641950932798981</c:v>
                </c:pt>
                <c:pt idx="5">
                  <c:v>6.2736854587958932</c:v>
                </c:pt>
                <c:pt idx="6">
                  <c:v>6.1988241425953525</c:v>
                </c:pt>
                <c:pt idx="7">
                  <c:v>6.1349895392013085</c:v>
                </c:pt>
                <c:pt idx="8">
                  <c:v>6.0793464556513532</c:v>
                </c:pt>
                <c:pt idx="9">
                  <c:v>6.0300296504704267</c:v>
                </c:pt>
                <c:pt idx="10">
                  <c:v>5.9857463410263136</c:v>
                </c:pt>
                <c:pt idx="11">
                  <c:v>5.9455635371766871</c:v>
                </c:pt>
                <c:pt idx="12">
                  <c:v>5.9087857918322948</c:v>
                </c:pt>
                <c:pt idx="13">
                  <c:v>5.8748808324632069</c:v>
                </c:pt>
                <c:pt idx="14">
                  <c:v>5.8434321952991102</c:v>
                </c:pt>
                <c:pt idx="15">
                  <c:v>5.8141078892501135</c:v>
                </c:pt>
                <c:pt idx="16">
                  <c:v>5.7866389904068001</c:v>
                </c:pt>
                <c:pt idx="17">
                  <c:v>5.760804614702935</c:v>
                </c:pt>
                <c:pt idx="18">
                  <c:v>5.7364211158548599</c:v>
                </c:pt>
                <c:pt idx="19">
                  <c:v>5.7133341585245114</c:v>
                </c:pt>
                <c:pt idx="20">
                  <c:v>5.6914127945695352</c:v>
                </c:pt>
                <c:pt idx="21">
                  <c:v>5.6705449640823078</c:v>
                </c:pt>
                <c:pt idx="22">
                  <c:v>5.6506340287927008</c:v>
                </c:pt>
                <c:pt idx="23">
                  <c:v>5.6315960659926896</c:v>
                </c:pt>
                <c:pt idx="24">
                  <c:v>5.6133577311532843</c:v>
                </c:pt>
                <c:pt idx="25">
                  <c:v>5.5958545515844218</c:v>
                </c:pt>
                <c:pt idx="26">
                  <c:v>5.5790295508561796</c:v>
                </c:pt>
                <c:pt idx="27">
                  <c:v>5.5628321299054617</c:v>
                </c:pt>
                <c:pt idx="28">
                  <c:v>5.5472171494125586</c:v>
                </c:pt>
                <c:pt idx="29">
                  <c:v>5.5321441715061068</c:v>
                </c:pt>
                <c:pt idx="30">
                  <c:v>5.5175768287102382</c:v>
                </c:pt>
                <c:pt idx="31">
                  <c:v>5.5034822953421552</c:v>
                </c:pt>
                <c:pt idx="32">
                  <c:v>5.4898308420270325</c:v>
                </c:pt>
                <c:pt idx="33">
                  <c:v>5.4765954581240095</c:v>
                </c:pt>
                <c:pt idx="34">
                  <c:v>5.463751530006876</c:v>
                </c:pt>
                <c:pt idx="35">
                  <c:v>5.4512765655685769</c:v>
                </c:pt>
                <c:pt idx="36">
                  <c:v>5.4391499572020567</c:v>
                </c:pt>
                <c:pt idx="37">
                  <c:v>5.4273527769838497</c:v>
                </c:pt>
                <c:pt idx="38">
                  <c:v>5.4158675989487266</c:v>
                </c:pt>
                <c:pt idx="39">
                  <c:v>5.4046783442659754</c:v>
                </c:pt>
                <c:pt idx="40">
                  <c:v>5.3937701458647984</c:v>
                </c:pt>
                <c:pt idx="41">
                  <c:v>5.3831292296486781</c:v>
                </c:pt>
                <c:pt idx="42">
                  <c:v>5.3727428099175478</c:v>
                </c:pt>
                <c:pt idx="43">
                  <c:v>5.3625989970060672</c:v>
                </c:pt>
                <c:pt idx="44">
                  <c:v>5.3526867154646274</c:v>
                </c:pt>
                <c:pt idx="45">
                  <c:v>5.342995631371144</c:v>
                </c:pt>
                <c:pt idx="46">
                  <c:v>5.3335160875775403</c:v>
                </c:pt>
                <c:pt idx="47">
                  <c:v>5.3242390458736866</c:v>
                </c:pt>
                <c:pt idx="48">
                  <c:v>5.3151560352005554</c:v>
                </c:pt>
                <c:pt idx="49">
                  <c:v>5.3062591051688761</c:v>
                </c:pt>
                <c:pt idx="50">
                  <c:v>5.2975407842441102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43-4EEC-A714-C5956C1FAB52}"/>
            </c:ext>
          </c:extLst>
        </c:ser>
        <c:ser>
          <c:idx val="1"/>
          <c:order val="1"/>
          <c:tx>
            <c:strRef>
              <c:f>Simulation!$O$5</c:f>
              <c:strCache>
                <c:ptCount val="1"/>
                <c:pt idx="0">
                  <c:v>pH 기준</c:v>
                </c:pt>
              </c:strCache>
            </c:strRef>
          </c:tx>
          <c:marker>
            <c:symbol val="none"/>
          </c:marker>
          <c:cat>
            <c:numRef>
              <c:f>Simulation!$A$6:$A$56</c:f>
              <c:numCache>
                <c:formatCode>#,##0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cat>
          <c:val>
            <c:numRef>
              <c:f>Simulation!$O$6:$O$56</c:f>
            </c:numRef>
          </c:val>
          <c:smooth val="0"/>
          <c:extLst>
            <c:ext xmlns:c16="http://schemas.microsoft.com/office/drawing/2014/chart" uri="{C3380CC4-5D6E-409C-BE32-E72D297353CC}">
              <c16:uniqueId val="{00000001-FC43-4EEC-A714-C5956C1FA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음식물류폐수 유입량 (mL/d)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유입량 증가에 따른 VFA 변화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Simulation!$H$5</c:f>
              <c:strCache>
                <c:ptCount val="1"/>
                <c:pt idx="0">
                  <c:v>VFA
(혼합 후)</c:v>
                </c:pt>
              </c:strCache>
            </c:strRef>
          </c:tx>
          <c:marker>
            <c:symbol val="none"/>
          </c:marker>
          <c:cat>
            <c:numRef>
              <c:f>Simulation!$A$6:$A$56</c:f>
              <c:numCache>
                <c:formatCode>#,##0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cat>
          <c:val>
            <c:numRef>
              <c:f>Simulation!$H$6:$H$56</c:f>
              <c:numCache>
                <c:formatCode>#,##0</c:formatCode>
                <c:ptCount val="51"/>
                <c:pt idx="0">
                  <c:v>1310</c:v>
                </c:pt>
                <c:pt idx="1">
                  <c:v>1950.1800000000003</c:v>
                </c:pt>
                <c:pt idx="2">
                  <c:v>2590.36</c:v>
                </c:pt>
                <c:pt idx="3">
                  <c:v>3230.54</c:v>
                </c:pt>
                <c:pt idx="4">
                  <c:v>3870.7200000000003</c:v>
                </c:pt>
                <c:pt idx="5">
                  <c:v>4510.8999999999996</c:v>
                </c:pt>
                <c:pt idx="6">
                  <c:v>5151.08</c:v>
                </c:pt>
                <c:pt idx="7">
                  <c:v>5791.26</c:v>
                </c:pt>
                <c:pt idx="8">
                  <c:v>6431.4400000000005</c:v>
                </c:pt>
                <c:pt idx="9">
                  <c:v>7071.62</c:v>
                </c:pt>
                <c:pt idx="10">
                  <c:v>7711.8</c:v>
                </c:pt>
                <c:pt idx="11">
                  <c:v>8351.98</c:v>
                </c:pt>
                <c:pt idx="12">
                  <c:v>8992.16</c:v>
                </c:pt>
                <c:pt idx="13">
                  <c:v>9632.34</c:v>
                </c:pt>
                <c:pt idx="14">
                  <c:v>10272.52</c:v>
                </c:pt>
                <c:pt idx="15">
                  <c:v>10912.7</c:v>
                </c:pt>
                <c:pt idx="16">
                  <c:v>11552.880000000001</c:v>
                </c:pt>
                <c:pt idx="17">
                  <c:v>12193.060000000001</c:v>
                </c:pt>
                <c:pt idx="18">
                  <c:v>12833.24</c:v>
                </c:pt>
                <c:pt idx="19">
                  <c:v>13473.419999999998</c:v>
                </c:pt>
                <c:pt idx="20">
                  <c:v>14113.6</c:v>
                </c:pt>
                <c:pt idx="21">
                  <c:v>14753.78</c:v>
                </c:pt>
                <c:pt idx="22">
                  <c:v>15393.96</c:v>
                </c:pt>
                <c:pt idx="23">
                  <c:v>16034.14</c:v>
                </c:pt>
                <c:pt idx="24">
                  <c:v>16674.32</c:v>
                </c:pt>
                <c:pt idx="25">
                  <c:v>17314.5</c:v>
                </c:pt>
                <c:pt idx="26">
                  <c:v>17954.68</c:v>
                </c:pt>
                <c:pt idx="27">
                  <c:v>18594.859999999997</c:v>
                </c:pt>
                <c:pt idx="28">
                  <c:v>19235.04</c:v>
                </c:pt>
                <c:pt idx="29">
                  <c:v>19875.22</c:v>
                </c:pt>
                <c:pt idx="30">
                  <c:v>20515.400000000001</c:v>
                </c:pt>
                <c:pt idx="31">
                  <c:v>21155.579999999998</c:v>
                </c:pt>
                <c:pt idx="32">
                  <c:v>21795.760000000002</c:v>
                </c:pt>
                <c:pt idx="33">
                  <c:v>22435.940000000002</c:v>
                </c:pt>
                <c:pt idx="34">
                  <c:v>23076.12</c:v>
                </c:pt>
                <c:pt idx="35">
                  <c:v>23716.300000000003</c:v>
                </c:pt>
                <c:pt idx="36">
                  <c:v>24356.48</c:v>
                </c:pt>
                <c:pt idx="37">
                  <c:v>24996.66</c:v>
                </c:pt>
                <c:pt idx="38">
                  <c:v>25636.839999999997</c:v>
                </c:pt>
                <c:pt idx="39">
                  <c:v>26277.02</c:v>
                </c:pt>
                <c:pt idx="40">
                  <c:v>26917.200000000001</c:v>
                </c:pt>
                <c:pt idx="41">
                  <c:v>27557.380000000005</c:v>
                </c:pt>
                <c:pt idx="42">
                  <c:v>28197.56</c:v>
                </c:pt>
                <c:pt idx="43">
                  <c:v>28837.739999999998</c:v>
                </c:pt>
                <c:pt idx="44">
                  <c:v>29477.919999999998</c:v>
                </c:pt>
                <c:pt idx="45">
                  <c:v>30118.1</c:v>
                </c:pt>
                <c:pt idx="46">
                  <c:v>30758.28</c:v>
                </c:pt>
                <c:pt idx="47">
                  <c:v>31398.46</c:v>
                </c:pt>
                <c:pt idx="48">
                  <c:v>32038.640000000003</c:v>
                </c:pt>
                <c:pt idx="49">
                  <c:v>32678.82</c:v>
                </c:pt>
                <c:pt idx="50">
                  <c:v>33319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40-43BB-95AB-48CA1AB1FFF7}"/>
            </c:ext>
          </c:extLst>
        </c:ser>
        <c:ser>
          <c:idx val="1"/>
          <c:order val="1"/>
          <c:tx>
            <c:strRef>
              <c:f>Simulation!$Q$5</c:f>
              <c:strCache>
                <c:ptCount val="1"/>
                <c:pt idx="0">
                  <c:v>VFA 기준</c:v>
                </c:pt>
              </c:strCache>
            </c:strRef>
          </c:tx>
          <c:marker>
            <c:symbol val="none"/>
          </c:marker>
          <c:cat>
            <c:numRef>
              <c:f>Simulation!$A$6:$A$56</c:f>
              <c:numCache>
                <c:formatCode>#,##0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cat>
          <c:val>
            <c:numRef>
              <c:f>Simulation!$Q$6:$Q$56</c:f>
            </c:numRef>
          </c:val>
          <c:smooth val="0"/>
          <c:extLst>
            <c:ext xmlns:c16="http://schemas.microsoft.com/office/drawing/2014/chart" uri="{C3380CC4-5D6E-409C-BE32-E72D297353CC}">
              <c16:uniqueId val="{00000001-B840-43BB-95AB-48CA1AB1F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음식물류폐수 유입량 (mL/d)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VFA (mg/L as HAc)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유입량 증가에 따른 VFA/Alk 변화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Simulation!$I$5</c:f>
              <c:strCache>
                <c:ptCount val="1"/>
                <c:pt idx="0">
                  <c:v>VFA/Alk</c:v>
                </c:pt>
              </c:strCache>
            </c:strRef>
          </c:tx>
          <c:marker>
            <c:symbol val="none"/>
          </c:marker>
          <c:cat>
            <c:numRef>
              <c:f>Simulation!$A$6:$A$56</c:f>
              <c:numCache>
                <c:formatCode>#,##0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cat>
          <c:val>
            <c:numRef>
              <c:f>Simulation!$I$6:$I$56</c:f>
              <c:numCache>
                <c:formatCode>0.00</c:formatCode>
                <c:ptCount val="51"/>
                <c:pt idx="0">
                  <c:v>0.40208717004297112</c:v>
                </c:pt>
                <c:pt idx="1">
                  <c:v>0.59978151514816014</c:v>
                </c:pt>
                <c:pt idx="2">
                  <c:v>0.79826981344654258</c:v>
                </c:pt>
                <c:pt idx="3">
                  <c:v>0.99755685741212163</c:v>
                </c:pt>
                <c:pt idx="4">
                  <c:v>1.1976474781678845</c:v>
                </c:pt>
                <c:pt idx="5">
                  <c:v>1.3985465458761959</c:v>
                </c:pt>
                <c:pt idx="6">
                  <c:v>1.6002589701339338</c:v>
                </c:pt>
                <c:pt idx="7">
                  <c:v>1.8027897003724334</c:v>
                </c:pt>
                <c:pt idx="8">
                  <c:v>2.0061437262623087</c:v>
                </c:pt>
                <c:pt idx="9">
                  <c:v>2.2103260781232223</c:v>
                </c:pt>
                <c:pt idx="10">
                  <c:v>2.4153418273386702</c:v>
                </c:pt>
                <c:pt idx="11">
                  <c:v>2.6211960867758579</c:v>
                </c:pt>
                <c:pt idx="12">
                  <c:v>2.8278940112107396</c:v>
                </c:pt>
                <c:pt idx="13">
                  <c:v>3.0354407977582905</c:v>
                </c:pt>
                <c:pt idx="14">
                  <c:v>3.2438416863080941</c:v>
                </c:pt>
                <c:pt idx="15">
                  <c:v>3.4531019599653199</c:v>
                </c:pt>
                <c:pt idx="16">
                  <c:v>3.6632269454971622</c:v>
                </c:pt>
                <c:pt idx="17">
                  <c:v>3.8742220137848293</c:v>
                </c:pt>
                <c:pt idx="18">
                  <c:v>4.086092580281159</c:v>
                </c:pt>
                <c:pt idx="19">
                  <c:v>4.2988441054739397</c:v>
                </c:pt>
                <c:pt idx="20">
                  <c:v>4.5124820953550238</c:v>
                </c:pt>
                <c:pt idx="21">
                  <c:v>4.7270121018953191</c:v>
                </c:pt>
                <c:pt idx="22">
                  <c:v>4.9424397235257409</c:v>
                </c:pt>
                <c:pt idx="23">
                  <c:v>5.1587706056242135</c:v>
                </c:pt>
                <c:pt idx="24">
                  <c:v>5.3760104410088161</c:v>
                </c:pt>
                <c:pt idx="25">
                  <c:v>5.5941649704371423</c:v>
                </c:pt>
                <c:pt idx="26">
                  <c:v>5.8132399831120027</c:v>
                </c:pt>
                <c:pt idx="27">
                  <c:v>6.0332413171935206</c:v>
                </c:pt>
                <c:pt idx="28">
                  <c:v>6.2541748603177583</c:v>
                </c:pt>
                <c:pt idx="29">
                  <c:v>6.4760465501219278</c:v>
                </c:pt>
                <c:pt idx="30">
                  <c:v>6.6988623747763283</c:v>
                </c:pt>
                <c:pt idx="31">
                  <c:v>6.9226283735230707</c:v>
                </c:pt>
                <c:pt idx="32">
                  <c:v>7.1473506372217246</c:v>
                </c:pt>
                <c:pt idx="33">
                  <c:v>7.3730353089019562</c:v>
                </c:pt>
                <c:pt idx="34">
                  <c:v>7.599688584323304</c:v>
                </c:pt>
                <c:pt idx="35">
                  <c:v>7.8273167125421645</c:v>
                </c:pt>
                <c:pt idx="36">
                  <c:v>8.0559259964861027</c:v>
                </c:pt>
                <c:pt idx="37">
                  <c:v>8.2855227935356321</c:v>
                </c:pt>
                <c:pt idx="38">
                  <c:v>8.5161135161135135</c:v>
                </c:pt>
                <c:pt idx="39">
                  <c:v>8.7477046322817582</c:v>
                </c:pt>
                <c:pt idx="40">
                  <c:v>8.9803026663463843</c:v>
                </c:pt>
                <c:pt idx="41">
                  <c:v>9.2139141994701177</c:v>
                </c:pt>
                <c:pt idx="42">
                  <c:v>9.4485458702930778</c:v>
                </c:pt>
                <c:pt idx="43">
                  <c:v>9.684204375561654</c:v>
                </c:pt>
                <c:pt idx="44">
                  <c:v>9.9208964707656175</c:v>
                </c:pt>
                <c:pt idx="45">
                  <c:v>10.158628970783665</c:v>
                </c:pt>
                <c:pt idx="46">
                  <c:v>10.397408750537476</c:v>
                </c:pt>
                <c:pt idx="47">
                  <c:v>10.637242745654438</c:v>
                </c:pt>
                <c:pt idx="48">
                  <c:v>10.878137953139177</c:v>
                </c:pt>
                <c:pt idx="49">
                  <c:v>11.120101432054</c:v>
                </c:pt>
                <c:pt idx="50">
                  <c:v>11.363140304208443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3E-4C8B-A7C3-AE170A598460}"/>
            </c:ext>
          </c:extLst>
        </c:ser>
        <c:ser>
          <c:idx val="1"/>
          <c:order val="1"/>
          <c:tx>
            <c:strRef>
              <c:f>Simulation!$R$5</c:f>
              <c:strCache>
                <c:ptCount val="1"/>
                <c:pt idx="0">
                  <c:v>비율 기준</c:v>
                </c:pt>
              </c:strCache>
            </c:strRef>
          </c:tx>
          <c:marker>
            <c:symbol val="none"/>
          </c:marker>
          <c:cat>
            <c:numRef>
              <c:f>Simulation!$A$6:$A$56</c:f>
              <c:numCache>
                <c:formatCode>#,##0</c:formatCode>
                <c:ptCount val="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</c:numCache>
            </c:numRef>
          </c:cat>
          <c:val>
            <c:numRef>
              <c:f>Simulation!$R$6:$R$56</c:f>
            </c:numRef>
          </c:val>
          <c:smooth val="0"/>
          <c:extLst>
            <c:ext xmlns:c16="http://schemas.microsoft.com/office/drawing/2014/chart" uri="{C3380CC4-5D6E-409C-BE32-E72D297353CC}">
              <c16:uniqueId val="{00000001-9A3E-4C8B-A7C3-AE170A598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음식물류폐수 유입량 (mL/d)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VFA/Alk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13</xdr:col>
      <xdr:colOff>76200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13</xdr:col>
      <xdr:colOff>76200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13</xdr:col>
      <xdr:colOff>76200</xdr:colOff>
      <xdr:row>58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workbookViewId="0">
      <pane ySplit="3" topLeftCell="A4" activePane="bottomLeft" state="frozen"/>
      <selection pane="bottomLeft" activeCell="B18" sqref="B18"/>
    </sheetView>
  </sheetViews>
  <sheetFormatPr defaultRowHeight="16.5" x14ac:dyDescent="0.3"/>
  <cols>
    <col min="1" max="1" width="22.75" customWidth="1"/>
    <col min="2" max="2" width="13.75" customWidth="1"/>
    <col min="3" max="3" width="18.75" customWidth="1"/>
    <col min="4" max="4" width="2.75" customWidth="1"/>
    <col min="5" max="5" width="26.75" customWidth="1"/>
    <col min="6" max="6" width="18.75" customWidth="1"/>
  </cols>
  <sheetData>
    <row r="1" spans="1:6" ht="20.25" x14ac:dyDescent="0.3">
      <c r="A1" s="14" t="s">
        <v>0</v>
      </c>
      <c r="B1" s="14"/>
      <c r="C1" s="14"/>
      <c r="D1" s="14"/>
      <c r="E1" s="14"/>
      <c r="F1" s="14"/>
    </row>
    <row r="3" spans="1:6" x14ac:dyDescent="0.3">
      <c r="A3" s="12" t="s">
        <v>1</v>
      </c>
      <c r="B3" s="12"/>
      <c r="C3" s="12"/>
      <c r="E3" s="12" t="s">
        <v>26</v>
      </c>
      <c r="F3" s="12"/>
    </row>
    <row r="4" spans="1:6" x14ac:dyDescent="0.3">
      <c r="A4" s="2" t="s">
        <v>2</v>
      </c>
      <c r="B4" s="3">
        <v>1000</v>
      </c>
      <c r="C4" t="s">
        <v>3</v>
      </c>
      <c r="E4" s="2" t="s">
        <v>27</v>
      </c>
      <c r="F4" s="4">
        <f>IFERROR(INDEX(Simulation!$A$6:$A$56,MATCH("YES",Simulation!$J$6:$J$56,0)),"없음")</f>
        <v>2</v>
      </c>
    </row>
    <row r="5" spans="1:6" x14ac:dyDescent="0.3">
      <c r="A5" s="2" t="s">
        <v>4</v>
      </c>
      <c r="B5" s="5">
        <v>7.5</v>
      </c>
      <c r="C5" t="s">
        <v>5</v>
      </c>
      <c r="E5" s="2" t="s">
        <v>28</v>
      </c>
      <c r="F5" s="4">
        <f>IFERROR(INDEX(Simulation!$A$6:$A$56,MATCH("YES",Simulation!$K$6:$K$56,0)),"없음")</f>
        <v>18</v>
      </c>
    </row>
    <row r="6" spans="1:6" x14ac:dyDescent="0.3">
      <c r="A6" s="2" t="s">
        <v>6</v>
      </c>
      <c r="B6" s="3">
        <v>3258</v>
      </c>
      <c r="C6" t="s">
        <v>7</v>
      </c>
      <c r="E6" s="2" t="s">
        <v>29</v>
      </c>
      <c r="F6" s="4">
        <f>IFERROR(INDEX(Simulation!$A$6:$A$56,MATCH("YES",Simulation!$L$6:$L$56,0)),"없음")</f>
        <v>4</v>
      </c>
    </row>
    <row r="7" spans="1:6" x14ac:dyDescent="0.3">
      <c r="A7" s="2" t="s">
        <v>8</v>
      </c>
      <c r="B7" s="3">
        <v>1310</v>
      </c>
      <c r="C7" t="s">
        <v>9</v>
      </c>
      <c r="E7" s="2" t="s">
        <v>30</v>
      </c>
      <c r="F7" s="4">
        <f>IFERROR(INDEX(Simulation!$A$6:$A$56,MATCH("YES",Simulation!$M$6:$M$56,0)),"없음")</f>
        <v>0</v>
      </c>
    </row>
    <row r="8" spans="1:6" x14ac:dyDescent="0.3">
      <c r="A8" s="2" t="s">
        <v>10</v>
      </c>
      <c r="B8" s="5">
        <v>4.3</v>
      </c>
      <c r="C8" t="s">
        <v>5</v>
      </c>
      <c r="E8" s="2" t="s">
        <v>31</v>
      </c>
      <c r="F8" s="4">
        <f>IFERROR(INDEX(Simulation!$A$6:$A$56,MATCH("YES",Simulation!$N$6:$N$56,0)),"없음")</f>
        <v>0</v>
      </c>
    </row>
    <row r="9" spans="1:6" x14ac:dyDescent="0.3">
      <c r="A9" s="2" t="s">
        <v>11</v>
      </c>
      <c r="B9" s="3">
        <v>0</v>
      </c>
      <c r="C9" t="s">
        <v>7</v>
      </c>
    </row>
    <row r="10" spans="1:6" x14ac:dyDescent="0.3">
      <c r="A10" s="2" t="s">
        <v>12</v>
      </c>
      <c r="B10" s="3">
        <v>321400</v>
      </c>
      <c r="C10" t="s">
        <v>9</v>
      </c>
      <c r="E10" s="12" t="s">
        <v>32</v>
      </c>
      <c r="F10" s="12"/>
    </row>
    <row r="11" spans="1:6" x14ac:dyDescent="0.3">
      <c r="A11" s="2" t="s">
        <v>13</v>
      </c>
      <c r="B11" s="3">
        <v>172000</v>
      </c>
      <c r="C11" t="s">
        <v>14</v>
      </c>
      <c r="E11" s="13" t="s">
        <v>33</v>
      </c>
      <c r="F11" s="13"/>
    </row>
    <row r="12" spans="1:6" x14ac:dyDescent="0.3">
      <c r="E12" s="13"/>
      <c r="F12" s="13"/>
    </row>
    <row r="13" spans="1:6" x14ac:dyDescent="0.3">
      <c r="E13" s="13"/>
      <c r="F13" s="13"/>
    </row>
    <row r="14" spans="1:6" x14ac:dyDescent="0.3">
      <c r="A14" s="12" t="s">
        <v>15</v>
      </c>
      <c r="B14" s="12"/>
      <c r="C14" s="12"/>
    </row>
    <row r="15" spans="1:6" x14ac:dyDescent="0.3">
      <c r="A15" s="2" t="s">
        <v>16</v>
      </c>
      <c r="B15" s="5">
        <v>7</v>
      </c>
      <c r="C15" t="s">
        <v>5</v>
      </c>
    </row>
    <row r="16" spans="1:6" x14ac:dyDescent="0.3">
      <c r="A16" s="2" t="s">
        <v>17</v>
      </c>
      <c r="B16" s="3">
        <v>3200</v>
      </c>
      <c r="C16" t="s">
        <v>7</v>
      </c>
    </row>
    <row r="17" spans="1:6" x14ac:dyDescent="0.3">
      <c r="A17" s="2" t="s">
        <v>18</v>
      </c>
      <c r="B17" s="3">
        <v>2000</v>
      </c>
      <c r="C17" t="s">
        <v>9</v>
      </c>
    </row>
    <row r="18" spans="1:6" x14ac:dyDescent="0.3">
      <c r="A18" s="2" t="s">
        <v>19</v>
      </c>
      <c r="B18" s="5">
        <v>0.4</v>
      </c>
      <c r="C18" t="s">
        <v>5</v>
      </c>
    </row>
    <row r="20" spans="1:6" x14ac:dyDescent="0.3">
      <c r="A20" s="12" t="s">
        <v>20</v>
      </c>
      <c r="B20" s="12"/>
      <c r="C20" s="12"/>
      <c r="D20" s="12"/>
      <c r="E20" s="12"/>
      <c r="F20" s="12"/>
    </row>
    <row r="21" spans="1:6" ht="16.5" customHeight="1" x14ac:dyDescent="0.3">
      <c r="A21" s="11" t="s">
        <v>21</v>
      </c>
      <c r="B21" s="11"/>
      <c r="C21" s="11"/>
      <c r="D21" s="11"/>
      <c r="E21" s="11"/>
      <c r="F21" s="11"/>
    </row>
    <row r="22" spans="1:6" ht="16.5" customHeight="1" x14ac:dyDescent="0.3">
      <c r="A22" s="11" t="s">
        <v>22</v>
      </c>
      <c r="B22" s="11"/>
      <c r="C22" s="11"/>
      <c r="D22" s="11"/>
      <c r="E22" s="11"/>
      <c r="F22" s="11"/>
    </row>
    <row r="23" spans="1:6" ht="16.5" customHeight="1" x14ac:dyDescent="0.3">
      <c r="A23" s="11" t="s">
        <v>23</v>
      </c>
      <c r="B23" s="11"/>
      <c r="C23" s="11"/>
      <c r="D23" s="11"/>
      <c r="E23" s="11"/>
      <c r="F23" s="11"/>
    </row>
    <row r="24" spans="1:6" ht="16.5" customHeight="1" x14ac:dyDescent="0.3">
      <c r="A24" s="11" t="s">
        <v>24</v>
      </c>
      <c r="B24" s="11"/>
      <c r="C24" s="11"/>
      <c r="D24" s="11"/>
      <c r="E24" s="11"/>
      <c r="F24" s="11"/>
    </row>
    <row r="25" spans="1:6" ht="16.5" customHeight="1" x14ac:dyDescent="0.3">
      <c r="A25" s="11" t="s">
        <v>25</v>
      </c>
      <c r="B25" s="11"/>
      <c r="C25" s="11"/>
      <c r="D25" s="11"/>
      <c r="E25" s="11"/>
      <c r="F25" s="11"/>
    </row>
  </sheetData>
  <mergeCells count="12">
    <mergeCell ref="A1:F1"/>
    <mergeCell ref="A3:C3"/>
    <mergeCell ref="A14:C14"/>
    <mergeCell ref="A20:F20"/>
    <mergeCell ref="A21:F21"/>
    <mergeCell ref="A22:F22"/>
    <mergeCell ref="A23:F23"/>
    <mergeCell ref="A24:F24"/>
    <mergeCell ref="A25:F25"/>
    <mergeCell ref="E3:F3"/>
    <mergeCell ref="E10:F10"/>
    <mergeCell ref="E11:F13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6"/>
  <sheetViews>
    <sheetView tabSelected="1" workbookViewId="0">
      <pane ySplit="5" topLeftCell="A6" activePane="bottomLeft" state="frozen"/>
      <selection pane="bottomLeft" activeCell="M6" sqref="M6"/>
    </sheetView>
  </sheetViews>
  <sheetFormatPr defaultRowHeight="16.5" x14ac:dyDescent="0.3"/>
  <cols>
    <col min="1" max="1" width="21.875" customWidth="1"/>
    <col min="2" max="2" width="10.75" customWidth="1"/>
    <col min="3" max="3" width="14.75" customWidth="1"/>
    <col min="4" max="4" width="10.75" customWidth="1"/>
    <col min="5" max="5" width="0" hidden="1" customWidth="1"/>
    <col min="6" max="6" width="10.75" customWidth="1"/>
    <col min="7" max="8" width="12.75" customWidth="1"/>
    <col min="9" max="9" width="10.75" customWidth="1"/>
    <col min="10" max="13" width="8.75" customWidth="1"/>
    <col min="14" max="14" width="10.75" customWidth="1"/>
    <col min="15" max="18" width="0" hidden="1" customWidth="1"/>
    <col min="19" max="19" width="20.75" customWidth="1"/>
  </cols>
  <sheetData>
    <row r="1" spans="1:19" ht="20.25" x14ac:dyDescent="0.3">
      <c r="A1" s="14" t="s">
        <v>34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3" spans="1:19" x14ac:dyDescent="0.3">
      <c r="A3" s="1" t="s">
        <v>35</v>
      </c>
      <c r="B3" s="15" t="s">
        <v>36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5" spans="1:19" ht="42" customHeight="1" x14ac:dyDescent="0.3">
      <c r="A5" s="1" t="s">
        <v>37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46</v>
      </c>
      <c r="K5" s="1" t="s">
        <v>47</v>
      </c>
      <c r="L5" s="1" t="s">
        <v>48</v>
      </c>
      <c r="M5" s="1" t="s">
        <v>49</v>
      </c>
      <c r="N5" s="1" t="s">
        <v>50</v>
      </c>
      <c r="O5" s="1" t="s">
        <v>51</v>
      </c>
      <c r="P5" s="1" t="s">
        <v>52</v>
      </c>
      <c r="Q5" s="1" t="s">
        <v>53</v>
      </c>
      <c r="R5" s="1" t="s">
        <v>54</v>
      </c>
      <c r="S5" s="1" t="s">
        <v>55</v>
      </c>
    </row>
    <row r="6" spans="1:19" x14ac:dyDescent="0.3">
      <c r="A6" s="6">
        <v>0</v>
      </c>
      <c r="B6" s="7">
        <f>A6/Inputs!$B$4</f>
        <v>0</v>
      </c>
      <c r="C6" s="8">
        <f>Inputs!$B$11*A6/Inputs!$B$4/1000</f>
        <v>0</v>
      </c>
      <c r="D6" s="9" t="str">
        <f>IF(A6=0,"N/A",Inputs!$B$4/A6)</f>
        <v>N/A</v>
      </c>
      <c r="E6" s="10">
        <f>(1-B6)*10^(-Inputs!$B$5)+B6*10^(-Inputs!$B$8)</f>
        <v>3.1622776601683699E-8</v>
      </c>
      <c r="F6" s="8">
        <f t="shared" ref="F6:F37" si="0">-LOG10(E6)</f>
        <v>7.5000000000000009</v>
      </c>
      <c r="G6" s="6">
        <f>(1-B6)*Inputs!$B$6+B6*Inputs!$B$9</f>
        <v>3258</v>
      </c>
      <c r="H6" s="6">
        <f>(1-B6)*Inputs!$B$7+B6*Inputs!$B$10</f>
        <v>1310</v>
      </c>
      <c r="I6" s="8">
        <f t="shared" ref="I6:I37" si="1">IFERROR(H6/G6,0)</f>
        <v>0.40208717004297112</v>
      </c>
      <c r="J6" s="9" t="str">
        <f>IF(F6&lt;Inputs!$B$15,"YES","")</f>
        <v/>
      </c>
      <c r="K6" s="9" t="str">
        <f>IF(G6&lt;Inputs!$B$16,"YES","")</f>
        <v/>
      </c>
      <c r="L6" s="9" t="str">
        <f>IF(H6&gt;Inputs!$B$17,"YES","")</f>
        <v/>
      </c>
      <c r="M6" s="9" t="str">
        <f>IF(I6&gt;Inputs!$B$18,"YES","")</f>
        <v>YES</v>
      </c>
      <c r="N6" s="9" t="str">
        <f t="shared" ref="N6:N37" si="2">IF(COUNTIF(J6:M6,"YES")&gt;0,"YES","")</f>
        <v>YES</v>
      </c>
      <c r="O6" s="8">
        <f>Inputs!$B$15</f>
        <v>7</v>
      </c>
      <c r="P6" s="6">
        <f>Inputs!$B$16</f>
        <v>3200</v>
      </c>
      <c r="Q6" s="6">
        <f>Inputs!$B$17</f>
        <v>2000</v>
      </c>
      <c r="R6" s="8">
        <f>Inputs!$B$18</f>
        <v>0.4</v>
      </c>
      <c r="S6" s="9" t="str">
        <f t="shared" ref="S6:S37" si="3">IF(N6="YES","혼합만으로도 경보 가능","")</f>
        <v>혼합만으로도 경보 가능</v>
      </c>
    </row>
    <row r="7" spans="1:19" x14ac:dyDescent="0.3">
      <c r="A7" s="6">
        <v>2</v>
      </c>
      <c r="B7" s="7">
        <f>A7/Inputs!$B$4</f>
        <v>2E-3</v>
      </c>
      <c r="C7" s="8">
        <f>Inputs!$B$11*A7/Inputs!$B$4/1000</f>
        <v>0.34399999999999997</v>
      </c>
      <c r="D7" s="8">
        <f>IF(A7=0,"N/A",Inputs!$B$4/A7)</f>
        <v>500</v>
      </c>
      <c r="E7" s="10">
        <f>(1-B7)*10^(-Inputs!$B$5)+B7*10^(-Inputs!$B$8)</f>
        <v>1.3179697777393479E-7</v>
      </c>
      <c r="F7" s="8">
        <f t="shared" si="0"/>
        <v>6.8800945484002174</v>
      </c>
      <c r="G7" s="6">
        <f>(1-B7)*Inputs!$B$6+B7*Inputs!$B$9</f>
        <v>3251.4839999999999</v>
      </c>
      <c r="H7" s="6">
        <f>(1-B7)*Inputs!$B$7+B7*Inputs!$B$10</f>
        <v>1950.1800000000003</v>
      </c>
      <c r="I7" s="8">
        <f t="shared" si="1"/>
        <v>0.59978151514816014</v>
      </c>
      <c r="J7" s="9" t="str">
        <f>IF(F7&lt;Inputs!$B$15,"YES","")</f>
        <v>YES</v>
      </c>
      <c r="K7" s="9" t="str">
        <f>IF(G7&lt;Inputs!$B$16,"YES","")</f>
        <v/>
      </c>
      <c r="L7" s="9" t="str">
        <f>IF(H7&gt;Inputs!$B$17,"YES","")</f>
        <v/>
      </c>
      <c r="M7" s="9" t="str">
        <f>IF(I7&gt;Inputs!$B$18,"YES","")</f>
        <v>YES</v>
      </c>
      <c r="N7" s="9" t="str">
        <f t="shared" si="2"/>
        <v>YES</v>
      </c>
      <c r="O7" s="8">
        <f>Inputs!$B$15</f>
        <v>7</v>
      </c>
      <c r="P7" s="6">
        <f>Inputs!$B$16</f>
        <v>3200</v>
      </c>
      <c r="Q7" s="6">
        <f>Inputs!$B$17</f>
        <v>2000</v>
      </c>
      <c r="R7" s="8">
        <f>Inputs!$B$18</f>
        <v>0.4</v>
      </c>
      <c r="S7" s="9" t="str">
        <f t="shared" si="3"/>
        <v>혼합만으로도 경보 가능</v>
      </c>
    </row>
    <row r="8" spans="1:19" x14ac:dyDescent="0.3">
      <c r="A8" s="6">
        <v>4</v>
      </c>
      <c r="B8" s="7">
        <f>A8/Inputs!$B$4</f>
        <v>4.0000000000000001E-3</v>
      </c>
      <c r="C8" s="8">
        <f>Inputs!$B$11*A8/Inputs!$B$4/1000</f>
        <v>0.68799999999999994</v>
      </c>
      <c r="D8" s="8">
        <f>IF(A8=0,"N/A",Inputs!$B$4/A8)</f>
        <v>250</v>
      </c>
      <c r="E8" s="10">
        <f>(1-B8)*10^(-Inputs!$B$5)+B8*10^(-Inputs!$B$8)</f>
        <v>2.319711789461859E-7</v>
      </c>
      <c r="F8" s="8">
        <f t="shared" si="0"/>
        <v>6.6345659702908799</v>
      </c>
      <c r="G8" s="6">
        <f>(1-B8)*Inputs!$B$6+B8*Inputs!$B$9</f>
        <v>3244.9679999999998</v>
      </c>
      <c r="H8" s="6">
        <f>(1-B8)*Inputs!$B$7+B8*Inputs!$B$10</f>
        <v>2590.36</v>
      </c>
      <c r="I8" s="8">
        <f t="shared" si="1"/>
        <v>0.79826981344654258</v>
      </c>
      <c r="J8" s="9" t="str">
        <f>IF(F8&lt;Inputs!$B$15,"YES","")</f>
        <v>YES</v>
      </c>
      <c r="K8" s="9" t="str">
        <f>IF(G8&lt;Inputs!$B$16,"YES","")</f>
        <v/>
      </c>
      <c r="L8" s="9" t="str">
        <f>IF(H8&gt;Inputs!$B$17,"YES","")</f>
        <v>YES</v>
      </c>
      <c r="M8" s="9" t="str">
        <f>IF(I8&gt;Inputs!$B$18,"YES","")</f>
        <v>YES</v>
      </c>
      <c r="N8" s="9" t="str">
        <f t="shared" si="2"/>
        <v>YES</v>
      </c>
      <c r="O8" s="8">
        <f>Inputs!$B$15</f>
        <v>7</v>
      </c>
      <c r="P8" s="6">
        <f>Inputs!$B$16</f>
        <v>3200</v>
      </c>
      <c r="Q8" s="6">
        <f>Inputs!$B$17</f>
        <v>2000</v>
      </c>
      <c r="R8" s="8">
        <f>Inputs!$B$18</f>
        <v>0.4</v>
      </c>
      <c r="S8" s="9" t="str">
        <f t="shared" si="3"/>
        <v>혼합만으로도 경보 가능</v>
      </c>
    </row>
    <row r="9" spans="1:19" x14ac:dyDescent="0.3">
      <c r="A9" s="6">
        <v>6</v>
      </c>
      <c r="B9" s="7">
        <f>A9/Inputs!$B$4</f>
        <v>6.0000000000000001E-3</v>
      </c>
      <c r="C9" s="8">
        <f>Inputs!$B$11*A9/Inputs!$B$4/1000</f>
        <v>1.032</v>
      </c>
      <c r="D9" s="8">
        <f>IF(A9=0,"N/A",Inputs!$B$4/A9)</f>
        <v>166.66666666666666</v>
      </c>
      <c r="E9" s="10">
        <f>(1-B9)*10^(-Inputs!$B$5)+B9*10^(-Inputs!$B$8)</f>
        <v>3.3214538011843706E-7</v>
      </c>
      <c r="F9" s="8">
        <f t="shared" si="0"/>
        <v>6.4786717838758214</v>
      </c>
      <c r="G9" s="6">
        <f>(1-B9)*Inputs!$B$6+B9*Inputs!$B$9</f>
        <v>3238.4519999999998</v>
      </c>
      <c r="H9" s="6">
        <f>(1-B9)*Inputs!$B$7+B9*Inputs!$B$10</f>
        <v>3230.54</v>
      </c>
      <c r="I9" s="8">
        <f t="shared" si="1"/>
        <v>0.99755685741212163</v>
      </c>
      <c r="J9" s="9" t="str">
        <f>IF(F9&lt;Inputs!$B$15,"YES","")</f>
        <v>YES</v>
      </c>
      <c r="K9" s="9" t="str">
        <f>IF(G9&lt;Inputs!$B$16,"YES","")</f>
        <v/>
      </c>
      <c r="L9" s="9" t="str">
        <f>IF(H9&gt;Inputs!$B$17,"YES","")</f>
        <v>YES</v>
      </c>
      <c r="M9" s="9" t="str">
        <f>IF(I9&gt;Inputs!$B$18,"YES","")</f>
        <v>YES</v>
      </c>
      <c r="N9" s="9" t="str">
        <f t="shared" si="2"/>
        <v>YES</v>
      </c>
      <c r="O9" s="8">
        <f>Inputs!$B$15</f>
        <v>7</v>
      </c>
      <c r="P9" s="6">
        <f>Inputs!$B$16</f>
        <v>3200</v>
      </c>
      <c r="Q9" s="6">
        <f>Inputs!$B$17</f>
        <v>2000</v>
      </c>
      <c r="R9" s="8">
        <f>Inputs!$B$18</f>
        <v>0.4</v>
      </c>
      <c r="S9" s="9" t="str">
        <f t="shared" si="3"/>
        <v>혼합만으로도 경보 가능</v>
      </c>
    </row>
    <row r="10" spans="1:19" x14ac:dyDescent="0.3">
      <c r="A10" s="6">
        <v>8</v>
      </c>
      <c r="B10" s="7">
        <f>A10/Inputs!$B$4</f>
        <v>8.0000000000000002E-3</v>
      </c>
      <c r="C10" s="8">
        <f>Inputs!$B$11*A10/Inputs!$B$4/1000</f>
        <v>1.3759999999999999</v>
      </c>
      <c r="D10" s="8">
        <f>IF(A10=0,"N/A",Inputs!$B$4/A10)</f>
        <v>125</v>
      </c>
      <c r="E10" s="10">
        <f>(1-B10)*10^(-Inputs!$B$5)+B10*10^(-Inputs!$B$8)</f>
        <v>4.3231958129068811E-7</v>
      </c>
      <c r="F10" s="8">
        <f t="shared" si="0"/>
        <v>6.3641950932798981</v>
      </c>
      <c r="G10" s="6">
        <f>(1-B10)*Inputs!$B$6+B10*Inputs!$B$9</f>
        <v>3231.9360000000001</v>
      </c>
      <c r="H10" s="6">
        <f>(1-B10)*Inputs!$B$7+B10*Inputs!$B$10</f>
        <v>3870.7200000000003</v>
      </c>
      <c r="I10" s="8">
        <f t="shared" si="1"/>
        <v>1.1976474781678845</v>
      </c>
      <c r="J10" s="9" t="str">
        <f>IF(F10&lt;Inputs!$B$15,"YES","")</f>
        <v>YES</v>
      </c>
      <c r="K10" s="9" t="str">
        <f>IF(G10&lt;Inputs!$B$16,"YES","")</f>
        <v/>
      </c>
      <c r="L10" s="9" t="str">
        <f>IF(H10&gt;Inputs!$B$17,"YES","")</f>
        <v>YES</v>
      </c>
      <c r="M10" s="9" t="str">
        <f>IF(I10&gt;Inputs!$B$18,"YES","")</f>
        <v>YES</v>
      </c>
      <c r="N10" s="9" t="str">
        <f t="shared" si="2"/>
        <v>YES</v>
      </c>
      <c r="O10" s="8">
        <f>Inputs!$B$15</f>
        <v>7</v>
      </c>
      <c r="P10" s="6">
        <f>Inputs!$B$16</f>
        <v>3200</v>
      </c>
      <c r="Q10" s="6">
        <f>Inputs!$B$17</f>
        <v>2000</v>
      </c>
      <c r="R10" s="8">
        <f>Inputs!$B$18</f>
        <v>0.4</v>
      </c>
      <c r="S10" s="9" t="str">
        <f t="shared" si="3"/>
        <v>혼합만으로도 경보 가능</v>
      </c>
    </row>
    <row r="11" spans="1:19" x14ac:dyDescent="0.3">
      <c r="A11" s="6">
        <v>10</v>
      </c>
      <c r="B11" s="7">
        <f>A11/Inputs!$B$4</f>
        <v>0.01</v>
      </c>
      <c r="C11" s="8">
        <f>Inputs!$B$11*A11/Inputs!$B$4/1000</f>
        <v>1.72</v>
      </c>
      <c r="D11" s="8">
        <f>IF(A11=0,"N/A",Inputs!$B$4/A11)</f>
        <v>100</v>
      </c>
      <c r="E11" s="10">
        <f>(1-B11)*10^(-Inputs!$B$5)+B11*10^(-Inputs!$B$8)</f>
        <v>5.3249378246293927E-7</v>
      </c>
      <c r="F11" s="8">
        <f t="shared" si="0"/>
        <v>6.2736854587958932</v>
      </c>
      <c r="G11" s="6">
        <f>(1-B11)*Inputs!$B$6+B11*Inputs!$B$9</f>
        <v>3225.42</v>
      </c>
      <c r="H11" s="6">
        <f>(1-B11)*Inputs!$B$7+B11*Inputs!$B$10</f>
        <v>4510.8999999999996</v>
      </c>
      <c r="I11" s="8">
        <f t="shared" si="1"/>
        <v>1.3985465458761959</v>
      </c>
      <c r="J11" s="9" t="str">
        <f>IF(F11&lt;Inputs!$B$15,"YES","")</f>
        <v>YES</v>
      </c>
      <c r="K11" s="9" t="str">
        <f>IF(G11&lt;Inputs!$B$16,"YES","")</f>
        <v/>
      </c>
      <c r="L11" s="9" t="str">
        <f>IF(H11&gt;Inputs!$B$17,"YES","")</f>
        <v>YES</v>
      </c>
      <c r="M11" s="9" t="str">
        <f>IF(I11&gt;Inputs!$B$18,"YES","")</f>
        <v>YES</v>
      </c>
      <c r="N11" s="9" t="str">
        <f t="shared" si="2"/>
        <v>YES</v>
      </c>
      <c r="O11" s="8">
        <f>Inputs!$B$15</f>
        <v>7</v>
      </c>
      <c r="P11" s="6">
        <f>Inputs!$B$16</f>
        <v>3200</v>
      </c>
      <c r="Q11" s="6">
        <f>Inputs!$B$17</f>
        <v>2000</v>
      </c>
      <c r="R11" s="8">
        <f>Inputs!$B$18</f>
        <v>0.4</v>
      </c>
      <c r="S11" s="9" t="str">
        <f t="shared" si="3"/>
        <v>혼합만으로도 경보 가능</v>
      </c>
    </row>
    <row r="12" spans="1:19" x14ac:dyDescent="0.3">
      <c r="A12" s="6">
        <v>12</v>
      </c>
      <c r="B12" s="7">
        <f>A12/Inputs!$B$4</f>
        <v>1.2E-2</v>
      </c>
      <c r="C12" s="8">
        <f>Inputs!$B$11*A12/Inputs!$B$4/1000</f>
        <v>2.0640000000000001</v>
      </c>
      <c r="D12" s="8">
        <f>IF(A12=0,"N/A",Inputs!$B$4/A12)</f>
        <v>83.333333333333329</v>
      </c>
      <c r="E12" s="10">
        <f>(1-B12)*10^(-Inputs!$B$5)+B12*10^(-Inputs!$B$8)</f>
        <v>6.3266798363519043E-7</v>
      </c>
      <c r="F12" s="8">
        <f t="shared" si="0"/>
        <v>6.1988241425953525</v>
      </c>
      <c r="G12" s="6">
        <f>(1-B12)*Inputs!$B$6+B12*Inputs!$B$9</f>
        <v>3218.904</v>
      </c>
      <c r="H12" s="6">
        <f>(1-B12)*Inputs!$B$7+B12*Inputs!$B$10</f>
        <v>5151.08</v>
      </c>
      <c r="I12" s="8">
        <f t="shared" si="1"/>
        <v>1.6002589701339338</v>
      </c>
      <c r="J12" s="9" t="str">
        <f>IF(F12&lt;Inputs!$B$15,"YES","")</f>
        <v>YES</v>
      </c>
      <c r="K12" s="9" t="str">
        <f>IF(G12&lt;Inputs!$B$16,"YES","")</f>
        <v/>
      </c>
      <c r="L12" s="9" t="str">
        <f>IF(H12&gt;Inputs!$B$17,"YES","")</f>
        <v>YES</v>
      </c>
      <c r="M12" s="9" t="str">
        <f>IF(I12&gt;Inputs!$B$18,"YES","")</f>
        <v>YES</v>
      </c>
      <c r="N12" s="9" t="str">
        <f t="shared" si="2"/>
        <v>YES</v>
      </c>
      <c r="O12" s="8">
        <f>Inputs!$B$15</f>
        <v>7</v>
      </c>
      <c r="P12" s="6">
        <f>Inputs!$B$16</f>
        <v>3200</v>
      </c>
      <c r="Q12" s="6">
        <f>Inputs!$B$17</f>
        <v>2000</v>
      </c>
      <c r="R12" s="8">
        <f>Inputs!$B$18</f>
        <v>0.4</v>
      </c>
      <c r="S12" s="9" t="str">
        <f t="shared" si="3"/>
        <v>혼합만으로도 경보 가능</v>
      </c>
    </row>
    <row r="13" spans="1:19" x14ac:dyDescent="0.3">
      <c r="A13" s="6">
        <v>14</v>
      </c>
      <c r="B13" s="7">
        <f>A13/Inputs!$B$4</f>
        <v>1.4E-2</v>
      </c>
      <c r="C13" s="8">
        <f>Inputs!$B$11*A13/Inputs!$B$4/1000</f>
        <v>2.4079999999999999</v>
      </c>
      <c r="D13" s="8">
        <f>IF(A13=0,"N/A",Inputs!$B$4/A13)</f>
        <v>71.428571428571431</v>
      </c>
      <c r="E13" s="10">
        <f>(1-B13)*10^(-Inputs!$B$5)+B13*10^(-Inputs!$B$8)</f>
        <v>7.3284218480744149E-7</v>
      </c>
      <c r="F13" s="8">
        <f t="shared" si="0"/>
        <v>6.1349895392013085</v>
      </c>
      <c r="G13" s="6">
        <f>(1-B13)*Inputs!$B$6+B13*Inputs!$B$9</f>
        <v>3212.3879999999999</v>
      </c>
      <c r="H13" s="6">
        <f>(1-B13)*Inputs!$B$7+B13*Inputs!$B$10</f>
        <v>5791.26</v>
      </c>
      <c r="I13" s="8">
        <f t="shared" si="1"/>
        <v>1.8027897003724334</v>
      </c>
      <c r="J13" s="9" t="str">
        <f>IF(F13&lt;Inputs!$B$15,"YES","")</f>
        <v>YES</v>
      </c>
      <c r="K13" s="9" t="str">
        <f>IF(G13&lt;Inputs!$B$16,"YES","")</f>
        <v/>
      </c>
      <c r="L13" s="9" t="str">
        <f>IF(H13&gt;Inputs!$B$17,"YES","")</f>
        <v>YES</v>
      </c>
      <c r="M13" s="9" t="str">
        <f>IF(I13&gt;Inputs!$B$18,"YES","")</f>
        <v>YES</v>
      </c>
      <c r="N13" s="9" t="str">
        <f t="shared" si="2"/>
        <v>YES</v>
      </c>
      <c r="O13" s="8">
        <f>Inputs!$B$15</f>
        <v>7</v>
      </c>
      <c r="P13" s="6">
        <f>Inputs!$B$16</f>
        <v>3200</v>
      </c>
      <c r="Q13" s="6">
        <f>Inputs!$B$17</f>
        <v>2000</v>
      </c>
      <c r="R13" s="8">
        <f>Inputs!$B$18</f>
        <v>0.4</v>
      </c>
      <c r="S13" s="9" t="str">
        <f t="shared" si="3"/>
        <v>혼합만으로도 경보 가능</v>
      </c>
    </row>
    <row r="14" spans="1:19" x14ac:dyDescent="0.3">
      <c r="A14" s="6">
        <v>16</v>
      </c>
      <c r="B14" s="7">
        <f>A14/Inputs!$B$4</f>
        <v>1.6E-2</v>
      </c>
      <c r="C14" s="8">
        <f>Inputs!$B$11*A14/Inputs!$B$4/1000</f>
        <v>2.7519999999999998</v>
      </c>
      <c r="D14" s="8">
        <f>IF(A14=0,"N/A",Inputs!$B$4/A14)</f>
        <v>62.5</v>
      </c>
      <c r="E14" s="10">
        <f>(1-B14)*10^(-Inputs!$B$5)+B14*10^(-Inputs!$B$8)</f>
        <v>8.3301638597969254E-7</v>
      </c>
      <c r="F14" s="8">
        <f t="shared" si="0"/>
        <v>6.0793464556513532</v>
      </c>
      <c r="G14" s="6">
        <f>(1-B14)*Inputs!$B$6+B14*Inputs!$B$9</f>
        <v>3205.8719999999998</v>
      </c>
      <c r="H14" s="6">
        <f>(1-B14)*Inputs!$B$7+B14*Inputs!$B$10</f>
        <v>6431.4400000000005</v>
      </c>
      <c r="I14" s="8">
        <f t="shared" si="1"/>
        <v>2.0061437262623087</v>
      </c>
      <c r="J14" s="9" t="str">
        <f>IF(F14&lt;Inputs!$B$15,"YES","")</f>
        <v>YES</v>
      </c>
      <c r="K14" s="9" t="str">
        <f>IF(G14&lt;Inputs!$B$16,"YES","")</f>
        <v/>
      </c>
      <c r="L14" s="9" t="str">
        <f>IF(H14&gt;Inputs!$B$17,"YES","")</f>
        <v>YES</v>
      </c>
      <c r="M14" s="9" t="str">
        <f>IF(I14&gt;Inputs!$B$18,"YES","")</f>
        <v>YES</v>
      </c>
      <c r="N14" s="9" t="str">
        <f t="shared" si="2"/>
        <v>YES</v>
      </c>
      <c r="O14" s="8">
        <f>Inputs!$B$15</f>
        <v>7</v>
      </c>
      <c r="P14" s="6">
        <f>Inputs!$B$16</f>
        <v>3200</v>
      </c>
      <c r="Q14" s="6">
        <f>Inputs!$B$17</f>
        <v>2000</v>
      </c>
      <c r="R14" s="8">
        <f>Inputs!$B$18</f>
        <v>0.4</v>
      </c>
      <c r="S14" s="9" t="str">
        <f t="shared" si="3"/>
        <v>혼합만으로도 경보 가능</v>
      </c>
    </row>
    <row r="15" spans="1:19" x14ac:dyDescent="0.3">
      <c r="A15" s="6">
        <v>18</v>
      </c>
      <c r="B15" s="7">
        <f>A15/Inputs!$B$4</f>
        <v>1.7999999999999999E-2</v>
      </c>
      <c r="C15" s="8">
        <f>Inputs!$B$11*A15/Inputs!$B$4/1000</f>
        <v>3.0960000000000001</v>
      </c>
      <c r="D15" s="8">
        <f>IF(A15=0,"N/A",Inputs!$B$4/A15)</f>
        <v>55.555555555555557</v>
      </c>
      <c r="E15" s="10">
        <f>(1-B15)*10^(-Inputs!$B$5)+B15*10^(-Inputs!$B$8)</f>
        <v>9.3319058715194359E-7</v>
      </c>
      <c r="F15" s="8">
        <f t="shared" si="0"/>
        <v>6.0300296504704267</v>
      </c>
      <c r="G15" s="6">
        <f>(1-B15)*Inputs!$B$6+B15*Inputs!$B$9</f>
        <v>3199.3559999999998</v>
      </c>
      <c r="H15" s="6">
        <f>(1-B15)*Inputs!$B$7+B15*Inputs!$B$10</f>
        <v>7071.62</v>
      </c>
      <c r="I15" s="8">
        <f t="shared" si="1"/>
        <v>2.2103260781232223</v>
      </c>
      <c r="J15" s="9" t="str">
        <f>IF(F15&lt;Inputs!$B$15,"YES","")</f>
        <v>YES</v>
      </c>
      <c r="K15" s="9" t="str">
        <f>IF(G15&lt;Inputs!$B$16,"YES","")</f>
        <v>YES</v>
      </c>
      <c r="L15" s="9" t="str">
        <f>IF(H15&gt;Inputs!$B$17,"YES","")</f>
        <v>YES</v>
      </c>
      <c r="M15" s="9" t="str">
        <f>IF(I15&gt;Inputs!$B$18,"YES","")</f>
        <v>YES</v>
      </c>
      <c r="N15" s="9" t="str">
        <f t="shared" si="2"/>
        <v>YES</v>
      </c>
      <c r="O15" s="8">
        <f>Inputs!$B$15</f>
        <v>7</v>
      </c>
      <c r="P15" s="6">
        <f>Inputs!$B$16</f>
        <v>3200</v>
      </c>
      <c r="Q15" s="6">
        <f>Inputs!$B$17</f>
        <v>2000</v>
      </c>
      <c r="R15" s="8">
        <f>Inputs!$B$18</f>
        <v>0.4</v>
      </c>
      <c r="S15" s="9" t="str">
        <f t="shared" si="3"/>
        <v>혼합만으로도 경보 가능</v>
      </c>
    </row>
    <row r="16" spans="1:19" x14ac:dyDescent="0.3">
      <c r="A16" s="6">
        <v>20</v>
      </c>
      <c r="B16" s="7">
        <f>A16/Inputs!$B$4</f>
        <v>0.02</v>
      </c>
      <c r="C16" s="8">
        <f>Inputs!$B$11*A16/Inputs!$B$4/1000</f>
        <v>3.44</v>
      </c>
      <c r="D16" s="8">
        <f>IF(A16=0,"N/A",Inputs!$B$4/A16)</f>
        <v>50</v>
      </c>
      <c r="E16" s="10">
        <f>(1-B16)*10^(-Inputs!$B$5)+B16*10^(-Inputs!$B$8)</f>
        <v>1.0333647883241948E-6</v>
      </c>
      <c r="F16" s="8">
        <f t="shared" si="0"/>
        <v>5.9857463410263136</v>
      </c>
      <c r="G16" s="6">
        <f>(1-B16)*Inputs!$B$6+B16*Inputs!$B$9</f>
        <v>3192.84</v>
      </c>
      <c r="H16" s="6">
        <f>(1-B16)*Inputs!$B$7+B16*Inputs!$B$10</f>
        <v>7711.8</v>
      </c>
      <c r="I16" s="8">
        <f t="shared" si="1"/>
        <v>2.4153418273386702</v>
      </c>
      <c r="J16" s="9" t="str">
        <f>IF(F16&lt;Inputs!$B$15,"YES","")</f>
        <v>YES</v>
      </c>
      <c r="K16" s="9" t="str">
        <f>IF(G16&lt;Inputs!$B$16,"YES","")</f>
        <v>YES</v>
      </c>
      <c r="L16" s="9" t="str">
        <f>IF(H16&gt;Inputs!$B$17,"YES","")</f>
        <v>YES</v>
      </c>
      <c r="M16" s="9" t="str">
        <f>IF(I16&gt;Inputs!$B$18,"YES","")</f>
        <v>YES</v>
      </c>
      <c r="N16" s="9" t="str">
        <f t="shared" si="2"/>
        <v>YES</v>
      </c>
      <c r="O16" s="8">
        <f>Inputs!$B$15</f>
        <v>7</v>
      </c>
      <c r="P16" s="6">
        <f>Inputs!$B$16</f>
        <v>3200</v>
      </c>
      <c r="Q16" s="6">
        <f>Inputs!$B$17</f>
        <v>2000</v>
      </c>
      <c r="R16" s="8">
        <f>Inputs!$B$18</f>
        <v>0.4</v>
      </c>
      <c r="S16" s="9" t="str">
        <f t="shared" si="3"/>
        <v>혼합만으로도 경보 가능</v>
      </c>
    </row>
    <row r="17" spans="1:19" x14ac:dyDescent="0.3">
      <c r="A17" s="6">
        <v>22</v>
      </c>
      <c r="B17" s="7">
        <f>A17/Inputs!$B$4</f>
        <v>2.1999999999999999E-2</v>
      </c>
      <c r="C17" s="8">
        <f>Inputs!$B$11*A17/Inputs!$B$4/1000</f>
        <v>3.7839999999999998</v>
      </c>
      <c r="D17" s="8">
        <f>IF(A17=0,"N/A",Inputs!$B$4/A17)</f>
        <v>45.454545454545453</v>
      </c>
      <c r="E17" s="10">
        <f>(1-B17)*10^(-Inputs!$B$5)+B17*10^(-Inputs!$B$8)</f>
        <v>1.1335389894964457E-6</v>
      </c>
      <c r="F17" s="8">
        <f t="shared" si="0"/>
        <v>5.9455635371766871</v>
      </c>
      <c r="G17" s="6">
        <f>(1-B17)*Inputs!$B$6+B17*Inputs!$B$9</f>
        <v>3186.3240000000001</v>
      </c>
      <c r="H17" s="6">
        <f>(1-B17)*Inputs!$B$7+B17*Inputs!$B$10</f>
        <v>8351.98</v>
      </c>
      <c r="I17" s="8">
        <f t="shared" si="1"/>
        <v>2.6211960867758579</v>
      </c>
      <c r="J17" s="9" t="str">
        <f>IF(F17&lt;Inputs!$B$15,"YES","")</f>
        <v>YES</v>
      </c>
      <c r="K17" s="9" t="str">
        <f>IF(G17&lt;Inputs!$B$16,"YES","")</f>
        <v>YES</v>
      </c>
      <c r="L17" s="9" t="str">
        <f>IF(H17&gt;Inputs!$B$17,"YES","")</f>
        <v>YES</v>
      </c>
      <c r="M17" s="9" t="str">
        <f>IF(I17&gt;Inputs!$B$18,"YES","")</f>
        <v>YES</v>
      </c>
      <c r="N17" s="9" t="str">
        <f t="shared" si="2"/>
        <v>YES</v>
      </c>
      <c r="O17" s="8">
        <f>Inputs!$B$15</f>
        <v>7</v>
      </c>
      <c r="P17" s="6">
        <f>Inputs!$B$16</f>
        <v>3200</v>
      </c>
      <c r="Q17" s="6">
        <f>Inputs!$B$17</f>
        <v>2000</v>
      </c>
      <c r="R17" s="8">
        <f>Inputs!$B$18</f>
        <v>0.4</v>
      </c>
      <c r="S17" s="9" t="str">
        <f t="shared" si="3"/>
        <v>혼합만으로도 경보 가능</v>
      </c>
    </row>
    <row r="18" spans="1:19" x14ac:dyDescent="0.3">
      <c r="A18" s="6">
        <v>24</v>
      </c>
      <c r="B18" s="7">
        <f>A18/Inputs!$B$4</f>
        <v>2.4E-2</v>
      </c>
      <c r="C18" s="8">
        <f>Inputs!$B$11*A18/Inputs!$B$4/1000</f>
        <v>4.1280000000000001</v>
      </c>
      <c r="D18" s="8">
        <f>IF(A18=0,"N/A",Inputs!$B$4/A18)</f>
        <v>41.666666666666664</v>
      </c>
      <c r="E18" s="10">
        <f>(1-B18)*10^(-Inputs!$B$5)+B18*10^(-Inputs!$B$8)</f>
        <v>1.2337131906686971E-6</v>
      </c>
      <c r="F18" s="8">
        <f t="shared" si="0"/>
        <v>5.9087857918322948</v>
      </c>
      <c r="G18" s="6">
        <f>(1-B18)*Inputs!$B$6+B18*Inputs!$B$9</f>
        <v>3179.808</v>
      </c>
      <c r="H18" s="6">
        <f>(1-B18)*Inputs!$B$7+B18*Inputs!$B$10</f>
        <v>8992.16</v>
      </c>
      <c r="I18" s="8">
        <f t="shared" si="1"/>
        <v>2.8278940112107396</v>
      </c>
      <c r="J18" s="9" t="str">
        <f>IF(F18&lt;Inputs!$B$15,"YES","")</f>
        <v>YES</v>
      </c>
      <c r="K18" s="9" t="str">
        <f>IF(G18&lt;Inputs!$B$16,"YES","")</f>
        <v>YES</v>
      </c>
      <c r="L18" s="9" t="str">
        <f>IF(H18&gt;Inputs!$B$17,"YES","")</f>
        <v>YES</v>
      </c>
      <c r="M18" s="9" t="str">
        <f>IF(I18&gt;Inputs!$B$18,"YES","")</f>
        <v>YES</v>
      </c>
      <c r="N18" s="9" t="str">
        <f t="shared" si="2"/>
        <v>YES</v>
      </c>
      <c r="O18" s="8">
        <f>Inputs!$B$15</f>
        <v>7</v>
      </c>
      <c r="P18" s="6">
        <f>Inputs!$B$16</f>
        <v>3200</v>
      </c>
      <c r="Q18" s="6">
        <f>Inputs!$B$17</f>
        <v>2000</v>
      </c>
      <c r="R18" s="8">
        <f>Inputs!$B$18</f>
        <v>0.4</v>
      </c>
      <c r="S18" s="9" t="str">
        <f t="shared" si="3"/>
        <v>혼합만으로도 경보 가능</v>
      </c>
    </row>
    <row r="19" spans="1:19" x14ac:dyDescent="0.3">
      <c r="A19" s="6">
        <v>26</v>
      </c>
      <c r="B19" s="7">
        <f>A19/Inputs!$B$4</f>
        <v>2.5999999999999999E-2</v>
      </c>
      <c r="C19" s="8">
        <f>Inputs!$B$11*A19/Inputs!$B$4/1000</f>
        <v>4.4720000000000004</v>
      </c>
      <c r="D19" s="8">
        <f>IF(A19=0,"N/A",Inputs!$B$4/A19)</f>
        <v>38.46153846153846</v>
      </c>
      <c r="E19" s="10">
        <f>(1-B19)*10^(-Inputs!$B$5)+B19*10^(-Inputs!$B$8)</f>
        <v>1.333887391840948E-6</v>
      </c>
      <c r="F19" s="8">
        <f t="shared" si="0"/>
        <v>5.8748808324632069</v>
      </c>
      <c r="G19" s="6">
        <f>(1-B19)*Inputs!$B$6+B19*Inputs!$B$9</f>
        <v>3173.2919999999999</v>
      </c>
      <c r="H19" s="6">
        <f>(1-B19)*Inputs!$B$7+B19*Inputs!$B$10</f>
        <v>9632.34</v>
      </c>
      <c r="I19" s="8">
        <f t="shared" si="1"/>
        <v>3.0354407977582905</v>
      </c>
      <c r="J19" s="9" t="str">
        <f>IF(F19&lt;Inputs!$B$15,"YES","")</f>
        <v>YES</v>
      </c>
      <c r="K19" s="9" t="str">
        <f>IF(G19&lt;Inputs!$B$16,"YES","")</f>
        <v>YES</v>
      </c>
      <c r="L19" s="9" t="str">
        <f>IF(H19&gt;Inputs!$B$17,"YES","")</f>
        <v>YES</v>
      </c>
      <c r="M19" s="9" t="str">
        <f>IF(I19&gt;Inputs!$B$18,"YES","")</f>
        <v>YES</v>
      </c>
      <c r="N19" s="9" t="str">
        <f t="shared" si="2"/>
        <v>YES</v>
      </c>
      <c r="O19" s="8">
        <f>Inputs!$B$15</f>
        <v>7</v>
      </c>
      <c r="P19" s="6">
        <f>Inputs!$B$16</f>
        <v>3200</v>
      </c>
      <c r="Q19" s="6">
        <f>Inputs!$B$17</f>
        <v>2000</v>
      </c>
      <c r="R19" s="8">
        <f>Inputs!$B$18</f>
        <v>0.4</v>
      </c>
      <c r="S19" s="9" t="str">
        <f t="shared" si="3"/>
        <v>혼합만으로도 경보 가능</v>
      </c>
    </row>
    <row r="20" spans="1:19" x14ac:dyDescent="0.3">
      <c r="A20" s="6">
        <v>28</v>
      </c>
      <c r="B20" s="7">
        <f>A20/Inputs!$B$4</f>
        <v>2.8000000000000001E-2</v>
      </c>
      <c r="C20" s="8">
        <f>Inputs!$B$11*A20/Inputs!$B$4/1000</f>
        <v>4.8159999999999998</v>
      </c>
      <c r="D20" s="8">
        <f>IF(A20=0,"N/A",Inputs!$B$4/A20)</f>
        <v>35.714285714285715</v>
      </c>
      <c r="E20" s="10">
        <f>(1-B20)*10^(-Inputs!$B$5)+B20*10^(-Inputs!$B$8)</f>
        <v>1.4340615930131994E-6</v>
      </c>
      <c r="F20" s="8">
        <f t="shared" si="0"/>
        <v>5.8434321952991102</v>
      </c>
      <c r="G20" s="6">
        <f>(1-B20)*Inputs!$B$6+B20*Inputs!$B$9</f>
        <v>3166.7759999999998</v>
      </c>
      <c r="H20" s="6">
        <f>(1-B20)*Inputs!$B$7+B20*Inputs!$B$10</f>
        <v>10272.52</v>
      </c>
      <c r="I20" s="8">
        <f t="shared" si="1"/>
        <v>3.2438416863080941</v>
      </c>
      <c r="J20" s="9" t="str">
        <f>IF(F20&lt;Inputs!$B$15,"YES","")</f>
        <v>YES</v>
      </c>
      <c r="K20" s="9" t="str">
        <f>IF(G20&lt;Inputs!$B$16,"YES","")</f>
        <v>YES</v>
      </c>
      <c r="L20" s="9" t="str">
        <f>IF(H20&gt;Inputs!$B$17,"YES","")</f>
        <v>YES</v>
      </c>
      <c r="M20" s="9" t="str">
        <f>IF(I20&gt;Inputs!$B$18,"YES","")</f>
        <v>YES</v>
      </c>
      <c r="N20" s="9" t="str">
        <f t="shared" si="2"/>
        <v>YES</v>
      </c>
      <c r="O20" s="8">
        <f>Inputs!$B$15</f>
        <v>7</v>
      </c>
      <c r="P20" s="6">
        <f>Inputs!$B$16</f>
        <v>3200</v>
      </c>
      <c r="Q20" s="6">
        <f>Inputs!$B$17</f>
        <v>2000</v>
      </c>
      <c r="R20" s="8">
        <f>Inputs!$B$18</f>
        <v>0.4</v>
      </c>
      <c r="S20" s="9" t="str">
        <f t="shared" si="3"/>
        <v>혼합만으로도 경보 가능</v>
      </c>
    </row>
    <row r="21" spans="1:19" x14ac:dyDescent="0.3">
      <c r="A21" s="6">
        <v>30</v>
      </c>
      <c r="B21" s="7">
        <f>A21/Inputs!$B$4</f>
        <v>0.03</v>
      </c>
      <c r="C21" s="8">
        <f>Inputs!$B$11*A21/Inputs!$B$4/1000</f>
        <v>5.16</v>
      </c>
      <c r="D21" s="8">
        <f>IF(A21=0,"N/A",Inputs!$B$4/A21)</f>
        <v>33.333333333333336</v>
      </c>
      <c r="E21" s="10">
        <f>(1-B21)*10^(-Inputs!$B$5)+B21*10^(-Inputs!$B$8)</f>
        <v>1.5342357941854503E-6</v>
      </c>
      <c r="F21" s="8">
        <f t="shared" si="0"/>
        <v>5.8141078892501135</v>
      </c>
      <c r="G21" s="6">
        <f>(1-B21)*Inputs!$B$6+B21*Inputs!$B$9</f>
        <v>3160.2599999999998</v>
      </c>
      <c r="H21" s="6">
        <f>(1-B21)*Inputs!$B$7+B21*Inputs!$B$10</f>
        <v>10912.7</v>
      </c>
      <c r="I21" s="8">
        <f t="shared" si="1"/>
        <v>3.4531019599653199</v>
      </c>
      <c r="J21" s="9" t="str">
        <f>IF(F21&lt;Inputs!$B$15,"YES","")</f>
        <v>YES</v>
      </c>
      <c r="K21" s="9" t="str">
        <f>IF(G21&lt;Inputs!$B$16,"YES","")</f>
        <v>YES</v>
      </c>
      <c r="L21" s="9" t="str">
        <f>IF(H21&gt;Inputs!$B$17,"YES","")</f>
        <v>YES</v>
      </c>
      <c r="M21" s="9" t="str">
        <f>IF(I21&gt;Inputs!$B$18,"YES","")</f>
        <v>YES</v>
      </c>
      <c r="N21" s="9" t="str">
        <f t="shared" si="2"/>
        <v>YES</v>
      </c>
      <c r="O21" s="8">
        <f>Inputs!$B$15</f>
        <v>7</v>
      </c>
      <c r="P21" s="6">
        <f>Inputs!$B$16</f>
        <v>3200</v>
      </c>
      <c r="Q21" s="6">
        <f>Inputs!$B$17</f>
        <v>2000</v>
      </c>
      <c r="R21" s="8">
        <f>Inputs!$B$18</f>
        <v>0.4</v>
      </c>
      <c r="S21" s="9" t="str">
        <f t="shared" si="3"/>
        <v>혼합만으로도 경보 가능</v>
      </c>
    </row>
    <row r="22" spans="1:19" x14ac:dyDescent="0.3">
      <c r="A22" s="6">
        <v>32</v>
      </c>
      <c r="B22" s="7">
        <f>A22/Inputs!$B$4</f>
        <v>3.2000000000000001E-2</v>
      </c>
      <c r="C22" s="8">
        <f>Inputs!$B$11*A22/Inputs!$B$4/1000</f>
        <v>5.5039999999999996</v>
      </c>
      <c r="D22" s="8">
        <f>IF(A22=0,"N/A",Inputs!$B$4/A22)</f>
        <v>31.25</v>
      </c>
      <c r="E22" s="10">
        <f>(1-B22)*10^(-Inputs!$B$5)+B22*10^(-Inputs!$B$8)</f>
        <v>1.6344099953577013E-6</v>
      </c>
      <c r="F22" s="8">
        <f t="shared" si="0"/>
        <v>5.7866389904068001</v>
      </c>
      <c r="G22" s="6">
        <f>(1-B22)*Inputs!$B$6+B22*Inputs!$B$9</f>
        <v>3153.7439999999997</v>
      </c>
      <c r="H22" s="6">
        <f>(1-B22)*Inputs!$B$7+B22*Inputs!$B$10</f>
        <v>11552.880000000001</v>
      </c>
      <c r="I22" s="8">
        <f t="shared" si="1"/>
        <v>3.6632269454971622</v>
      </c>
      <c r="J22" s="9" t="str">
        <f>IF(F22&lt;Inputs!$B$15,"YES","")</f>
        <v>YES</v>
      </c>
      <c r="K22" s="9" t="str">
        <f>IF(G22&lt;Inputs!$B$16,"YES","")</f>
        <v>YES</v>
      </c>
      <c r="L22" s="9" t="str">
        <f>IF(H22&gt;Inputs!$B$17,"YES","")</f>
        <v>YES</v>
      </c>
      <c r="M22" s="9" t="str">
        <f>IF(I22&gt;Inputs!$B$18,"YES","")</f>
        <v>YES</v>
      </c>
      <c r="N22" s="9" t="str">
        <f t="shared" si="2"/>
        <v>YES</v>
      </c>
      <c r="O22" s="8">
        <f>Inputs!$B$15</f>
        <v>7</v>
      </c>
      <c r="P22" s="6">
        <f>Inputs!$B$16</f>
        <v>3200</v>
      </c>
      <c r="Q22" s="6">
        <f>Inputs!$B$17</f>
        <v>2000</v>
      </c>
      <c r="R22" s="8">
        <f>Inputs!$B$18</f>
        <v>0.4</v>
      </c>
      <c r="S22" s="9" t="str">
        <f t="shared" si="3"/>
        <v>혼합만으로도 경보 가능</v>
      </c>
    </row>
    <row r="23" spans="1:19" x14ac:dyDescent="0.3">
      <c r="A23" s="6">
        <v>34</v>
      </c>
      <c r="B23" s="7">
        <f>A23/Inputs!$B$4</f>
        <v>3.4000000000000002E-2</v>
      </c>
      <c r="C23" s="8">
        <f>Inputs!$B$11*A23/Inputs!$B$4/1000</f>
        <v>5.8479999999999999</v>
      </c>
      <c r="D23" s="8">
        <f>IF(A23=0,"N/A",Inputs!$B$4/A23)</f>
        <v>29.411764705882351</v>
      </c>
      <c r="E23" s="10">
        <f>(1-B23)*10^(-Inputs!$B$5)+B23*10^(-Inputs!$B$8)</f>
        <v>1.7345841965299527E-6</v>
      </c>
      <c r="F23" s="8">
        <f t="shared" si="0"/>
        <v>5.760804614702935</v>
      </c>
      <c r="G23" s="6">
        <f>(1-B23)*Inputs!$B$6+B23*Inputs!$B$9</f>
        <v>3147.2280000000001</v>
      </c>
      <c r="H23" s="6">
        <f>(1-B23)*Inputs!$B$7+B23*Inputs!$B$10</f>
        <v>12193.060000000001</v>
      </c>
      <c r="I23" s="8">
        <f t="shared" si="1"/>
        <v>3.8742220137848293</v>
      </c>
      <c r="J23" s="9" t="str">
        <f>IF(F23&lt;Inputs!$B$15,"YES","")</f>
        <v>YES</v>
      </c>
      <c r="K23" s="9" t="str">
        <f>IF(G23&lt;Inputs!$B$16,"YES","")</f>
        <v>YES</v>
      </c>
      <c r="L23" s="9" t="str">
        <f>IF(H23&gt;Inputs!$B$17,"YES","")</f>
        <v>YES</v>
      </c>
      <c r="M23" s="9" t="str">
        <f>IF(I23&gt;Inputs!$B$18,"YES","")</f>
        <v>YES</v>
      </c>
      <c r="N23" s="9" t="str">
        <f t="shared" si="2"/>
        <v>YES</v>
      </c>
      <c r="O23" s="8">
        <f>Inputs!$B$15</f>
        <v>7</v>
      </c>
      <c r="P23" s="6">
        <f>Inputs!$B$16</f>
        <v>3200</v>
      </c>
      <c r="Q23" s="6">
        <f>Inputs!$B$17</f>
        <v>2000</v>
      </c>
      <c r="R23" s="8">
        <f>Inputs!$B$18</f>
        <v>0.4</v>
      </c>
      <c r="S23" s="9" t="str">
        <f t="shared" si="3"/>
        <v>혼합만으로도 경보 가능</v>
      </c>
    </row>
    <row r="24" spans="1:19" x14ac:dyDescent="0.3">
      <c r="A24" s="6">
        <v>36</v>
      </c>
      <c r="B24" s="7">
        <f>A24/Inputs!$B$4</f>
        <v>3.5999999999999997E-2</v>
      </c>
      <c r="C24" s="8">
        <f>Inputs!$B$11*A24/Inputs!$B$4/1000</f>
        <v>6.1920000000000002</v>
      </c>
      <c r="D24" s="8">
        <f>IF(A24=0,"N/A",Inputs!$B$4/A24)</f>
        <v>27.777777777777779</v>
      </c>
      <c r="E24" s="10">
        <f>(1-B24)*10^(-Inputs!$B$5)+B24*10^(-Inputs!$B$8)</f>
        <v>1.8347583977022034E-6</v>
      </c>
      <c r="F24" s="8">
        <f t="shared" si="0"/>
        <v>5.7364211158548599</v>
      </c>
      <c r="G24" s="6">
        <f>(1-B24)*Inputs!$B$6+B24*Inputs!$B$9</f>
        <v>3140.712</v>
      </c>
      <c r="H24" s="6">
        <f>(1-B24)*Inputs!$B$7+B24*Inputs!$B$10</f>
        <v>12833.24</v>
      </c>
      <c r="I24" s="8">
        <f t="shared" si="1"/>
        <v>4.086092580281159</v>
      </c>
      <c r="J24" s="9" t="str">
        <f>IF(F24&lt;Inputs!$B$15,"YES","")</f>
        <v>YES</v>
      </c>
      <c r="K24" s="9" t="str">
        <f>IF(G24&lt;Inputs!$B$16,"YES","")</f>
        <v>YES</v>
      </c>
      <c r="L24" s="9" t="str">
        <f>IF(H24&gt;Inputs!$B$17,"YES","")</f>
        <v>YES</v>
      </c>
      <c r="M24" s="9" t="str">
        <f>IF(I24&gt;Inputs!$B$18,"YES","")</f>
        <v>YES</v>
      </c>
      <c r="N24" s="9" t="str">
        <f t="shared" si="2"/>
        <v>YES</v>
      </c>
      <c r="O24" s="8">
        <f>Inputs!$B$15</f>
        <v>7</v>
      </c>
      <c r="P24" s="6">
        <f>Inputs!$B$16</f>
        <v>3200</v>
      </c>
      <c r="Q24" s="6">
        <f>Inputs!$B$17</f>
        <v>2000</v>
      </c>
      <c r="R24" s="8">
        <f>Inputs!$B$18</f>
        <v>0.4</v>
      </c>
      <c r="S24" s="9" t="str">
        <f t="shared" si="3"/>
        <v>혼합만으로도 경보 가능</v>
      </c>
    </row>
    <row r="25" spans="1:19" x14ac:dyDescent="0.3">
      <c r="A25" s="6">
        <v>38</v>
      </c>
      <c r="B25" s="7">
        <f>A25/Inputs!$B$4</f>
        <v>3.7999999999999999E-2</v>
      </c>
      <c r="C25" s="8">
        <f>Inputs!$B$11*A25/Inputs!$B$4/1000</f>
        <v>6.5359999999999996</v>
      </c>
      <c r="D25" s="8">
        <f>IF(A25=0,"N/A",Inputs!$B$4/A25)</f>
        <v>26.315789473684209</v>
      </c>
      <c r="E25" s="10">
        <f>(1-B25)*10^(-Inputs!$B$5)+B25*10^(-Inputs!$B$8)</f>
        <v>1.934932598874455E-6</v>
      </c>
      <c r="F25" s="8">
        <f t="shared" si="0"/>
        <v>5.7133341585245114</v>
      </c>
      <c r="G25" s="6">
        <f>(1-B25)*Inputs!$B$6+B25*Inputs!$B$9</f>
        <v>3134.1959999999999</v>
      </c>
      <c r="H25" s="6">
        <f>(1-B25)*Inputs!$B$7+B25*Inputs!$B$10</f>
        <v>13473.419999999998</v>
      </c>
      <c r="I25" s="8">
        <f t="shared" si="1"/>
        <v>4.2988441054739397</v>
      </c>
      <c r="J25" s="9" t="str">
        <f>IF(F25&lt;Inputs!$B$15,"YES","")</f>
        <v>YES</v>
      </c>
      <c r="K25" s="9" t="str">
        <f>IF(G25&lt;Inputs!$B$16,"YES","")</f>
        <v>YES</v>
      </c>
      <c r="L25" s="9" t="str">
        <f>IF(H25&gt;Inputs!$B$17,"YES","")</f>
        <v>YES</v>
      </c>
      <c r="M25" s="9" t="str">
        <f>IF(I25&gt;Inputs!$B$18,"YES","")</f>
        <v>YES</v>
      </c>
      <c r="N25" s="9" t="str">
        <f t="shared" si="2"/>
        <v>YES</v>
      </c>
      <c r="O25" s="8">
        <f>Inputs!$B$15</f>
        <v>7</v>
      </c>
      <c r="P25" s="6">
        <f>Inputs!$B$16</f>
        <v>3200</v>
      </c>
      <c r="Q25" s="6">
        <f>Inputs!$B$17</f>
        <v>2000</v>
      </c>
      <c r="R25" s="8">
        <f>Inputs!$B$18</f>
        <v>0.4</v>
      </c>
      <c r="S25" s="9" t="str">
        <f t="shared" si="3"/>
        <v>혼합만으로도 경보 가능</v>
      </c>
    </row>
    <row r="26" spans="1:19" x14ac:dyDescent="0.3">
      <c r="A26" s="6">
        <v>40</v>
      </c>
      <c r="B26" s="7">
        <f>A26/Inputs!$B$4</f>
        <v>0.04</v>
      </c>
      <c r="C26" s="8">
        <f>Inputs!$B$11*A26/Inputs!$B$4/1000</f>
        <v>6.88</v>
      </c>
      <c r="D26" s="8">
        <f>IF(A26=0,"N/A",Inputs!$B$4/A26)</f>
        <v>25</v>
      </c>
      <c r="E26" s="10">
        <f>(1-B26)*10^(-Inputs!$B$5)+B26*10^(-Inputs!$B$8)</f>
        <v>2.0351068000467057E-6</v>
      </c>
      <c r="F26" s="8">
        <f t="shared" si="0"/>
        <v>5.6914127945695352</v>
      </c>
      <c r="G26" s="6">
        <f>(1-B26)*Inputs!$B$6+B26*Inputs!$B$9</f>
        <v>3127.68</v>
      </c>
      <c r="H26" s="6">
        <f>(1-B26)*Inputs!$B$7+B26*Inputs!$B$10</f>
        <v>14113.6</v>
      </c>
      <c r="I26" s="8">
        <f t="shared" si="1"/>
        <v>4.5124820953550238</v>
      </c>
      <c r="J26" s="9" t="str">
        <f>IF(F26&lt;Inputs!$B$15,"YES","")</f>
        <v>YES</v>
      </c>
      <c r="K26" s="9" t="str">
        <f>IF(G26&lt;Inputs!$B$16,"YES","")</f>
        <v>YES</v>
      </c>
      <c r="L26" s="9" t="str">
        <f>IF(H26&gt;Inputs!$B$17,"YES","")</f>
        <v>YES</v>
      </c>
      <c r="M26" s="9" t="str">
        <f>IF(I26&gt;Inputs!$B$18,"YES","")</f>
        <v>YES</v>
      </c>
      <c r="N26" s="9" t="str">
        <f t="shared" si="2"/>
        <v>YES</v>
      </c>
      <c r="O26" s="8">
        <f>Inputs!$B$15</f>
        <v>7</v>
      </c>
      <c r="P26" s="6">
        <f>Inputs!$B$16</f>
        <v>3200</v>
      </c>
      <c r="Q26" s="6">
        <f>Inputs!$B$17</f>
        <v>2000</v>
      </c>
      <c r="R26" s="8">
        <f>Inputs!$B$18</f>
        <v>0.4</v>
      </c>
      <c r="S26" s="9" t="str">
        <f t="shared" si="3"/>
        <v>혼합만으로도 경보 가능</v>
      </c>
    </row>
    <row r="27" spans="1:19" x14ac:dyDescent="0.3">
      <c r="A27" s="6">
        <v>42</v>
      </c>
      <c r="B27" s="7">
        <f>A27/Inputs!$B$4</f>
        <v>4.2000000000000003E-2</v>
      </c>
      <c r="C27" s="8">
        <f>Inputs!$B$11*A27/Inputs!$B$4/1000</f>
        <v>7.2240000000000002</v>
      </c>
      <c r="D27" s="8">
        <f>IF(A27=0,"N/A",Inputs!$B$4/A27)</f>
        <v>23.80952380952381</v>
      </c>
      <c r="E27" s="10">
        <f>(1-B27)*10^(-Inputs!$B$5)+B27*10^(-Inputs!$B$8)</f>
        <v>2.1352810012189569E-6</v>
      </c>
      <c r="F27" s="8">
        <f t="shared" si="0"/>
        <v>5.6705449640823078</v>
      </c>
      <c r="G27" s="6">
        <f>(1-B27)*Inputs!$B$6+B27*Inputs!$B$9</f>
        <v>3121.1639999999998</v>
      </c>
      <c r="H27" s="6">
        <f>(1-B27)*Inputs!$B$7+B27*Inputs!$B$10</f>
        <v>14753.78</v>
      </c>
      <c r="I27" s="8">
        <f t="shared" si="1"/>
        <v>4.7270121018953191</v>
      </c>
      <c r="J27" s="9" t="str">
        <f>IF(F27&lt;Inputs!$B$15,"YES","")</f>
        <v>YES</v>
      </c>
      <c r="K27" s="9" t="str">
        <f>IF(G27&lt;Inputs!$B$16,"YES","")</f>
        <v>YES</v>
      </c>
      <c r="L27" s="9" t="str">
        <f>IF(H27&gt;Inputs!$B$17,"YES","")</f>
        <v>YES</v>
      </c>
      <c r="M27" s="9" t="str">
        <f>IF(I27&gt;Inputs!$B$18,"YES","")</f>
        <v>YES</v>
      </c>
      <c r="N27" s="9" t="str">
        <f t="shared" si="2"/>
        <v>YES</v>
      </c>
      <c r="O27" s="8">
        <f>Inputs!$B$15</f>
        <v>7</v>
      </c>
      <c r="P27" s="6">
        <f>Inputs!$B$16</f>
        <v>3200</v>
      </c>
      <c r="Q27" s="6">
        <f>Inputs!$B$17</f>
        <v>2000</v>
      </c>
      <c r="R27" s="8">
        <f>Inputs!$B$18</f>
        <v>0.4</v>
      </c>
      <c r="S27" s="9" t="str">
        <f t="shared" si="3"/>
        <v>혼합만으로도 경보 가능</v>
      </c>
    </row>
    <row r="28" spans="1:19" x14ac:dyDescent="0.3">
      <c r="A28" s="6">
        <v>44</v>
      </c>
      <c r="B28" s="7">
        <f>A28/Inputs!$B$4</f>
        <v>4.3999999999999997E-2</v>
      </c>
      <c r="C28" s="8">
        <f>Inputs!$B$11*A28/Inputs!$B$4/1000</f>
        <v>7.5679999999999996</v>
      </c>
      <c r="D28" s="8">
        <f>IF(A28=0,"N/A",Inputs!$B$4/A28)</f>
        <v>22.727272727272727</v>
      </c>
      <c r="E28" s="10">
        <f>(1-B28)*10^(-Inputs!$B$5)+B28*10^(-Inputs!$B$8)</f>
        <v>2.2354552023912076E-6</v>
      </c>
      <c r="F28" s="8">
        <f t="shared" si="0"/>
        <v>5.6506340287927008</v>
      </c>
      <c r="G28" s="6">
        <f>(1-B28)*Inputs!$B$6+B28*Inputs!$B$9</f>
        <v>3114.6479999999997</v>
      </c>
      <c r="H28" s="6">
        <f>(1-B28)*Inputs!$B$7+B28*Inputs!$B$10</f>
        <v>15393.96</v>
      </c>
      <c r="I28" s="8">
        <f t="shared" si="1"/>
        <v>4.9424397235257409</v>
      </c>
      <c r="J28" s="9" t="str">
        <f>IF(F28&lt;Inputs!$B$15,"YES","")</f>
        <v>YES</v>
      </c>
      <c r="K28" s="9" t="str">
        <f>IF(G28&lt;Inputs!$B$16,"YES","")</f>
        <v>YES</v>
      </c>
      <c r="L28" s="9" t="str">
        <f>IF(H28&gt;Inputs!$B$17,"YES","")</f>
        <v>YES</v>
      </c>
      <c r="M28" s="9" t="str">
        <f>IF(I28&gt;Inputs!$B$18,"YES","")</f>
        <v>YES</v>
      </c>
      <c r="N28" s="9" t="str">
        <f t="shared" si="2"/>
        <v>YES</v>
      </c>
      <c r="O28" s="8">
        <f>Inputs!$B$15</f>
        <v>7</v>
      </c>
      <c r="P28" s="6">
        <f>Inputs!$B$16</f>
        <v>3200</v>
      </c>
      <c r="Q28" s="6">
        <f>Inputs!$B$17</f>
        <v>2000</v>
      </c>
      <c r="R28" s="8">
        <f>Inputs!$B$18</f>
        <v>0.4</v>
      </c>
      <c r="S28" s="9" t="str">
        <f t="shared" si="3"/>
        <v>혼합만으로도 경보 가능</v>
      </c>
    </row>
    <row r="29" spans="1:19" x14ac:dyDescent="0.3">
      <c r="A29" s="6">
        <v>46</v>
      </c>
      <c r="B29" s="7">
        <f>A29/Inputs!$B$4</f>
        <v>4.5999999999999999E-2</v>
      </c>
      <c r="C29" s="8">
        <f>Inputs!$B$11*A29/Inputs!$B$4/1000</f>
        <v>7.9119999999999999</v>
      </c>
      <c r="D29" s="8">
        <f>IF(A29=0,"N/A",Inputs!$B$4/A29)</f>
        <v>21.739130434782609</v>
      </c>
      <c r="E29" s="10">
        <f>(1-B29)*10^(-Inputs!$B$5)+B29*10^(-Inputs!$B$8)</f>
        <v>2.3356294035634592E-6</v>
      </c>
      <c r="F29" s="8">
        <f t="shared" si="0"/>
        <v>5.6315960659926896</v>
      </c>
      <c r="G29" s="6">
        <f>(1-B29)*Inputs!$B$6+B29*Inputs!$B$9</f>
        <v>3108.1320000000001</v>
      </c>
      <c r="H29" s="6">
        <f>(1-B29)*Inputs!$B$7+B29*Inputs!$B$10</f>
        <v>16034.14</v>
      </c>
      <c r="I29" s="8">
        <f t="shared" si="1"/>
        <v>5.1587706056242135</v>
      </c>
      <c r="J29" s="9" t="str">
        <f>IF(F29&lt;Inputs!$B$15,"YES","")</f>
        <v>YES</v>
      </c>
      <c r="K29" s="9" t="str">
        <f>IF(G29&lt;Inputs!$B$16,"YES","")</f>
        <v>YES</v>
      </c>
      <c r="L29" s="9" t="str">
        <f>IF(H29&gt;Inputs!$B$17,"YES","")</f>
        <v>YES</v>
      </c>
      <c r="M29" s="9" t="str">
        <f>IF(I29&gt;Inputs!$B$18,"YES","")</f>
        <v>YES</v>
      </c>
      <c r="N29" s="9" t="str">
        <f t="shared" si="2"/>
        <v>YES</v>
      </c>
      <c r="O29" s="8">
        <f>Inputs!$B$15</f>
        <v>7</v>
      </c>
      <c r="P29" s="6">
        <f>Inputs!$B$16</f>
        <v>3200</v>
      </c>
      <c r="Q29" s="6">
        <f>Inputs!$B$17</f>
        <v>2000</v>
      </c>
      <c r="R29" s="8">
        <f>Inputs!$B$18</f>
        <v>0.4</v>
      </c>
      <c r="S29" s="9" t="str">
        <f t="shared" si="3"/>
        <v>혼합만으로도 경보 가능</v>
      </c>
    </row>
    <row r="30" spans="1:19" x14ac:dyDescent="0.3">
      <c r="A30" s="6">
        <v>48</v>
      </c>
      <c r="B30" s="7">
        <f>A30/Inputs!$B$4</f>
        <v>4.8000000000000001E-2</v>
      </c>
      <c r="C30" s="8">
        <f>Inputs!$B$11*A30/Inputs!$B$4/1000</f>
        <v>8.2560000000000002</v>
      </c>
      <c r="D30" s="8">
        <f>IF(A30=0,"N/A",Inputs!$B$4/A30)</f>
        <v>20.833333333333332</v>
      </c>
      <c r="E30" s="10">
        <f>(1-B30)*10^(-Inputs!$B$5)+B30*10^(-Inputs!$B$8)</f>
        <v>2.4358036047357104E-6</v>
      </c>
      <c r="F30" s="8">
        <f t="shared" si="0"/>
        <v>5.6133577311532843</v>
      </c>
      <c r="G30" s="6">
        <f>(1-B30)*Inputs!$B$6+B30*Inputs!$B$9</f>
        <v>3101.616</v>
      </c>
      <c r="H30" s="6">
        <f>(1-B30)*Inputs!$B$7+B30*Inputs!$B$10</f>
        <v>16674.32</v>
      </c>
      <c r="I30" s="8">
        <f t="shared" si="1"/>
        <v>5.3760104410088161</v>
      </c>
      <c r="J30" s="9" t="str">
        <f>IF(F30&lt;Inputs!$B$15,"YES","")</f>
        <v>YES</v>
      </c>
      <c r="K30" s="9" t="str">
        <f>IF(G30&lt;Inputs!$B$16,"YES","")</f>
        <v>YES</v>
      </c>
      <c r="L30" s="9" t="str">
        <f>IF(H30&gt;Inputs!$B$17,"YES","")</f>
        <v>YES</v>
      </c>
      <c r="M30" s="9" t="str">
        <f>IF(I30&gt;Inputs!$B$18,"YES","")</f>
        <v>YES</v>
      </c>
      <c r="N30" s="9" t="str">
        <f t="shared" si="2"/>
        <v>YES</v>
      </c>
      <c r="O30" s="8">
        <f>Inputs!$B$15</f>
        <v>7</v>
      </c>
      <c r="P30" s="6">
        <f>Inputs!$B$16</f>
        <v>3200</v>
      </c>
      <c r="Q30" s="6">
        <f>Inputs!$B$17</f>
        <v>2000</v>
      </c>
      <c r="R30" s="8">
        <f>Inputs!$B$18</f>
        <v>0.4</v>
      </c>
      <c r="S30" s="9" t="str">
        <f t="shared" si="3"/>
        <v>혼합만으로도 경보 가능</v>
      </c>
    </row>
    <row r="31" spans="1:19" x14ac:dyDescent="0.3">
      <c r="A31" s="6">
        <v>50</v>
      </c>
      <c r="B31" s="7">
        <f>A31/Inputs!$B$4</f>
        <v>0.05</v>
      </c>
      <c r="C31" s="8">
        <f>Inputs!$B$11*A31/Inputs!$B$4/1000</f>
        <v>8.6</v>
      </c>
      <c r="D31" s="8">
        <f>IF(A31=0,"N/A",Inputs!$B$4/A31)</f>
        <v>20</v>
      </c>
      <c r="E31" s="10">
        <f>(1-B31)*10^(-Inputs!$B$5)+B31*10^(-Inputs!$B$8)</f>
        <v>2.5359778059079615E-6</v>
      </c>
      <c r="F31" s="8">
        <f t="shared" si="0"/>
        <v>5.5958545515844218</v>
      </c>
      <c r="G31" s="6">
        <f>(1-B31)*Inputs!$B$6+B31*Inputs!$B$9</f>
        <v>3095.1</v>
      </c>
      <c r="H31" s="6">
        <f>(1-B31)*Inputs!$B$7+B31*Inputs!$B$10</f>
        <v>17314.5</v>
      </c>
      <c r="I31" s="8">
        <f t="shared" si="1"/>
        <v>5.5941649704371423</v>
      </c>
      <c r="J31" s="9" t="str">
        <f>IF(F31&lt;Inputs!$B$15,"YES","")</f>
        <v>YES</v>
      </c>
      <c r="K31" s="9" t="str">
        <f>IF(G31&lt;Inputs!$B$16,"YES","")</f>
        <v>YES</v>
      </c>
      <c r="L31" s="9" t="str">
        <f>IF(H31&gt;Inputs!$B$17,"YES","")</f>
        <v>YES</v>
      </c>
      <c r="M31" s="9" t="str">
        <f>IF(I31&gt;Inputs!$B$18,"YES","")</f>
        <v>YES</v>
      </c>
      <c r="N31" s="9" t="str">
        <f t="shared" si="2"/>
        <v>YES</v>
      </c>
      <c r="O31" s="8">
        <f>Inputs!$B$15</f>
        <v>7</v>
      </c>
      <c r="P31" s="6">
        <f>Inputs!$B$16</f>
        <v>3200</v>
      </c>
      <c r="Q31" s="6">
        <f>Inputs!$B$17</f>
        <v>2000</v>
      </c>
      <c r="R31" s="8">
        <f>Inputs!$B$18</f>
        <v>0.4</v>
      </c>
      <c r="S31" s="9" t="str">
        <f t="shared" si="3"/>
        <v>혼합만으로도 경보 가능</v>
      </c>
    </row>
    <row r="32" spans="1:19" x14ac:dyDescent="0.3">
      <c r="A32" s="6">
        <v>52</v>
      </c>
      <c r="B32" s="7">
        <f>A32/Inputs!$B$4</f>
        <v>5.1999999999999998E-2</v>
      </c>
      <c r="C32" s="8">
        <f>Inputs!$B$11*A32/Inputs!$B$4/1000</f>
        <v>8.9440000000000008</v>
      </c>
      <c r="D32" s="8">
        <f>IF(A32=0,"N/A",Inputs!$B$4/A32)</f>
        <v>19.23076923076923</v>
      </c>
      <c r="E32" s="10">
        <f>(1-B32)*10^(-Inputs!$B$5)+B32*10^(-Inputs!$B$8)</f>
        <v>2.6361520070802123E-6</v>
      </c>
      <c r="F32" s="8">
        <f t="shared" si="0"/>
        <v>5.5790295508561796</v>
      </c>
      <c r="G32" s="6">
        <f>(1-B32)*Inputs!$B$6+B32*Inputs!$B$9</f>
        <v>3088.5839999999998</v>
      </c>
      <c r="H32" s="6">
        <f>(1-B32)*Inputs!$B$7+B32*Inputs!$B$10</f>
        <v>17954.68</v>
      </c>
      <c r="I32" s="8">
        <f t="shared" si="1"/>
        <v>5.8132399831120027</v>
      </c>
      <c r="J32" s="9" t="str">
        <f>IF(F32&lt;Inputs!$B$15,"YES","")</f>
        <v>YES</v>
      </c>
      <c r="K32" s="9" t="str">
        <f>IF(G32&lt;Inputs!$B$16,"YES","")</f>
        <v>YES</v>
      </c>
      <c r="L32" s="9" t="str">
        <f>IF(H32&gt;Inputs!$B$17,"YES","")</f>
        <v>YES</v>
      </c>
      <c r="M32" s="9" t="str">
        <f>IF(I32&gt;Inputs!$B$18,"YES","")</f>
        <v>YES</v>
      </c>
      <c r="N32" s="9" t="str">
        <f t="shared" si="2"/>
        <v>YES</v>
      </c>
      <c r="O32" s="8">
        <f>Inputs!$B$15</f>
        <v>7</v>
      </c>
      <c r="P32" s="6">
        <f>Inputs!$B$16</f>
        <v>3200</v>
      </c>
      <c r="Q32" s="6">
        <f>Inputs!$B$17</f>
        <v>2000</v>
      </c>
      <c r="R32" s="8">
        <f>Inputs!$B$18</f>
        <v>0.4</v>
      </c>
      <c r="S32" s="9" t="str">
        <f t="shared" si="3"/>
        <v>혼합만으로도 경보 가능</v>
      </c>
    </row>
    <row r="33" spans="1:19" x14ac:dyDescent="0.3">
      <c r="A33" s="6">
        <v>54</v>
      </c>
      <c r="B33" s="7">
        <f>A33/Inputs!$B$4</f>
        <v>5.3999999999999999E-2</v>
      </c>
      <c r="C33" s="8">
        <f>Inputs!$B$11*A33/Inputs!$B$4/1000</f>
        <v>9.2880000000000003</v>
      </c>
      <c r="D33" s="8">
        <f>IF(A33=0,"N/A",Inputs!$B$4/A33)</f>
        <v>18.518518518518519</v>
      </c>
      <c r="E33" s="10">
        <f>(1-B33)*10^(-Inputs!$B$5)+B33*10^(-Inputs!$B$8)</f>
        <v>2.7363262082524634E-6</v>
      </c>
      <c r="F33" s="8">
        <f t="shared" si="0"/>
        <v>5.5628321299054617</v>
      </c>
      <c r="G33" s="6">
        <f>(1-B33)*Inputs!$B$6+B33*Inputs!$B$9</f>
        <v>3082.0679999999998</v>
      </c>
      <c r="H33" s="6">
        <f>(1-B33)*Inputs!$B$7+B33*Inputs!$B$10</f>
        <v>18594.859999999997</v>
      </c>
      <c r="I33" s="8">
        <f t="shared" si="1"/>
        <v>6.0332413171935206</v>
      </c>
      <c r="J33" s="9" t="str">
        <f>IF(F33&lt;Inputs!$B$15,"YES","")</f>
        <v>YES</v>
      </c>
      <c r="K33" s="9" t="str">
        <f>IF(G33&lt;Inputs!$B$16,"YES","")</f>
        <v>YES</v>
      </c>
      <c r="L33" s="9" t="str">
        <f>IF(H33&gt;Inputs!$B$17,"YES","")</f>
        <v>YES</v>
      </c>
      <c r="M33" s="9" t="str">
        <f>IF(I33&gt;Inputs!$B$18,"YES","")</f>
        <v>YES</v>
      </c>
      <c r="N33" s="9" t="str">
        <f t="shared" si="2"/>
        <v>YES</v>
      </c>
      <c r="O33" s="8">
        <f>Inputs!$B$15</f>
        <v>7</v>
      </c>
      <c r="P33" s="6">
        <f>Inputs!$B$16</f>
        <v>3200</v>
      </c>
      <c r="Q33" s="6">
        <f>Inputs!$B$17</f>
        <v>2000</v>
      </c>
      <c r="R33" s="8">
        <f>Inputs!$B$18</f>
        <v>0.4</v>
      </c>
      <c r="S33" s="9" t="str">
        <f t="shared" si="3"/>
        <v>혼합만으로도 경보 가능</v>
      </c>
    </row>
    <row r="34" spans="1:19" x14ac:dyDescent="0.3">
      <c r="A34" s="6">
        <v>56</v>
      </c>
      <c r="B34" s="7">
        <f>A34/Inputs!$B$4</f>
        <v>5.6000000000000001E-2</v>
      </c>
      <c r="C34" s="8">
        <f>Inputs!$B$11*A34/Inputs!$B$4/1000</f>
        <v>9.6319999999999997</v>
      </c>
      <c r="D34" s="8">
        <f>IF(A34=0,"N/A",Inputs!$B$4/A34)</f>
        <v>17.857142857142858</v>
      </c>
      <c r="E34" s="10">
        <f>(1-B34)*10^(-Inputs!$B$5)+B34*10^(-Inputs!$B$8)</f>
        <v>2.836500409424715E-6</v>
      </c>
      <c r="F34" s="8">
        <f t="shared" si="0"/>
        <v>5.5472171494125586</v>
      </c>
      <c r="G34" s="6">
        <f>(1-B34)*Inputs!$B$6+B34*Inputs!$B$9</f>
        <v>3075.5519999999997</v>
      </c>
      <c r="H34" s="6">
        <f>(1-B34)*Inputs!$B$7+B34*Inputs!$B$10</f>
        <v>19235.04</v>
      </c>
      <c r="I34" s="8">
        <f t="shared" si="1"/>
        <v>6.2541748603177583</v>
      </c>
      <c r="J34" s="9" t="str">
        <f>IF(F34&lt;Inputs!$B$15,"YES","")</f>
        <v>YES</v>
      </c>
      <c r="K34" s="9" t="str">
        <f>IF(G34&lt;Inputs!$B$16,"YES","")</f>
        <v>YES</v>
      </c>
      <c r="L34" s="9" t="str">
        <f>IF(H34&gt;Inputs!$B$17,"YES","")</f>
        <v>YES</v>
      </c>
      <c r="M34" s="9" t="str">
        <f>IF(I34&gt;Inputs!$B$18,"YES","")</f>
        <v>YES</v>
      </c>
      <c r="N34" s="9" t="str">
        <f t="shared" si="2"/>
        <v>YES</v>
      </c>
      <c r="O34" s="8">
        <f>Inputs!$B$15</f>
        <v>7</v>
      </c>
      <c r="P34" s="6">
        <f>Inputs!$B$16</f>
        <v>3200</v>
      </c>
      <c r="Q34" s="6">
        <f>Inputs!$B$17</f>
        <v>2000</v>
      </c>
      <c r="R34" s="8">
        <f>Inputs!$B$18</f>
        <v>0.4</v>
      </c>
      <c r="S34" s="9" t="str">
        <f t="shared" si="3"/>
        <v>혼합만으로도 경보 가능</v>
      </c>
    </row>
    <row r="35" spans="1:19" x14ac:dyDescent="0.3">
      <c r="A35" s="6">
        <v>58</v>
      </c>
      <c r="B35" s="7">
        <f>A35/Inputs!$B$4</f>
        <v>5.8000000000000003E-2</v>
      </c>
      <c r="C35" s="8">
        <f>Inputs!$B$11*A35/Inputs!$B$4/1000</f>
        <v>9.9760000000000009</v>
      </c>
      <c r="D35" s="8">
        <f>IF(A35=0,"N/A",Inputs!$B$4/A35)</f>
        <v>17.241379310344829</v>
      </c>
      <c r="E35" s="10">
        <f>(1-B35)*10^(-Inputs!$B$5)+B35*10^(-Inputs!$B$8)</f>
        <v>2.9366746105969662E-6</v>
      </c>
      <c r="F35" s="8">
        <f t="shared" si="0"/>
        <v>5.5321441715061068</v>
      </c>
      <c r="G35" s="6">
        <f>(1-B35)*Inputs!$B$6+B35*Inputs!$B$9</f>
        <v>3069.0360000000001</v>
      </c>
      <c r="H35" s="6">
        <f>(1-B35)*Inputs!$B$7+B35*Inputs!$B$10</f>
        <v>19875.22</v>
      </c>
      <c r="I35" s="8">
        <f t="shared" si="1"/>
        <v>6.4760465501219278</v>
      </c>
      <c r="J35" s="9" t="str">
        <f>IF(F35&lt;Inputs!$B$15,"YES","")</f>
        <v>YES</v>
      </c>
      <c r="K35" s="9" t="str">
        <f>IF(G35&lt;Inputs!$B$16,"YES","")</f>
        <v>YES</v>
      </c>
      <c r="L35" s="9" t="str">
        <f>IF(H35&gt;Inputs!$B$17,"YES","")</f>
        <v>YES</v>
      </c>
      <c r="M35" s="9" t="str">
        <f>IF(I35&gt;Inputs!$B$18,"YES","")</f>
        <v>YES</v>
      </c>
      <c r="N35" s="9" t="str">
        <f t="shared" si="2"/>
        <v>YES</v>
      </c>
      <c r="O35" s="8">
        <f>Inputs!$B$15</f>
        <v>7</v>
      </c>
      <c r="P35" s="6">
        <f>Inputs!$B$16</f>
        <v>3200</v>
      </c>
      <c r="Q35" s="6">
        <f>Inputs!$B$17</f>
        <v>2000</v>
      </c>
      <c r="R35" s="8">
        <f>Inputs!$B$18</f>
        <v>0.4</v>
      </c>
      <c r="S35" s="9" t="str">
        <f t="shared" si="3"/>
        <v>혼합만으로도 경보 가능</v>
      </c>
    </row>
    <row r="36" spans="1:19" x14ac:dyDescent="0.3">
      <c r="A36" s="6">
        <v>60</v>
      </c>
      <c r="B36" s="7">
        <f>A36/Inputs!$B$4</f>
        <v>0.06</v>
      </c>
      <c r="C36" s="8">
        <f>Inputs!$B$11*A36/Inputs!$B$4/1000</f>
        <v>10.32</v>
      </c>
      <c r="D36" s="8">
        <f>IF(A36=0,"N/A",Inputs!$B$4/A36)</f>
        <v>16.666666666666668</v>
      </c>
      <c r="E36" s="10">
        <f>(1-B36)*10^(-Inputs!$B$5)+B36*10^(-Inputs!$B$8)</f>
        <v>3.0368488117692169E-6</v>
      </c>
      <c r="F36" s="8">
        <f t="shared" si="0"/>
        <v>5.5175768287102382</v>
      </c>
      <c r="G36" s="6">
        <f>(1-B36)*Inputs!$B$6+B36*Inputs!$B$9</f>
        <v>3062.52</v>
      </c>
      <c r="H36" s="6">
        <f>(1-B36)*Inputs!$B$7+B36*Inputs!$B$10</f>
        <v>20515.400000000001</v>
      </c>
      <c r="I36" s="8">
        <f t="shared" si="1"/>
        <v>6.6988623747763283</v>
      </c>
      <c r="J36" s="9" t="str">
        <f>IF(F36&lt;Inputs!$B$15,"YES","")</f>
        <v>YES</v>
      </c>
      <c r="K36" s="9" t="str">
        <f>IF(G36&lt;Inputs!$B$16,"YES","")</f>
        <v>YES</v>
      </c>
      <c r="L36" s="9" t="str">
        <f>IF(H36&gt;Inputs!$B$17,"YES","")</f>
        <v>YES</v>
      </c>
      <c r="M36" s="9" t="str">
        <f>IF(I36&gt;Inputs!$B$18,"YES","")</f>
        <v>YES</v>
      </c>
      <c r="N36" s="9" t="str">
        <f t="shared" si="2"/>
        <v>YES</v>
      </c>
      <c r="O36" s="8">
        <f>Inputs!$B$15</f>
        <v>7</v>
      </c>
      <c r="P36" s="6">
        <f>Inputs!$B$16</f>
        <v>3200</v>
      </c>
      <c r="Q36" s="6">
        <f>Inputs!$B$17</f>
        <v>2000</v>
      </c>
      <c r="R36" s="8">
        <f>Inputs!$B$18</f>
        <v>0.4</v>
      </c>
      <c r="S36" s="9" t="str">
        <f t="shared" si="3"/>
        <v>혼합만으로도 경보 가능</v>
      </c>
    </row>
    <row r="37" spans="1:19" x14ac:dyDescent="0.3">
      <c r="A37" s="6">
        <v>62</v>
      </c>
      <c r="B37" s="7">
        <f>A37/Inputs!$B$4</f>
        <v>6.2E-2</v>
      </c>
      <c r="C37" s="8">
        <f>Inputs!$B$11*A37/Inputs!$B$4/1000</f>
        <v>10.664</v>
      </c>
      <c r="D37" s="8">
        <f>IF(A37=0,"N/A",Inputs!$B$4/A37)</f>
        <v>16.129032258064516</v>
      </c>
      <c r="E37" s="10">
        <f>(1-B37)*10^(-Inputs!$B$5)+B37*10^(-Inputs!$B$8)</f>
        <v>3.1370230129414681E-6</v>
      </c>
      <c r="F37" s="8">
        <f t="shared" si="0"/>
        <v>5.5034822953421552</v>
      </c>
      <c r="G37" s="6">
        <f>(1-B37)*Inputs!$B$6+B37*Inputs!$B$9</f>
        <v>3056.0039999999999</v>
      </c>
      <c r="H37" s="6">
        <f>(1-B37)*Inputs!$B$7+B37*Inputs!$B$10</f>
        <v>21155.579999999998</v>
      </c>
      <c r="I37" s="8">
        <f t="shared" si="1"/>
        <v>6.9226283735230707</v>
      </c>
      <c r="J37" s="9" t="str">
        <f>IF(F37&lt;Inputs!$B$15,"YES","")</f>
        <v>YES</v>
      </c>
      <c r="K37" s="9" t="str">
        <f>IF(G37&lt;Inputs!$B$16,"YES","")</f>
        <v>YES</v>
      </c>
      <c r="L37" s="9" t="str">
        <f>IF(H37&gt;Inputs!$B$17,"YES","")</f>
        <v>YES</v>
      </c>
      <c r="M37" s="9" t="str">
        <f>IF(I37&gt;Inputs!$B$18,"YES","")</f>
        <v>YES</v>
      </c>
      <c r="N37" s="9" t="str">
        <f t="shared" si="2"/>
        <v>YES</v>
      </c>
      <c r="O37" s="8">
        <f>Inputs!$B$15</f>
        <v>7</v>
      </c>
      <c r="P37" s="6">
        <f>Inputs!$B$16</f>
        <v>3200</v>
      </c>
      <c r="Q37" s="6">
        <f>Inputs!$B$17</f>
        <v>2000</v>
      </c>
      <c r="R37" s="8">
        <f>Inputs!$B$18</f>
        <v>0.4</v>
      </c>
      <c r="S37" s="9" t="str">
        <f t="shared" si="3"/>
        <v>혼합만으로도 경보 가능</v>
      </c>
    </row>
    <row r="38" spans="1:19" x14ac:dyDescent="0.3">
      <c r="A38" s="6">
        <v>64</v>
      </c>
      <c r="B38" s="7">
        <f>A38/Inputs!$B$4</f>
        <v>6.4000000000000001E-2</v>
      </c>
      <c r="C38" s="8">
        <f>Inputs!$B$11*A38/Inputs!$B$4/1000</f>
        <v>11.007999999999999</v>
      </c>
      <c r="D38" s="8">
        <f>IF(A38=0,"N/A",Inputs!$B$4/A38)</f>
        <v>15.625</v>
      </c>
      <c r="E38" s="10">
        <f>(1-B38)*10^(-Inputs!$B$5)+B38*10^(-Inputs!$B$8)</f>
        <v>3.2371972141137192E-6</v>
      </c>
      <c r="F38" s="8">
        <f t="shared" ref="F38:F56" si="4">-LOG10(E38)</f>
        <v>5.4898308420270325</v>
      </c>
      <c r="G38" s="6">
        <f>(1-B38)*Inputs!$B$6+B38*Inputs!$B$9</f>
        <v>3049.4879999999998</v>
      </c>
      <c r="H38" s="6">
        <f>(1-B38)*Inputs!$B$7+B38*Inputs!$B$10</f>
        <v>21795.760000000002</v>
      </c>
      <c r="I38" s="8">
        <f t="shared" ref="I38:I56" si="5">IFERROR(H38/G38,0)</f>
        <v>7.1473506372217246</v>
      </c>
      <c r="J38" s="9" t="str">
        <f>IF(F38&lt;Inputs!$B$15,"YES","")</f>
        <v>YES</v>
      </c>
      <c r="K38" s="9" t="str">
        <f>IF(G38&lt;Inputs!$B$16,"YES","")</f>
        <v>YES</v>
      </c>
      <c r="L38" s="9" t="str">
        <f>IF(H38&gt;Inputs!$B$17,"YES","")</f>
        <v>YES</v>
      </c>
      <c r="M38" s="9" t="str">
        <f>IF(I38&gt;Inputs!$B$18,"YES","")</f>
        <v>YES</v>
      </c>
      <c r="N38" s="9" t="str">
        <f t="shared" ref="N38:N56" si="6">IF(COUNTIF(J38:M38,"YES")&gt;0,"YES","")</f>
        <v>YES</v>
      </c>
      <c r="O38" s="8">
        <f>Inputs!$B$15</f>
        <v>7</v>
      </c>
      <c r="P38" s="6">
        <f>Inputs!$B$16</f>
        <v>3200</v>
      </c>
      <c r="Q38" s="6">
        <f>Inputs!$B$17</f>
        <v>2000</v>
      </c>
      <c r="R38" s="8">
        <f>Inputs!$B$18</f>
        <v>0.4</v>
      </c>
      <c r="S38" s="9" t="str">
        <f t="shared" ref="S38:S56" si="7">IF(N38="YES","혼합만으로도 경보 가능","")</f>
        <v>혼합만으로도 경보 가능</v>
      </c>
    </row>
    <row r="39" spans="1:19" x14ac:dyDescent="0.3">
      <c r="A39" s="6">
        <v>66</v>
      </c>
      <c r="B39" s="7">
        <f>A39/Inputs!$B$4</f>
        <v>6.6000000000000003E-2</v>
      </c>
      <c r="C39" s="8">
        <f>Inputs!$B$11*A39/Inputs!$B$4/1000</f>
        <v>11.352</v>
      </c>
      <c r="D39" s="8">
        <f>IF(A39=0,"N/A",Inputs!$B$4/A39)</f>
        <v>15.151515151515152</v>
      </c>
      <c r="E39" s="10">
        <f>(1-B39)*10^(-Inputs!$B$5)+B39*10^(-Inputs!$B$8)</f>
        <v>3.3373714152859708E-6</v>
      </c>
      <c r="F39" s="8">
        <f t="shared" si="4"/>
        <v>5.4765954581240095</v>
      </c>
      <c r="G39" s="6">
        <f>(1-B39)*Inputs!$B$6+B39*Inputs!$B$9</f>
        <v>3042.9719999999998</v>
      </c>
      <c r="H39" s="6">
        <f>(1-B39)*Inputs!$B$7+B39*Inputs!$B$10</f>
        <v>22435.940000000002</v>
      </c>
      <c r="I39" s="8">
        <f t="shared" si="5"/>
        <v>7.3730353089019562</v>
      </c>
      <c r="J39" s="9" t="str">
        <f>IF(F39&lt;Inputs!$B$15,"YES","")</f>
        <v>YES</v>
      </c>
      <c r="K39" s="9" t="str">
        <f>IF(G39&lt;Inputs!$B$16,"YES","")</f>
        <v>YES</v>
      </c>
      <c r="L39" s="9" t="str">
        <f>IF(H39&gt;Inputs!$B$17,"YES","")</f>
        <v>YES</v>
      </c>
      <c r="M39" s="9" t="str">
        <f>IF(I39&gt;Inputs!$B$18,"YES","")</f>
        <v>YES</v>
      </c>
      <c r="N39" s="9" t="str">
        <f t="shared" si="6"/>
        <v>YES</v>
      </c>
      <c r="O39" s="8">
        <f>Inputs!$B$15</f>
        <v>7</v>
      </c>
      <c r="P39" s="6">
        <f>Inputs!$B$16</f>
        <v>3200</v>
      </c>
      <c r="Q39" s="6">
        <f>Inputs!$B$17</f>
        <v>2000</v>
      </c>
      <c r="R39" s="8">
        <f>Inputs!$B$18</f>
        <v>0.4</v>
      </c>
      <c r="S39" s="9" t="str">
        <f t="shared" si="7"/>
        <v>혼합만으로도 경보 가능</v>
      </c>
    </row>
    <row r="40" spans="1:19" x14ac:dyDescent="0.3">
      <c r="A40" s="6">
        <v>68</v>
      </c>
      <c r="B40" s="7">
        <f>A40/Inputs!$B$4</f>
        <v>6.8000000000000005E-2</v>
      </c>
      <c r="C40" s="8">
        <f>Inputs!$B$11*A40/Inputs!$B$4/1000</f>
        <v>11.696</v>
      </c>
      <c r="D40" s="8">
        <f>IF(A40=0,"N/A",Inputs!$B$4/A40)</f>
        <v>14.705882352941176</v>
      </c>
      <c r="E40" s="10">
        <f>(1-B40)*10^(-Inputs!$B$5)+B40*10^(-Inputs!$B$8)</f>
        <v>3.437545616458222E-6</v>
      </c>
      <c r="F40" s="8">
        <f t="shared" si="4"/>
        <v>5.463751530006876</v>
      </c>
      <c r="G40" s="6">
        <f>(1-B40)*Inputs!$B$6+B40*Inputs!$B$9</f>
        <v>3036.4559999999997</v>
      </c>
      <c r="H40" s="6">
        <f>(1-B40)*Inputs!$B$7+B40*Inputs!$B$10</f>
        <v>23076.12</v>
      </c>
      <c r="I40" s="8">
        <f t="shared" si="5"/>
        <v>7.599688584323304</v>
      </c>
      <c r="J40" s="9" t="str">
        <f>IF(F40&lt;Inputs!$B$15,"YES","")</f>
        <v>YES</v>
      </c>
      <c r="K40" s="9" t="str">
        <f>IF(G40&lt;Inputs!$B$16,"YES","")</f>
        <v>YES</v>
      </c>
      <c r="L40" s="9" t="str">
        <f>IF(H40&gt;Inputs!$B$17,"YES","")</f>
        <v>YES</v>
      </c>
      <c r="M40" s="9" t="str">
        <f>IF(I40&gt;Inputs!$B$18,"YES","")</f>
        <v>YES</v>
      </c>
      <c r="N40" s="9" t="str">
        <f t="shared" si="6"/>
        <v>YES</v>
      </c>
      <c r="O40" s="8">
        <f>Inputs!$B$15</f>
        <v>7</v>
      </c>
      <c r="P40" s="6">
        <f>Inputs!$B$16</f>
        <v>3200</v>
      </c>
      <c r="Q40" s="6">
        <f>Inputs!$B$17</f>
        <v>2000</v>
      </c>
      <c r="R40" s="8">
        <f>Inputs!$B$18</f>
        <v>0.4</v>
      </c>
      <c r="S40" s="9" t="str">
        <f t="shared" si="7"/>
        <v>혼합만으로도 경보 가능</v>
      </c>
    </row>
    <row r="41" spans="1:19" x14ac:dyDescent="0.3">
      <c r="A41" s="6">
        <v>70</v>
      </c>
      <c r="B41" s="7">
        <f>A41/Inputs!$B$4</f>
        <v>7.0000000000000007E-2</v>
      </c>
      <c r="C41" s="8">
        <f>Inputs!$B$11*A41/Inputs!$B$4/1000</f>
        <v>12.04</v>
      </c>
      <c r="D41" s="8">
        <f>IF(A41=0,"N/A",Inputs!$B$4/A41)</f>
        <v>14.285714285714286</v>
      </c>
      <c r="E41" s="10">
        <f>(1-B41)*10^(-Inputs!$B$5)+B41*10^(-Inputs!$B$8)</f>
        <v>3.5377198176304727E-6</v>
      </c>
      <c r="F41" s="8">
        <f t="shared" si="4"/>
        <v>5.4512765655685769</v>
      </c>
      <c r="G41" s="6">
        <f>(1-B41)*Inputs!$B$6+B41*Inputs!$B$9</f>
        <v>3029.9399999999996</v>
      </c>
      <c r="H41" s="6">
        <f>(1-B41)*Inputs!$B$7+B41*Inputs!$B$10</f>
        <v>23716.300000000003</v>
      </c>
      <c r="I41" s="8">
        <f t="shared" si="5"/>
        <v>7.8273167125421645</v>
      </c>
      <c r="J41" s="9" t="str">
        <f>IF(F41&lt;Inputs!$B$15,"YES","")</f>
        <v>YES</v>
      </c>
      <c r="K41" s="9" t="str">
        <f>IF(G41&lt;Inputs!$B$16,"YES","")</f>
        <v>YES</v>
      </c>
      <c r="L41" s="9" t="str">
        <f>IF(H41&gt;Inputs!$B$17,"YES","")</f>
        <v>YES</v>
      </c>
      <c r="M41" s="9" t="str">
        <f>IF(I41&gt;Inputs!$B$18,"YES","")</f>
        <v>YES</v>
      </c>
      <c r="N41" s="9" t="str">
        <f t="shared" si="6"/>
        <v>YES</v>
      </c>
      <c r="O41" s="8">
        <f>Inputs!$B$15</f>
        <v>7</v>
      </c>
      <c r="P41" s="6">
        <f>Inputs!$B$16</f>
        <v>3200</v>
      </c>
      <c r="Q41" s="6">
        <f>Inputs!$B$17</f>
        <v>2000</v>
      </c>
      <c r="R41" s="8">
        <f>Inputs!$B$18</f>
        <v>0.4</v>
      </c>
      <c r="S41" s="9" t="str">
        <f t="shared" si="7"/>
        <v>혼합만으로도 경보 가능</v>
      </c>
    </row>
    <row r="42" spans="1:19" x14ac:dyDescent="0.3">
      <c r="A42" s="6">
        <v>72</v>
      </c>
      <c r="B42" s="7">
        <f>A42/Inputs!$B$4</f>
        <v>7.1999999999999995E-2</v>
      </c>
      <c r="C42" s="8">
        <f>Inputs!$B$11*A42/Inputs!$B$4/1000</f>
        <v>12.384</v>
      </c>
      <c r="D42" s="8">
        <f>IF(A42=0,"N/A",Inputs!$B$4/A42)</f>
        <v>13.888888888888889</v>
      </c>
      <c r="E42" s="10">
        <f>(1-B42)*10^(-Inputs!$B$5)+B42*10^(-Inputs!$B$8)</f>
        <v>3.637894018802723E-6</v>
      </c>
      <c r="F42" s="8">
        <f t="shared" si="4"/>
        <v>5.4391499572020567</v>
      </c>
      <c r="G42" s="6">
        <f>(1-B42)*Inputs!$B$6+B42*Inputs!$B$9</f>
        <v>3023.424</v>
      </c>
      <c r="H42" s="6">
        <f>(1-B42)*Inputs!$B$7+B42*Inputs!$B$10</f>
        <v>24356.48</v>
      </c>
      <c r="I42" s="8">
        <f t="shared" si="5"/>
        <v>8.0559259964861027</v>
      </c>
      <c r="J42" s="9" t="str">
        <f>IF(F42&lt;Inputs!$B$15,"YES","")</f>
        <v>YES</v>
      </c>
      <c r="K42" s="9" t="str">
        <f>IF(G42&lt;Inputs!$B$16,"YES","")</f>
        <v>YES</v>
      </c>
      <c r="L42" s="9" t="str">
        <f>IF(H42&gt;Inputs!$B$17,"YES","")</f>
        <v>YES</v>
      </c>
      <c r="M42" s="9" t="str">
        <f>IF(I42&gt;Inputs!$B$18,"YES","")</f>
        <v>YES</v>
      </c>
      <c r="N42" s="9" t="str">
        <f t="shared" si="6"/>
        <v>YES</v>
      </c>
      <c r="O42" s="8">
        <f>Inputs!$B$15</f>
        <v>7</v>
      </c>
      <c r="P42" s="6">
        <f>Inputs!$B$16</f>
        <v>3200</v>
      </c>
      <c r="Q42" s="6">
        <f>Inputs!$B$17</f>
        <v>2000</v>
      </c>
      <c r="R42" s="8">
        <f>Inputs!$B$18</f>
        <v>0.4</v>
      </c>
      <c r="S42" s="9" t="str">
        <f t="shared" si="7"/>
        <v>혼합만으로도 경보 가능</v>
      </c>
    </row>
    <row r="43" spans="1:19" x14ac:dyDescent="0.3">
      <c r="A43" s="6">
        <v>74</v>
      </c>
      <c r="B43" s="7">
        <f>A43/Inputs!$B$4</f>
        <v>7.3999999999999996E-2</v>
      </c>
      <c r="C43" s="8">
        <f>Inputs!$B$11*A43/Inputs!$B$4/1000</f>
        <v>12.728</v>
      </c>
      <c r="D43" s="8">
        <f>IF(A43=0,"N/A",Inputs!$B$4/A43)</f>
        <v>13.513513513513514</v>
      </c>
      <c r="E43" s="10">
        <f>(1-B43)*10^(-Inputs!$B$5)+B43*10^(-Inputs!$B$8)</f>
        <v>3.7380682199749742E-6</v>
      </c>
      <c r="F43" s="8">
        <f t="shared" si="4"/>
        <v>5.4273527769838497</v>
      </c>
      <c r="G43" s="6">
        <f>(1-B43)*Inputs!$B$6+B43*Inputs!$B$9</f>
        <v>3016.9080000000004</v>
      </c>
      <c r="H43" s="6">
        <f>(1-B43)*Inputs!$B$7+B43*Inputs!$B$10</f>
        <v>24996.66</v>
      </c>
      <c r="I43" s="8">
        <f t="shared" si="5"/>
        <v>8.2855227935356321</v>
      </c>
      <c r="J43" s="9" t="str">
        <f>IF(F43&lt;Inputs!$B$15,"YES","")</f>
        <v>YES</v>
      </c>
      <c r="K43" s="9" t="str">
        <f>IF(G43&lt;Inputs!$B$16,"YES","")</f>
        <v>YES</v>
      </c>
      <c r="L43" s="9" t="str">
        <f>IF(H43&gt;Inputs!$B$17,"YES","")</f>
        <v>YES</v>
      </c>
      <c r="M43" s="9" t="str">
        <f>IF(I43&gt;Inputs!$B$18,"YES","")</f>
        <v>YES</v>
      </c>
      <c r="N43" s="9" t="str">
        <f t="shared" si="6"/>
        <v>YES</v>
      </c>
      <c r="O43" s="8">
        <f>Inputs!$B$15</f>
        <v>7</v>
      </c>
      <c r="P43" s="6">
        <f>Inputs!$B$16</f>
        <v>3200</v>
      </c>
      <c r="Q43" s="6">
        <f>Inputs!$B$17</f>
        <v>2000</v>
      </c>
      <c r="R43" s="8">
        <f>Inputs!$B$18</f>
        <v>0.4</v>
      </c>
      <c r="S43" s="9" t="str">
        <f t="shared" si="7"/>
        <v>혼합만으로도 경보 가능</v>
      </c>
    </row>
    <row r="44" spans="1:19" x14ac:dyDescent="0.3">
      <c r="A44" s="6">
        <v>76</v>
      </c>
      <c r="B44" s="7">
        <f>A44/Inputs!$B$4</f>
        <v>7.5999999999999998E-2</v>
      </c>
      <c r="C44" s="8">
        <f>Inputs!$B$11*A44/Inputs!$B$4/1000</f>
        <v>13.071999999999999</v>
      </c>
      <c r="D44" s="8">
        <f>IF(A44=0,"N/A",Inputs!$B$4/A44)</f>
        <v>13.157894736842104</v>
      </c>
      <c r="E44" s="10">
        <f>(1-B44)*10^(-Inputs!$B$5)+B44*10^(-Inputs!$B$8)</f>
        <v>3.8382424211472257E-6</v>
      </c>
      <c r="F44" s="8">
        <f t="shared" si="4"/>
        <v>5.4158675989487266</v>
      </c>
      <c r="G44" s="6">
        <f>(1-B44)*Inputs!$B$6+B44*Inputs!$B$9</f>
        <v>3010.3920000000003</v>
      </c>
      <c r="H44" s="6">
        <f>(1-B44)*Inputs!$B$7+B44*Inputs!$B$10</f>
        <v>25636.839999999997</v>
      </c>
      <c r="I44" s="8">
        <f t="shared" si="5"/>
        <v>8.5161135161135135</v>
      </c>
      <c r="J44" s="9" t="str">
        <f>IF(F44&lt;Inputs!$B$15,"YES","")</f>
        <v>YES</v>
      </c>
      <c r="K44" s="9" t="str">
        <f>IF(G44&lt;Inputs!$B$16,"YES","")</f>
        <v>YES</v>
      </c>
      <c r="L44" s="9" t="str">
        <f>IF(H44&gt;Inputs!$B$17,"YES","")</f>
        <v>YES</v>
      </c>
      <c r="M44" s="9" t="str">
        <f>IF(I44&gt;Inputs!$B$18,"YES","")</f>
        <v>YES</v>
      </c>
      <c r="N44" s="9" t="str">
        <f t="shared" si="6"/>
        <v>YES</v>
      </c>
      <c r="O44" s="8">
        <f>Inputs!$B$15</f>
        <v>7</v>
      </c>
      <c r="P44" s="6">
        <f>Inputs!$B$16</f>
        <v>3200</v>
      </c>
      <c r="Q44" s="6">
        <f>Inputs!$B$17</f>
        <v>2000</v>
      </c>
      <c r="R44" s="8">
        <f>Inputs!$B$18</f>
        <v>0.4</v>
      </c>
      <c r="S44" s="9" t="str">
        <f t="shared" si="7"/>
        <v>혼합만으로도 경보 가능</v>
      </c>
    </row>
    <row r="45" spans="1:19" x14ac:dyDescent="0.3">
      <c r="A45" s="6">
        <v>78</v>
      </c>
      <c r="B45" s="7">
        <f>A45/Inputs!$B$4</f>
        <v>7.8E-2</v>
      </c>
      <c r="C45" s="8">
        <f>Inputs!$B$11*A45/Inputs!$B$4/1000</f>
        <v>13.416</v>
      </c>
      <c r="D45" s="8">
        <f>IF(A45=0,"N/A",Inputs!$B$4/A45)</f>
        <v>12.820512820512821</v>
      </c>
      <c r="E45" s="10">
        <f>(1-B45)*10^(-Inputs!$B$5)+B45*10^(-Inputs!$B$8)</f>
        <v>3.9384166223194769E-6</v>
      </c>
      <c r="F45" s="8">
        <f t="shared" si="4"/>
        <v>5.4046783442659754</v>
      </c>
      <c r="G45" s="6">
        <f>(1-B45)*Inputs!$B$6+B45*Inputs!$B$9</f>
        <v>3003.8760000000002</v>
      </c>
      <c r="H45" s="6">
        <f>(1-B45)*Inputs!$B$7+B45*Inputs!$B$10</f>
        <v>26277.02</v>
      </c>
      <c r="I45" s="8">
        <f t="shared" si="5"/>
        <v>8.7477046322817582</v>
      </c>
      <c r="J45" s="9" t="str">
        <f>IF(F45&lt;Inputs!$B$15,"YES","")</f>
        <v>YES</v>
      </c>
      <c r="K45" s="9" t="str">
        <f>IF(G45&lt;Inputs!$B$16,"YES","")</f>
        <v>YES</v>
      </c>
      <c r="L45" s="9" t="str">
        <f>IF(H45&gt;Inputs!$B$17,"YES","")</f>
        <v>YES</v>
      </c>
      <c r="M45" s="9" t="str">
        <f>IF(I45&gt;Inputs!$B$18,"YES","")</f>
        <v>YES</v>
      </c>
      <c r="N45" s="9" t="str">
        <f t="shared" si="6"/>
        <v>YES</v>
      </c>
      <c r="O45" s="8">
        <f>Inputs!$B$15</f>
        <v>7</v>
      </c>
      <c r="P45" s="6">
        <f>Inputs!$B$16</f>
        <v>3200</v>
      </c>
      <c r="Q45" s="6">
        <f>Inputs!$B$17</f>
        <v>2000</v>
      </c>
      <c r="R45" s="8">
        <f>Inputs!$B$18</f>
        <v>0.4</v>
      </c>
      <c r="S45" s="9" t="str">
        <f t="shared" si="7"/>
        <v>혼합만으로도 경보 가능</v>
      </c>
    </row>
    <row r="46" spans="1:19" x14ac:dyDescent="0.3">
      <c r="A46" s="6">
        <v>80</v>
      </c>
      <c r="B46" s="7">
        <f>A46/Inputs!$B$4</f>
        <v>0.08</v>
      </c>
      <c r="C46" s="8">
        <f>Inputs!$B$11*A46/Inputs!$B$4/1000</f>
        <v>13.76</v>
      </c>
      <c r="D46" s="8">
        <f>IF(A46=0,"N/A",Inputs!$B$4/A46)</f>
        <v>12.5</v>
      </c>
      <c r="E46" s="10">
        <f>(1-B46)*10^(-Inputs!$B$5)+B46*10^(-Inputs!$B$8)</f>
        <v>4.0385908234917281E-6</v>
      </c>
      <c r="F46" s="8">
        <f t="shared" si="4"/>
        <v>5.3937701458647984</v>
      </c>
      <c r="G46" s="6">
        <f>(1-B46)*Inputs!$B$6+B46*Inputs!$B$9</f>
        <v>2997.36</v>
      </c>
      <c r="H46" s="6">
        <f>(1-B46)*Inputs!$B$7+B46*Inputs!$B$10</f>
        <v>26917.200000000001</v>
      </c>
      <c r="I46" s="8">
        <f t="shared" si="5"/>
        <v>8.9803026663463843</v>
      </c>
      <c r="J46" s="9" t="str">
        <f>IF(F46&lt;Inputs!$B$15,"YES","")</f>
        <v>YES</v>
      </c>
      <c r="K46" s="9" t="str">
        <f>IF(G46&lt;Inputs!$B$16,"YES","")</f>
        <v>YES</v>
      </c>
      <c r="L46" s="9" t="str">
        <f>IF(H46&gt;Inputs!$B$17,"YES","")</f>
        <v>YES</v>
      </c>
      <c r="M46" s="9" t="str">
        <f>IF(I46&gt;Inputs!$B$18,"YES","")</f>
        <v>YES</v>
      </c>
      <c r="N46" s="9" t="str">
        <f t="shared" si="6"/>
        <v>YES</v>
      </c>
      <c r="O46" s="8">
        <f>Inputs!$B$15</f>
        <v>7</v>
      </c>
      <c r="P46" s="6">
        <f>Inputs!$B$16</f>
        <v>3200</v>
      </c>
      <c r="Q46" s="6">
        <f>Inputs!$B$17</f>
        <v>2000</v>
      </c>
      <c r="R46" s="8">
        <f>Inputs!$B$18</f>
        <v>0.4</v>
      </c>
      <c r="S46" s="9" t="str">
        <f t="shared" si="7"/>
        <v>혼합만으로도 경보 가능</v>
      </c>
    </row>
    <row r="47" spans="1:19" x14ac:dyDescent="0.3">
      <c r="A47" s="6">
        <v>82</v>
      </c>
      <c r="B47" s="7">
        <f>A47/Inputs!$B$4</f>
        <v>8.2000000000000003E-2</v>
      </c>
      <c r="C47" s="8">
        <f>Inputs!$B$11*A47/Inputs!$B$4/1000</f>
        <v>14.103999999999999</v>
      </c>
      <c r="D47" s="8">
        <f>IF(A47=0,"N/A",Inputs!$B$4/A47)</f>
        <v>12.195121951219512</v>
      </c>
      <c r="E47" s="10">
        <f>(1-B47)*10^(-Inputs!$B$5)+B47*10^(-Inputs!$B$8)</f>
        <v>4.1387650246639801E-6</v>
      </c>
      <c r="F47" s="8">
        <f t="shared" si="4"/>
        <v>5.3831292296486781</v>
      </c>
      <c r="G47" s="6">
        <f>(1-B47)*Inputs!$B$6+B47*Inputs!$B$9</f>
        <v>2990.8440000000001</v>
      </c>
      <c r="H47" s="6">
        <f>(1-B47)*Inputs!$B$7+B47*Inputs!$B$10</f>
        <v>27557.380000000005</v>
      </c>
      <c r="I47" s="8">
        <f t="shared" si="5"/>
        <v>9.2139141994701177</v>
      </c>
      <c r="J47" s="9" t="str">
        <f>IF(F47&lt;Inputs!$B$15,"YES","")</f>
        <v>YES</v>
      </c>
      <c r="K47" s="9" t="str">
        <f>IF(G47&lt;Inputs!$B$16,"YES","")</f>
        <v>YES</v>
      </c>
      <c r="L47" s="9" t="str">
        <f>IF(H47&gt;Inputs!$B$17,"YES","")</f>
        <v>YES</v>
      </c>
      <c r="M47" s="9" t="str">
        <f>IF(I47&gt;Inputs!$B$18,"YES","")</f>
        <v>YES</v>
      </c>
      <c r="N47" s="9" t="str">
        <f t="shared" si="6"/>
        <v>YES</v>
      </c>
      <c r="O47" s="8">
        <f>Inputs!$B$15</f>
        <v>7</v>
      </c>
      <c r="P47" s="6">
        <f>Inputs!$B$16</f>
        <v>3200</v>
      </c>
      <c r="Q47" s="6">
        <f>Inputs!$B$17</f>
        <v>2000</v>
      </c>
      <c r="R47" s="8">
        <f>Inputs!$B$18</f>
        <v>0.4</v>
      </c>
      <c r="S47" s="9" t="str">
        <f t="shared" si="7"/>
        <v>혼합만으로도 경보 가능</v>
      </c>
    </row>
    <row r="48" spans="1:19" x14ac:dyDescent="0.3">
      <c r="A48" s="6">
        <v>84</v>
      </c>
      <c r="B48" s="7">
        <f>A48/Inputs!$B$4</f>
        <v>8.4000000000000005E-2</v>
      </c>
      <c r="C48" s="8">
        <f>Inputs!$B$11*A48/Inputs!$B$4/1000</f>
        <v>14.448</v>
      </c>
      <c r="D48" s="8">
        <f>IF(A48=0,"N/A",Inputs!$B$4/A48)</f>
        <v>11.904761904761905</v>
      </c>
      <c r="E48" s="10">
        <f>(1-B48)*10^(-Inputs!$B$5)+B48*10^(-Inputs!$B$8)</f>
        <v>4.2389392258362304E-6</v>
      </c>
      <c r="F48" s="8">
        <f t="shared" si="4"/>
        <v>5.3727428099175478</v>
      </c>
      <c r="G48" s="6">
        <f>(1-B48)*Inputs!$B$6+B48*Inputs!$B$9</f>
        <v>2984.328</v>
      </c>
      <c r="H48" s="6">
        <f>(1-B48)*Inputs!$B$7+B48*Inputs!$B$10</f>
        <v>28197.56</v>
      </c>
      <c r="I48" s="8">
        <f t="shared" si="5"/>
        <v>9.4485458702930778</v>
      </c>
      <c r="J48" s="9" t="str">
        <f>IF(F48&lt;Inputs!$B$15,"YES","")</f>
        <v>YES</v>
      </c>
      <c r="K48" s="9" t="str">
        <f>IF(G48&lt;Inputs!$B$16,"YES","")</f>
        <v>YES</v>
      </c>
      <c r="L48" s="9" t="str">
        <f>IF(H48&gt;Inputs!$B$17,"YES","")</f>
        <v>YES</v>
      </c>
      <c r="M48" s="9" t="str">
        <f>IF(I48&gt;Inputs!$B$18,"YES","")</f>
        <v>YES</v>
      </c>
      <c r="N48" s="9" t="str">
        <f t="shared" si="6"/>
        <v>YES</v>
      </c>
      <c r="O48" s="8">
        <f>Inputs!$B$15</f>
        <v>7</v>
      </c>
      <c r="P48" s="6">
        <f>Inputs!$B$16</f>
        <v>3200</v>
      </c>
      <c r="Q48" s="6">
        <f>Inputs!$B$17</f>
        <v>2000</v>
      </c>
      <c r="R48" s="8">
        <f>Inputs!$B$18</f>
        <v>0.4</v>
      </c>
      <c r="S48" s="9" t="str">
        <f t="shared" si="7"/>
        <v>혼합만으로도 경보 가능</v>
      </c>
    </row>
    <row r="49" spans="1:19" x14ac:dyDescent="0.3">
      <c r="A49" s="6">
        <v>86</v>
      </c>
      <c r="B49" s="7">
        <f>A49/Inputs!$B$4</f>
        <v>8.5999999999999993E-2</v>
      </c>
      <c r="C49" s="8">
        <f>Inputs!$B$11*A49/Inputs!$B$4/1000</f>
        <v>14.792</v>
      </c>
      <c r="D49" s="8">
        <f>IF(A49=0,"N/A",Inputs!$B$4/A49)</f>
        <v>11.627906976744185</v>
      </c>
      <c r="E49" s="10">
        <f>(1-B49)*10^(-Inputs!$B$5)+B49*10^(-Inputs!$B$8)</f>
        <v>4.3391134270084807E-6</v>
      </c>
      <c r="F49" s="8">
        <f t="shared" si="4"/>
        <v>5.3625989970060672</v>
      </c>
      <c r="G49" s="6">
        <f>(1-B49)*Inputs!$B$6+B49*Inputs!$B$9</f>
        <v>2977.8119999999999</v>
      </c>
      <c r="H49" s="6">
        <f>(1-B49)*Inputs!$B$7+B49*Inputs!$B$10</f>
        <v>28837.739999999998</v>
      </c>
      <c r="I49" s="8">
        <f t="shared" si="5"/>
        <v>9.684204375561654</v>
      </c>
      <c r="J49" s="9" t="str">
        <f>IF(F49&lt;Inputs!$B$15,"YES","")</f>
        <v>YES</v>
      </c>
      <c r="K49" s="9" t="str">
        <f>IF(G49&lt;Inputs!$B$16,"YES","")</f>
        <v>YES</v>
      </c>
      <c r="L49" s="9" t="str">
        <f>IF(H49&gt;Inputs!$B$17,"YES","")</f>
        <v>YES</v>
      </c>
      <c r="M49" s="9" t="str">
        <f>IF(I49&gt;Inputs!$B$18,"YES","")</f>
        <v>YES</v>
      </c>
      <c r="N49" s="9" t="str">
        <f t="shared" si="6"/>
        <v>YES</v>
      </c>
      <c r="O49" s="8">
        <f>Inputs!$B$15</f>
        <v>7</v>
      </c>
      <c r="P49" s="6">
        <f>Inputs!$B$16</f>
        <v>3200</v>
      </c>
      <c r="Q49" s="6">
        <f>Inputs!$B$17</f>
        <v>2000</v>
      </c>
      <c r="R49" s="8">
        <f>Inputs!$B$18</f>
        <v>0.4</v>
      </c>
      <c r="S49" s="9" t="str">
        <f t="shared" si="7"/>
        <v>혼합만으로도 경보 가능</v>
      </c>
    </row>
    <row r="50" spans="1:19" x14ac:dyDescent="0.3">
      <c r="A50" s="6">
        <v>88</v>
      </c>
      <c r="B50" s="7">
        <f>A50/Inputs!$B$4</f>
        <v>8.7999999999999995E-2</v>
      </c>
      <c r="C50" s="8">
        <f>Inputs!$B$11*A50/Inputs!$B$4/1000</f>
        <v>15.135999999999999</v>
      </c>
      <c r="D50" s="8">
        <f>IF(A50=0,"N/A",Inputs!$B$4/A50)</f>
        <v>11.363636363636363</v>
      </c>
      <c r="E50" s="10">
        <f>(1-B50)*10^(-Inputs!$B$5)+B50*10^(-Inputs!$B$8)</f>
        <v>4.4392876281807319E-6</v>
      </c>
      <c r="F50" s="8">
        <f t="shared" si="4"/>
        <v>5.3526867154646274</v>
      </c>
      <c r="G50" s="6">
        <f>(1-B50)*Inputs!$B$6+B50*Inputs!$B$9</f>
        <v>2971.2960000000003</v>
      </c>
      <c r="H50" s="6">
        <f>(1-B50)*Inputs!$B$7+B50*Inputs!$B$10</f>
        <v>29477.919999999998</v>
      </c>
      <c r="I50" s="8">
        <f t="shared" si="5"/>
        <v>9.9208964707656175</v>
      </c>
      <c r="J50" s="9" t="str">
        <f>IF(F50&lt;Inputs!$B$15,"YES","")</f>
        <v>YES</v>
      </c>
      <c r="K50" s="9" t="str">
        <f>IF(G50&lt;Inputs!$B$16,"YES","")</f>
        <v>YES</v>
      </c>
      <c r="L50" s="9" t="str">
        <f>IF(H50&gt;Inputs!$B$17,"YES","")</f>
        <v>YES</v>
      </c>
      <c r="M50" s="9" t="str">
        <f>IF(I50&gt;Inputs!$B$18,"YES","")</f>
        <v>YES</v>
      </c>
      <c r="N50" s="9" t="str">
        <f t="shared" si="6"/>
        <v>YES</v>
      </c>
      <c r="O50" s="8">
        <f>Inputs!$B$15</f>
        <v>7</v>
      </c>
      <c r="P50" s="6">
        <f>Inputs!$B$16</f>
        <v>3200</v>
      </c>
      <c r="Q50" s="6">
        <f>Inputs!$B$17</f>
        <v>2000</v>
      </c>
      <c r="R50" s="8">
        <f>Inputs!$B$18</f>
        <v>0.4</v>
      </c>
      <c r="S50" s="9" t="str">
        <f t="shared" si="7"/>
        <v>혼합만으로도 경보 가능</v>
      </c>
    </row>
    <row r="51" spans="1:19" x14ac:dyDescent="0.3">
      <c r="A51" s="6">
        <v>90</v>
      </c>
      <c r="B51" s="7">
        <f>A51/Inputs!$B$4</f>
        <v>0.09</v>
      </c>
      <c r="C51" s="8">
        <f>Inputs!$B$11*A51/Inputs!$B$4/1000</f>
        <v>15.48</v>
      </c>
      <c r="D51" s="8">
        <f>IF(A51=0,"N/A",Inputs!$B$4/A51)</f>
        <v>11.111111111111111</v>
      </c>
      <c r="E51" s="10">
        <f>(1-B51)*10^(-Inputs!$B$5)+B51*10^(-Inputs!$B$8)</f>
        <v>4.539461829352983E-6</v>
      </c>
      <c r="F51" s="8">
        <f t="shared" si="4"/>
        <v>5.342995631371144</v>
      </c>
      <c r="G51" s="6">
        <f>(1-B51)*Inputs!$B$6+B51*Inputs!$B$9</f>
        <v>2964.78</v>
      </c>
      <c r="H51" s="6">
        <f>(1-B51)*Inputs!$B$7+B51*Inputs!$B$10</f>
        <v>30118.1</v>
      </c>
      <c r="I51" s="8">
        <f t="shared" si="5"/>
        <v>10.158628970783665</v>
      </c>
      <c r="J51" s="9" t="str">
        <f>IF(F51&lt;Inputs!$B$15,"YES","")</f>
        <v>YES</v>
      </c>
      <c r="K51" s="9" t="str">
        <f>IF(G51&lt;Inputs!$B$16,"YES","")</f>
        <v>YES</v>
      </c>
      <c r="L51" s="9" t="str">
        <f>IF(H51&gt;Inputs!$B$17,"YES","")</f>
        <v>YES</v>
      </c>
      <c r="M51" s="9" t="str">
        <f>IF(I51&gt;Inputs!$B$18,"YES","")</f>
        <v>YES</v>
      </c>
      <c r="N51" s="9" t="str">
        <f t="shared" si="6"/>
        <v>YES</v>
      </c>
      <c r="O51" s="8">
        <f>Inputs!$B$15</f>
        <v>7</v>
      </c>
      <c r="P51" s="6">
        <f>Inputs!$B$16</f>
        <v>3200</v>
      </c>
      <c r="Q51" s="6">
        <f>Inputs!$B$17</f>
        <v>2000</v>
      </c>
      <c r="R51" s="8">
        <f>Inputs!$B$18</f>
        <v>0.4</v>
      </c>
      <c r="S51" s="9" t="str">
        <f t="shared" si="7"/>
        <v>혼합만으로도 경보 가능</v>
      </c>
    </row>
    <row r="52" spans="1:19" x14ac:dyDescent="0.3">
      <c r="A52" s="6">
        <v>92</v>
      </c>
      <c r="B52" s="7">
        <f>A52/Inputs!$B$4</f>
        <v>9.1999999999999998E-2</v>
      </c>
      <c r="C52" s="8">
        <f>Inputs!$B$11*A52/Inputs!$B$4/1000</f>
        <v>15.824</v>
      </c>
      <c r="D52" s="8">
        <f>IF(A52=0,"N/A",Inputs!$B$4/A52)</f>
        <v>10.869565217391305</v>
      </c>
      <c r="E52" s="10">
        <f>(1-B52)*10^(-Inputs!$B$5)+B52*10^(-Inputs!$B$8)</f>
        <v>4.639636030525235E-6</v>
      </c>
      <c r="F52" s="8">
        <f t="shared" si="4"/>
        <v>5.3335160875775403</v>
      </c>
      <c r="G52" s="6">
        <f>(1-B52)*Inputs!$B$6+B52*Inputs!$B$9</f>
        <v>2958.2640000000001</v>
      </c>
      <c r="H52" s="6">
        <f>(1-B52)*Inputs!$B$7+B52*Inputs!$B$10</f>
        <v>30758.28</v>
      </c>
      <c r="I52" s="8">
        <f t="shared" si="5"/>
        <v>10.397408750537476</v>
      </c>
      <c r="J52" s="9" t="str">
        <f>IF(F52&lt;Inputs!$B$15,"YES","")</f>
        <v>YES</v>
      </c>
      <c r="K52" s="9" t="str">
        <f>IF(G52&lt;Inputs!$B$16,"YES","")</f>
        <v>YES</v>
      </c>
      <c r="L52" s="9" t="str">
        <f>IF(H52&gt;Inputs!$B$17,"YES","")</f>
        <v>YES</v>
      </c>
      <c r="M52" s="9" t="str">
        <f>IF(I52&gt;Inputs!$B$18,"YES","")</f>
        <v>YES</v>
      </c>
      <c r="N52" s="9" t="str">
        <f t="shared" si="6"/>
        <v>YES</v>
      </c>
      <c r="O52" s="8">
        <f>Inputs!$B$15</f>
        <v>7</v>
      </c>
      <c r="P52" s="6">
        <f>Inputs!$B$16</f>
        <v>3200</v>
      </c>
      <c r="Q52" s="6">
        <f>Inputs!$B$17</f>
        <v>2000</v>
      </c>
      <c r="R52" s="8">
        <f>Inputs!$B$18</f>
        <v>0.4</v>
      </c>
      <c r="S52" s="9" t="str">
        <f t="shared" si="7"/>
        <v>혼합만으로도 경보 가능</v>
      </c>
    </row>
    <row r="53" spans="1:19" x14ac:dyDescent="0.3">
      <c r="A53" s="6">
        <v>94</v>
      </c>
      <c r="B53" s="7">
        <f>A53/Inputs!$B$4</f>
        <v>9.4E-2</v>
      </c>
      <c r="C53" s="8">
        <f>Inputs!$B$11*A53/Inputs!$B$4/1000</f>
        <v>16.167999999999999</v>
      </c>
      <c r="D53" s="8">
        <f>IF(A53=0,"N/A",Inputs!$B$4/A53)</f>
        <v>10.638297872340425</v>
      </c>
      <c r="E53" s="10">
        <f>(1-B53)*10^(-Inputs!$B$5)+B53*10^(-Inputs!$B$8)</f>
        <v>4.7398102316974853E-6</v>
      </c>
      <c r="F53" s="8">
        <f t="shared" si="4"/>
        <v>5.3242390458736866</v>
      </c>
      <c r="G53" s="6">
        <f>(1-B53)*Inputs!$B$6+B53*Inputs!$B$9</f>
        <v>2951.748</v>
      </c>
      <c r="H53" s="6">
        <f>(1-B53)*Inputs!$B$7+B53*Inputs!$B$10</f>
        <v>31398.46</v>
      </c>
      <c r="I53" s="8">
        <f t="shared" si="5"/>
        <v>10.637242745654438</v>
      </c>
      <c r="J53" s="9" t="str">
        <f>IF(F53&lt;Inputs!$B$15,"YES","")</f>
        <v>YES</v>
      </c>
      <c r="K53" s="9" t="str">
        <f>IF(G53&lt;Inputs!$B$16,"YES","")</f>
        <v>YES</v>
      </c>
      <c r="L53" s="9" t="str">
        <f>IF(H53&gt;Inputs!$B$17,"YES","")</f>
        <v>YES</v>
      </c>
      <c r="M53" s="9" t="str">
        <f>IF(I53&gt;Inputs!$B$18,"YES","")</f>
        <v>YES</v>
      </c>
      <c r="N53" s="9" t="str">
        <f t="shared" si="6"/>
        <v>YES</v>
      </c>
      <c r="O53" s="8">
        <f>Inputs!$B$15</f>
        <v>7</v>
      </c>
      <c r="P53" s="6">
        <f>Inputs!$B$16</f>
        <v>3200</v>
      </c>
      <c r="Q53" s="6">
        <f>Inputs!$B$17</f>
        <v>2000</v>
      </c>
      <c r="R53" s="8">
        <f>Inputs!$B$18</f>
        <v>0.4</v>
      </c>
      <c r="S53" s="9" t="str">
        <f t="shared" si="7"/>
        <v>혼합만으로도 경보 가능</v>
      </c>
    </row>
    <row r="54" spans="1:19" x14ac:dyDescent="0.3">
      <c r="A54" s="6">
        <v>96</v>
      </c>
      <c r="B54" s="7">
        <f>A54/Inputs!$B$4</f>
        <v>9.6000000000000002E-2</v>
      </c>
      <c r="C54" s="8">
        <f>Inputs!$B$11*A54/Inputs!$B$4/1000</f>
        <v>16.512</v>
      </c>
      <c r="D54" s="8">
        <f>IF(A54=0,"N/A",Inputs!$B$4/A54)</f>
        <v>10.416666666666666</v>
      </c>
      <c r="E54" s="10">
        <f>(1-B54)*10^(-Inputs!$B$5)+B54*10^(-Inputs!$B$8)</f>
        <v>4.8399844328697373E-6</v>
      </c>
      <c r="F54" s="8">
        <f t="shared" si="4"/>
        <v>5.3151560352005554</v>
      </c>
      <c r="G54" s="6">
        <f>(1-B54)*Inputs!$B$6+B54*Inputs!$B$9</f>
        <v>2945.232</v>
      </c>
      <c r="H54" s="6">
        <f>(1-B54)*Inputs!$B$7+B54*Inputs!$B$10</f>
        <v>32038.640000000003</v>
      </c>
      <c r="I54" s="8">
        <f t="shared" si="5"/>
        <v>10.878137953139177</v>
      </c>
      <c r="J54" s="9" t="str">
        <f>IF(F54&lt;Inputs!$B$15,"YES","")</f>
        <v>YES</v>
      </c>
      <c r="K54" s="9" t="str">
        <f>IF(G54&lt;Inputs!$B$16,"YES","")</f>
        <v>YES</v>
      </c>
      <c r="L54" s="9" t="str">
        <f>IF(H54&gt;Inputs!$B$17,"YES","")</f>
        <v>YES</v>
      </c>
      <c r="M54" s="9" t="str">
        <f>IF(I54&gt;Inputs!$B$18,"YES","")</f>
        <v>YES</v>
      </c>
      <c r="N54" s="9" t="str">
        <f t="shared" si="6"/>
        <v>YES</v>
      </c>
      <c r="O54" s="8">
        <f>Inputs!$B$15</f>
        <v>7</v>
      </c>
      <c r="P54" s="6">
        <f>Inputs!$B$16</f>
        <v>3200</v>
      </c>
      <c r="Q54" s="6">
        <f>Inputs!$B$17</f>
        <v>2000</v>
      </c>
      <c r="R54" s="8">
        <f>Inputs!$B$18</f>
        <v>0.4</v>
      </c>
      <c r="S54" s="9" t="str">
        <f t="shared" si="7"/>
        <v>혼합만으로도 경보 가능</v>
      </c>
    </row>
    <row r="55" spans="1:19" x14ac:dyDescent="0.3">
      <c r="A55" s="6">
        <v>98</v>
      </c>
      <c r="B55" s="7">
        <f>A55/Inputs!$B$4</f>
        <v>9.8000000000000004E-2</v>
      </c>
      <c r="C55" s="8">
        <f>Inputs!$B$11*A55/Inputs!$B$4/1000</f>
        <v>16.856000000000002</v>
      </c>
      <c r="D55" s="8">
        <f>IF(A55=0,"N/A",Inputs!$B$4/A55)</f>
        <v>10.204081632653061</v>
      </c>
      <c r="E55" s="10">
        <f>(1-B55)*10^(-Inputs!$B$5)+B55*10^(-Inputs!$B$8)</f>
        <v>4.9401586340419877E-6</v>
      </c>
      <c r="F55" s="8">
        <f t="shared" si="4"/>
        <v>5.3062591051688761</v>
      </c>
      <c r="G55" s="6">
        <f>(1-B55)*Inputs!$B$6+B55*Inputs!$B$9</f>
        <v>2938.7159999999999</v>
      </c>
      <c r="H55" s="6">
        <f>(1-B55)*Inputs!$B$7+B55*Inputs!$B$10</f>
        <v>32678.82</v>
      </c>
      <c r="I55" s="8">
        <f t="shared" si="5"/>
        <v>11.120101432054</v>
      </c>
      <c r="J55" s="9" t="str">
        <f>IF(F55&lt;Inputs!$B$15,"YES","")</f>
        <v>YES</v>
      </c>
      <c r="K55" s="9" t="str">
        <f>IF(G55&lt;Inputs!$B$16,"YES","")</f>
        <v>YES</v>
      </c>
      <c r="L55" s="9" t="str">
        <f>IF(H55&gt;Inputs!$B$17,"YES","")</f>
        <v>YES</v>
      </c>
      <c r="M55" s="9" t="str">
        <f>IF(I55&gt;Inputs!$B$18,"YES","")</f>
        <v>YES</v>
      </c>
      <c r="N55" s="9" t="str">
        <f t="shared" si="6"/>
        <v>YES</v>
      </c>
      <c r="O55" s="8">
        <f>Inputs!$B$15</f>
        <v>7</v>
      </c>
      <c r="P55" s="6">
        <f>Inputs!$B$16</f>
        <v>3200</v>
      </c>
      <c r="Q55" s="6">
        <f>Inputs!$B$17</f>
        <v>2000</v>
      </c>
      <c r="R55" s="8">
        <f>Inputs!$B$18</f>
        <v>0.4</v>
      </c>
      <c r="S55" s="9" t="str">
        <f t="shared" si="7"/>
        <v>혼합만으로도 경보 가능</v>
      </c>
    </row>
    <row r="56" spans="1:19" x14ac:dyDescent="0.3">
      <c r="A56" s="6">
        <v>100</v>
      </c>
      <c r="B56" s="7">
        <f>A56/Inputs!$B$4</f>
        <v>0.1</v>
      </c>
      <c r="C56" s="8">
        <f>Inputs!$B$11*A56/Inputs!$B$4/1000</f>
        <v>17.2</v>
      </c>
      <c r="D56" s="8">
        <f>IF(A56=0,"N/A",Inputs!$B$4/A56)</f>
        <v>10</v>
      </c>
      <c r="E56" s="10">
        <f>(1-B56)*10^(-Inputs!$B$5)+B56*10^(-Inputs!$B$8)</f>
        <v>5.0403328352142397E-6</v>
      </c>
      <c r="F56" s="8">
        <f t="shared" si="4"/>
        <v>5.2975407842441102</v>
      </c>
      <c r="G56" s="6">
        <f>(1-B56)*Inputs!$B$6+B56*Inputs!$B$9</f>
        <v>2932.2000000000003</v>
      </c>
      <c r="H56" s="6">
        <f>(1-B56)*Inputs!$B$7+B56*Inputs!$B$10</f>
        <v>33319</v>
      </c>
      <c r="I56" s="8">
        <f t="shared" si="5"/>
        <v>11.363140304208443</v>
      </c>
      <c r="J56" s="9" t="str">
        <f>IF(F56&lt;Inputs!$B$15,"YES","")</f>
        <v>YES</v>
      </c>
      <c r="K56" s="9" t="str">
        <f>IF(G56&lt;Inputs!$B$16,"YES","")</f>
        <v>YES</v>
      </c>
      <c r="L56" s="9" t="str">
        <f>IF(H56&gt;Inputs!$B$17,"YES","")</f>
        <v>YES</v>
      </c>
      <c r="M56" s="9" t="str">
        <f>IF(I56&gt;Inputs!$B$18,"YES","")</f>
        <v>YES</v>
      </c>
      <c r="N56" s="9" t="str">
        <f t="shared" si="6"/>
        <v>YES</v>
      </c>
      <c r="O56" s="8">
        <f>Inputs!$B$15</f>
        <v>7</v>
      </c>
      <c r="P56" s="6">
        <f>Inputs!$B$16</f>
        <v>3200</v>
      </c>
      <c r="Q56" s="6">
        <f>Inputs!$B$17</f>
        <v>2000</v>
      </c>
      <c r="R56" s="8">
        <f>Inputs!$B$18</f>
        <v>0.4</v>
      </c>
      <c r="S56" s="9" t="str">
        <f t="shared" si="7"/>
        <v>혼합만으로도 경보 가능</v>
      </c>
    </row>
  </sheetData>
  <mergeCells count="2">
    <mergeCell ref="A1:S1"/>
    <mergeCell ref="B3:S3"/>
  </mergeCells>
  <phoneticPr fontId="6" type="noConversion"/>
  <conditionalFormatting sqref="N6:N56">
    <cfRule type="containsText" dxfId="4" priority="5" operator="containsText" text="YES">
      <formula>NOT(ISERROR(SEARCH("YES",N6)))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lessThan" id="{00000000-000E-0000-0100-000001000000}">
            <xm:f>Inputs!$B$15</xm:f>
            <x14:dxf>
              <fill>
                <patternFill>
                  <bgColor rgb="FFFFC7CE"/>
                </patternFill>
              </fill>
            </x14:dxf>
          </x14:cfRule>
          <xm:sqref>F6:F56</xm:sqref>
        </x14:conditionalFormatting>
        <x14:conditionalFormatting xmlns:xm="http://schemas.microsoft.com/office/excel/2006/main">
          <x14:cfRule type="cellIs" priority="2" operator="lessThan" id="{00000000-000E-0000-0100-000002000000}">
            <xm:f>Inputs!$B$16</xm:f>
            <x14:dxf>
              <fill>
                <patternFill>
                  <bgColor rgb="FFFFC7CE"/>
                </patternFill>
              </fill>
            </x14:dxf>
          </x14:cfRule>
          <xm:sqref>G6:G56</xm:sqref>
        </x14:conditionalFormatting>
        <x14:conditionalFormatting xmlns:xm="http://schemas.microsoft.com/office/excel/2006/main">
          <x14:cfRule type="cellIs" priority="3" operator="greaterThan" id="{00000000-000E-0000-0100-000003000000}">
            <xm:f>Inputs!$B$17</xm:f>
            <x14:dxf>
              <fill>
                <patternFill>
                  <bgColor rgb="FFFFC7CE"/>
                </patternFill>
              </fill>
            </x14:dxf>
          </x14:cfRule>
          <xm:sqref>H6:H56</xm:sqref>
        </x14:conditionalFormatting>
        <x14:conditionalFormatting xmlns:xm="http://schemas.microsoft.com/office/excel/2006/main">
          <x14:cfRule type="cellIs" priority="4" operator="greaterThan" id="{00000000-000E-0000-0100-000004000000}">
            <xm:f>Inputs!$B$18</xm:f>
            <x14:dxf>
              <fill>
                <patternFill>
                  <bgColor rgb="FFFFC7CE"/>
                </patternFill>
              </fill>
            </x14:dxf>
          </x14:cfRule>
          <xm:sqref>I6:I56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opLeftCell="A7" workbookViewId="0">
      <selection activeCell="A3" sqref="A3:F3"/>
    </sheetView>
  </sheetViews>
  <sheetFormatPr defaultRowHeight="16.5" x14ac:dyDescent="0.3"/>
  <sheetData>
    <row r="1" spans="1:6" ht="20.25" x14ac:dyDescent="0.3">
      <c r="A1" s="14" t="s">
        <v>56</v>
      </c>
      <c r="B1" s="14"/>
      <c r="C1" s="14"/>
      <c r="D1" s="14"/>
      <c r="E1" s="14"/>
      <c r="F1" s="14"/>
    </row>
    <row r="3" spans="1:6" x14ac:dyDescent="0.3">
      <c r="A3" s="11" t="s">
        <v>57</v>
      </c>
      <c r="B3" s="11"/>
      <c r="C3" s="11"/>
      <c r="D3" s="11"/>
      <c r="E3" s="11"/>
      <c r="F3" s="11"/>
    </row>
  </sheetData>
  <mergeCells count="2">
    <mergeCell ref="A1:F1"/>
    <mergeCell ref="A3:F3"/>
  </mergeCells>
  <phoneticPr fontId="6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E44D4CD2C67BB4E9EA8411F6990D3F6" ma:contentTypeVersion="18" ma:contentTypeDescription="새 문서를 만듭니다." ma:contentTypeScope="" ma:versionID="690dc5f1e914be514acc02cc71e27d18">
  <xsd:schema xmlns:xsd="http://www.w3.org/2001/XMLSchema" xmlns:xs="http://www.w3.org/2001/XMLSchema" xmlns:p="http://schemas.microsoft.com/office/2006/metadata/properties" xmlns:ns3="0265c212-695b-4ce8-801b-d8d1ee3daec8" xmlns:ns4="db1af4d0-db34-4c82-8520-5f9baa253c75" targetNamespace="http://schemas.microsoft.com/office/2006/metadata/properties" ma:root="true" ma:fieldsID="c5b55fa4f9b0fbb210874637b16d328b" ns3:_="" ns4:_="">
    <xsd:import namespace="0265c212-695b-4ce8-801b-d8d1ee3daec8"/>
    <xsd:import namespace="db1af4d0-db34-4c82-8520-5f9baa253c7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65c212-695b-4ce8-801b-d8d1ee3da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1af4d0-db34-4c82-8520-5f9baa253c75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4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265c212-695b-4ce8-801b-d8d1ee3daec8" xsi:nil="true"/>
  </documentManagement>
</p:properties>
</file>

<file path=customXml/itemProps1.xml><?xml version="1.0" encoding="utf-8"?>
<ds:datastoreItem xmlns:ds="http://schemas.openxmlformats.org/officeDocument/2006/customXml" ds:itemID="{6DCA4787-0306-4AD2-8A98-152AB68926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65c212-695b-4ce8-801b-d8d1ee3daec8"/>
    <ds:schemaRef ds:uri="db1af4d0-db34-4c82-8520-5f9baa253c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1AFD8C-9852-41EE-BB5A-B83D15DBCE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E686E1-9EC3-4FFD-A28D-953ED5DDC985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db1af4d0-db34-4c82-8520-5f9baa253c75"/>
    <ds:schemaRef ds:uri="0265c212-695b-4ce8-801b-d8d1ee3daec8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Inputs</vt:lpstr>
      <vt:lpstr>Simulation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kamdool3@postech.ac.kr</dc:creator>
  <cp:lastModifiedBy>박상혁(환경공학부)</cp:lastModifiedBy>
  <cp:lastPrinted>2026-03-16T02:13:21Z</cp:lastPrinted>
  <dcterms:created xsi:type="dcterms:W3CDTF">2026-03-09T21:30:44Z</dcterms:created>
  <dcterms:modified xsi:type="dcterms:W3CDTF">2026-05-21T13:26:34Z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0x0101006E44D4CD2C67BB4E9EA8411F6990D3F6</vt:lpwstr>
  </property>
</Properties>
</file>