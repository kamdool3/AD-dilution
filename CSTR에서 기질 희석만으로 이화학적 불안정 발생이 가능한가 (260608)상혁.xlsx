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ster\Desktop\"/>
    </mc:Choice>
  </mc:AlternateContent>
  <xr:revisionPtr revIDLastSave="0" documentId="13_ncr:1_{92757642-A25E-4B90-A59D-999DABD3A629}" xr6:coauthVersionLast="36" xr6:coauthVersionMax="36" xr10:uidLastSave="{00000000-0000-0000-0000-000000000000}"/>
  <bookViews>
    <workbookView xWindow="0" yWindow="0" windowWidth="17085" windowHeight="8730" activeTab="1" xr2:uid="{00000000-000D-0000-FFFF-FFFF00000000}"/>
  </bookViews>
  <sheets>
    <sheet name="입력값" sheetId="1" r:id="rId1"/>
    <sheet name="시뮬레이션" sheetId="2" r:id="rId2"/>
    <sheet name="차트데이터" sheetId="3" r:id="rId3"/>
    <sheet name="NOTE" sheetId="4" r:id="rId4"/>
  </sheets>
  <calcPr calcId="191029"/>
</workbook>
</file>

<file path=xl/calcChain.xml><?xml version="1.0" encoding="utf-8"?>
<calcChain xmlns="http://schemas.openxmlformats.org/spreadsheetml/2006/main">
  <c r="I6" i="2" l="1"/>
  <c r="G7" i="2"/>
  <c r="F7" i="2"/>
  <c r="E7" i="2"/>
  <c r="D7" i="2"/>
  <c r="B17" i="1" l="1"/>
  <c r="B22" i="1"/>
  <c r="B21" i="1"/>
  <c r="B20" i="1"/>
  <c r="B19" i="1"/>
  <c r="B18" i="1"/>
  <c r="A24" i="3" l="1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F26" i="2"/>
  <c r="G24" i="3" s="1"/>
  <c r="AE26" i="2"/>
  <c r="AD26" i="2"/>
  <c r="AC26" i="2"/>
  <c r="AB26" i="2"/>
  <c r="B26" i="2"/>
  <c r="F26" i="2" s="1"/>
  <c r="F24" i="3" s="1"/>
  <c r="AF25" i="2"/>
  <c r="G23" i="3" s="1"/>
  <c r="AE25" i="2"/>
  <c r="AD25" i="2"/>
  <c r="AC25" i="2"/>
  <c r="AB25" i="2"/>
  <c r="B25" i="2"/>
  <c r="C25" i="2" s="1"/>
  <c r="AF24" i="2"/>
  <c r="G22" i="3" s="1"/>
  <c r="AE24" i="2"/>
  <c r="AD24" i="2"/>
  <c r="AC24" i="2"/>
  <c r="AB24" i="2"/>
  <c r="B24" i="2"/>
  <c r="F24" i="2" s="1"/>
  <c r="F22" i="3" s="1"/>
  <c r="AF23" i="2"/>
  <c r="G21" i="3" s="1"/>
  <c r="AE23" i="2"/>
  <c r="AD23" i="2"/>
  <c r="AC23" i="2"/>
  <c r="AB23" i="2"/>
  <c r="B23" i="2"/>
  <c r="AF22" i="2"/>
  <c r="G20" i="3" s="1"/>
  <c r="AE22" i="2"/>
  <c r="AD22" i="2"/>
  <c r="AC22" i="2"/>
  <c r="AB22" i="2"/>
  <c r="B22" i="2"/>
  <c r="F22" i="2" s="1"/>
  <c r="F20" i="3" s="1"/>
  <c r="AF21" i="2"/>
  <c r="G19" i="3" s="1"/>
  <c r="AE21" i="2"/>
  <c r="AD21" i="2"/>
  <c r="AC21" i="2"/>
  <c r="AB21" i="2"/>
  <c r="B21" i="2"/>
  <c r="AF20" i="2"/>
  <c r="G18" i="3" s="1"/>
  <c r="AE20" i="2"/>
  <c r="AD20" i="2"/>
  <c r="AC20" i="2"/>
  <c r="AB20" i="2"/>
  <c r="B20" i="2"/>
  <c r="AF19" i="2"/>
  <c r="G17" i="3" s="1"/>
  <c r="AE19" i="2"/>
  <c r="AD19" i="2"/>
  <c r="AC19" i="2"/>
  <c r="AB19" i="2"/>
  <c r="B19" i="2"/>
  <c r="F19" i="2" s="1"/>
  <c r="F17" i="3" s="1"/>
  <c r="AF18" i="2"/>
  <c r="G16" i="3" s="1"/>
  <c r="AE18" i="2"/>
  <c r="AD18" i="2"/>
  <c r="AC18" i="2"/>
  <c r="AB18" i="2"/>
  <c r="B18" i="2"/>
  <c r="F18" i="2" s="1"/>
  <c r="F16" i="3" s="1"/>
  <c r="AF17" i="2"/>
  <c r="G15" i="3" s="1"/>
  <c r="AE17" i="2"/>
  <c r="AD17" i="2"/>
  <c r="AC17" i="2"/>
  <c r="AB17" i="2"/>
  <c r="B17" i="2"/>
  <c r="F17" i="2" s="1"/>
  <c r="F15" i="3" s="1"/>
  <c r="AF16" i="2"/>
  <c r="G14" i="3" s="1"/>
  <c r="AE16" i="2"/>
  <c r="AD16" i="2"/>
  <c r="AC16" i="2"/>
  <c r="AB16" i="2"/>
  <c r="B16" i="2"/>
  <c r="F16" i="2" s="1"/>
  <c r="F14" i="3" s="1"/>
  <c r="AF15" i="2"/>
  <c r="G13" i="3" s="1"/>
  <c r="AE15" i="2"/>
  <c r="AD15" i="2"/>
  <c r="AC15" i="2"/>
  <c r="AB15" i="2"/>
  <c r="B15" i="2"/>
  <c r="F15" i="2" s="1"/>
  <c r="F13" i="3" s="1"/>
  <c r="AF14" i="2"/>
  <c r="G12" i="3" s="1"/>
  <c r="AE14" i="2"/>
  <c r="AD14" i="2"/>
  <c r="AC14" i="2"/>
  <c r="AB14" i="2"/>
  <c r="B14" i="2"/>
  <c r="F14" i="2" s="1"/>
  <c r="F12" i="3" s="1"/>
  <c r="AF13" i="2"/>
  <c r="G11" i="3" s="1"/>
  <c r="AE13" i="2"/>
  <c r="AD13" i="2"/>
  <c r="AC13" i="2"/>
  <c r="AB13" i="2"/>
  <c r="B13" i="2"/>
  <c r="AF12" i="2"/>
  <c r="G10" i="3" s="1"/>
  <c r="AE12" i="2"/>
  <c r="AD12" i="2"/>
  <c r="AC12" i="2"/>
  <c r="AB12" i="2"/>
  <c r="B12" i="2"/>
  <c r="F12" i="2" s="1"/>
  <c r="F10" i="3" s="1"/>
  <c r="AF11" i="2"/>
  <c r="G9" i="3" s="1"/>
  <c r="AE11" i="2"/>
  <c r="AD11" i="2"/>
  <c r="AC11" i="2"/>
  <c r="AB11" i="2"/>
  <c r="B11" i="2"/>
  <c r="F11" i="2" s="1"/>
  <c r="F9" i="3" s="1"/>
  <c r="AF10" i="2"/>
  <c r="G8" i="3" s="1"/>
  <c r="AE10" i="2"/>
  <c r="AD10" i="2"/>
  <c r="AC10" i="2"/>
  <c r="AB10" i="2"/>
  <c r="B10" i="2"/>
  <c r="F10" i="2" s="1"/>
  <c r="F8" i="3" s="1"/>
  <c r="AF9" i="2"/>
  <c r="G7" i="3" s="1"/>
  <c r="AE9" i="2"/>
  <c r="AD9" i="2"/>
  <c r="AC9" i="2"/>
  <c r="AB9" i="2"/>
  <c r="B9" i="2"/>
  <c r="F9" i="2" s="1"/>
  <c r="F7" i="3" s="1"/>
  <c r="AF8" i="2"/>
  <c r="G6" i="3" s="1"/>
  <c r="AE8" i="2"/>
  <c r="AD8" i="2"/>
  <c r="AC8" i="2"/>
  <c r="AB8" i="2"/>
  <c r="B8" i="2"/>
  <c r="F8" i="2" s="1"/>
  <c r="F6" i="3" s="1"/>
  <c r="AF7" i="2"/>
  <c r="G5" i="3" s="1"/>
  <c r="AE7" i="2"/>
  <c r="AD7" i="2"/>
  <c r="AC7" i="2"/>
  <c r="AB7" i="2"/>
  <c r="B7" i="2"/>
  <c r="F5" i="3" s="1"/>
  <c r="AF6" i="2"/>
  <c r="G4" i="3" s="1"/>
  <c r="AE6" i="2"/>
  <c r="AD6" i="2"/>
  <c r="AC6" i="2"/>
  <c r="AB6" i="2"/>
  <c r="B6" i="2"/>
  <c r="F6" i="2" s="1"/>
  <c r="F4" i="3" s="1"/>
  <c r="C15" i="2" l="1"/>
  <c r="J15" i="2" s="1"/>
  <c r="D25" i="2"/>
  <c r="G25" i="2"/>
  <c r="E23" i="3" s="1"/>
  <c r="J25" i="2"/>
  <c r="E25" i="2"/>
  <c r="I25" i="2"/>
  <c r="C23" i="2"/>
  <c r="I23" i="2" s="1"/>
  <c r="F23" i="2"/>
  <c r="F21" i="3" s="1"/>
  <c r="H23" i="2"/>
  <c r="H25" i="2"/>
  <c r="C7" i="2"/>
  <c r="E5" i="3" s="1"/>
  <c r="F25" i="2"/>
  <c r="F23" i="3" s="1"/>
  <c r="C22" i="2"/>
  <c r="H22" i="2" s="1"/>
  <c r="I22" i="2"/>
  <c r="C14" i="2"/>
  <c r="I14" i="2" s="1"/>
  <c r="F21" i="2"/>
  <c r="F19" i="3" s="1"/>
  <c r="F13" i="2"/>
  <c r="F11" i="3" s="1"/>
  <c r="C21" i="2"/>
  <c r="H21" i="2" s="1"/>
  <c r="C13" i="2"/>
  <c r="H13" i="2" s="1"/>
  <c r="C20" i="2"/>
  <c r="C11" i="2"/>
  <c r="Q11" i="2" s="1"/>
  <c r="C6" i="2"/>
  <c r="H6" i="2" s="1"/>
  <c r="M25" i="2"/>
  <c r="W25" i="2" s="1"/>
  <c r="C12" i="2"/>
  <c r="F20" i="2"/>
  <c r="F18" i="3" s="1"/>
  <c r="C19" i="2"/>
  <c r="Q19" i="2" s="1"/>
  <c r="H19" i="2"/>
  <c r="P25" i="2"/>
  <c r="C9" i="2"/>
  <c r="Q9" i="2" s="1"/>
  <c r="C17" i="2"/>
  <c r="Q25" i="2"/>
  <c r="C10" i="2"/>
  <c r="H10" i="2" s="1"/>
  <c r="Q10" i="2"/>
  <c r="C18" i="2"/>
  <c r="H18" i="2" s="1"/>
  <c r="C26" i="2"/>
  <c r="C8" i="2"/>
  <c r="Q8" i="2" s="1"/>
  <c r="C16" i="2"/>
  <c r="C24" i="2"/>
  <c r="I19" i="2" l="1"/>
  <c r="R25" i="2"/>
  <c r="J19" i="2"/>
  <c r="P15" i="2"/>
  <c r="G15" i="2"/>
  <c r="E13" i="3" s="1"/>
  <c r="Q15" i="2"/>
  <c r="I15" i="2"/>
  <c r="H11" i="2"/>
  <c r="D15" i="2"/>
  <c r="E15" i="2"/>
  <c r="K15" i="2" s="1"/>
  <c r="L15" i="2" s="1"/>
  <c r="H15" i="2"/>
  <c r="I11" i="2"/>
  <c r="J11" i="2"/>
  <c r="E23" i="2"/>
  <c r="T23" i="2" s="1"/>
  <c r="G23" i="2"/>
  <c r="E21" i="3" s="1"/>
  <c r="Q18" i="2"/>
  <c r="J23" i="2"/>
  <c r="Q22" i="2"/>
  <c r="J22" i="2"/>
  <c r="P22" i="2"/>
  <c r="R22" i="2" s="1"/>
  <c r="P7" i="2"/>
  <c r="P23" i="2"/>
  <c r="Q6" i="2"/>
  <c r="N25" i="2"/>
  <c r="X25" i="2" s="1"/>
  <c r="S25" i="2"/>
  <c r="T25" i="2"/>
  <c r="P6" i="2"/>
  <c r="P14" i="2"/>
  <c r="K7" i="2"/>
  <c r="L7" i="2" s="1"/>
  <c r="Q23" i="2"/>
  <c r="K25" i="2"/>
  <c r="L25" i="2" s="1"/>
  <c r="V25" i="2" s="1"/>
  <c r="H14" i="2"/>
  <c r="I7" i="2"/>
  <c r="Q7" i="2"/>
  <c r="D23" i="2"/>
  <c r="J14" i="2"/>
  <c r="J7" i="2"/>
  <c r="H7" i="2"/>
  <c r="E12" i="2"/>
  <c r="P12" i="2"/>
  <c r="G12" i="2"/>
  <c r="E10" i="3" s="1"/>
  <c r="D12" i="2"/>
  <c r="Q12" i="2"/>
  <c r="P18" i="2"/>
  <c r="G16" i="2"/>
  <c r="E14" i="3" s="1"/>
  <c r="J16" i="2"/>
  <c r="I16" i="2"/>
  <c r="H16" i="2"/>
  <c r="E16" i="2"/>
  <c r="D16" i="2"/>
  <c r="Q21" i="2"/>
  <c r="H9" i="2"/>
  <c r="D9" i="2"/>
  <c r="E9" i="2"/>
  <c r="J9" i="2"/>
  <c r="I9" i="2"/>
  <c r="G9" i="2"/>
  <c r="E7" i="3" s="1"/>
  <c r="G24" i="2"/>
  <c r="E22" i="3" s="1"/>
  <c r="J24" i="2"/>
  <c r="D24" i="2"/>
  <c r="I24" i="2"/>
  <c r="E24" i="2"/>
  <c r="H24" i="2"/>
  <c r="Q24" i="2"/>
  <c r="P9" i="2"/>
  <c r="R9" i="2" s="1"/>
  <c r="I12" i="2"/>
  <c r="J21" i="2"/>
  <c r="P13" i="2"/>
  <c r="G6" i="2"/>
  <c r="E4" i="3" s="1"/>
  <c r="E6" i="2"/>
  <c r="D6" i="2"/>
  <c r="J12" i="2"/>
  <c r="G14" i="2"/>
  <c r="E12" i="3" s="1"/>
  <c r="E14" i="2"/>
  <c r="D14" i="2"/>
  <c r="P16" i="2"/>
  <c r="G26" i="2"/>
  <c r="E24" i="3" s="1"/>
  <c r="D26" i="2"/>
  <c r="J26" i="2"/>
  <c r="E26" i="2"/>
  <c r="I26" i="2"/>
  <c r="P10" i="2"/>
  <c r="R10" i="2" s="1"/>
  <c r="P21" i="2"/>
  <c r="I21" i="2"/>
  <c r="E20" i="2"/>
  <c r="D20" i="2"/>
  <c r="G20" i="2"/>
  <c r="E18" i="3" s="1"/>
  <c r="Q20" i="2"/>
  <c r="P20" i="2"/>
  <c r="G22" i="2"/>
  <c r="E20" i="3" s="1"/>
  <c r="E22" i="2"/>
  <c r="D22" i="2"/>
  <c r="E13" i="2"/>
  <c r="G13" i="2"/>
  <c r="E11" i="3" s="1"/>
  <c r="D13" i="2"/>
  <c r="Q13" i="2"/>
  <c r="J13" i="2"/>
  <c r="G8" i="2"/>
  <c r="E6" i="3" s="1"/>
  <c r="E8" i="2"/>
  <c r="D8" i="2"/>
  <c r="H8" i="2"/>
  <c r="I8" i="2"/>
  <c r="J8" i="2"/>
  <c r="P8" i="2"/>
  <c r="R8" i="2" s="1"/>
  <c r="J6" i="2"/>
  <c r="E21" i="2"/>
  <c r="D21" i="2"/>
  <c r="G21" i="2"/>
  <c r="E19" i="3" s="1"/>
  <c r="D10" i="2"/>
  <c r="J10" i="2"/>
  <c r="G10" i="2"/>
  <c r="E8" i="3" s="1"/>
  <c r="E10" i="2"/>
  <c r="P26" i="2"/>
  <c r="H17" i="2"/>
  <c r="D17" i="2"/>
  <c r="E17" i="2"/>
  <c r="I17" i="2"/>
  <c r="J17" i="2"/>
  <c r="G17" i="2"/>
  <c r="E15" i="3" s="1"/>
  <c r="I10" i="2"/>
  <c r="P17" i="2"/>
  <c r="Q16" i="2"/>
  <c r="H26" i="2"/>
  <c r="H20" i="2"/>
  <c r="R15" i="2"/>
  <c r="H12" i="2"/>
  <c r="P24" i="2"/>
  <c r="D19" i="2"/>
  <c r="G19" i="2"/>
  <c r="E17" i="3" s="1"/>
  <c r="E19" i="2"/>
  <c r="P19" i="2"/>
  <c r="R19" i="2" s="1"/>
  <c r="Q17" i="2"/>
  <c r="I20" i="2"/>
  <c r="D18" i="2"/>
  <c r="J18" i="2"/>
  <c r="G18" i="2"/>
  <c r="E16" i="3" s="1"/>
  <c r="E18" i="2"/>
  <c r="D11" i="2"/>
  <c r="G11" i="2"/>
  <c r="E9" i="3" s="1"/>
  <c r="E11" i="2"/>
  <c r="P11" i="2"/>
  <c r="R11" i="2" s="1"/>
  <c r="I18" i="2"/>
  <c r="I13" i="2"/>
  <c r="Q26" i="2"/>
  <c r="Q14" i="2"/>
  <c r="J20" i="2"/>
  <c r="R18" i="2" l="1"/>
  <c r="S15" i="2"/>
  <c r="M15" i="2"/>
  <c r="W15" i="2" s="1"/>
  <c r="R7" i="2"/>
  <c r="N15" i="2"/>
  <c r="X15" i="2" s="1"/>
  <c r="R23" i="2"/>
  <c r="T15" i="2"/>
  <c r="R13" i="2"/>
  <c r="S23" i="2"/>
  <c r="K23" i="2"/>
  <c r="L23" i="2" s="1"/>
  <c r="B21" i="3" s="1"/>
  <c r="N23" i="2"/>
  <c r="M23" i="2"/>
  <c r="W23" i="2" s="1"/>
  <c r="O25" i="2"/>
  <c r="Y25" i="2" s="1"/>
  <c r="R17" i="2"/>
  <c r="B23" i="3"/>
  <c r="N7" i="2"/>
  <c r="X7" i="2" s="1"/>
  <c r="U25" i="2"/>
  <c r="M7" i="2"/>
  <c r="W7" i="2" s="1"/>
  <c r="S7" i="2"/>
  <c r="T7" i="2"/>
  <c r="R6" i="2"/>
  <c r="R14" i="2"/>
  <c r="R12" i="2"/>
  <c r="O15" i="2"/>
  <c r="T13" i="2"/>
  <c r="S13" i="2"/>
  <c r="N13" i="2"/>
  <c r="K13" i="2"/>
  <c r="L13" i="2" s="1"/>
  <c r="M13" i="2"/>
  <c r="W13" i="2" s="1"/>
  <c r="N22" i="2"/>
  <c r="K22" i="2"/>
  <c r="L22" i="2" s="1"/>
  <c r="T22" i="2"/>
  <c r="S22" i="2"/>
  <c r="M22" i="2"/>
  <c r="W22" i="2" s="1"/>
  <c r="T16" i="2"/>
  <c r="M16" i="2"/>
  <c r="W16" i="2" s="1"/>
  <c r="K16" i="2"/>
  <c r="L16" i="2" s="1"/>
  <c r="N16" i="2"/>
  <c r="S16" i="2"/>
  <c r="M10" i="2"/>
  <c r="W10" i="2" s="1"/>
  <c r="S10" i="2"/>
  <c r="T10" i="2"/>
  <c r="N10" i="2"/>
  <c r="K10" i="2"/>
  <c r="L10" i="2" s="1"/>
  <c r="N11" i="2"/>
  <c r="T11" i="2"/>
  <c r="M11" i="2"/>
  <c r="W11" i="2" s="1"/>
  <c r="K11" i="2"/>
  <c r="L11" i="2" s="1"/>
  <c r="S11" i="2"/>
  <c r="M17" i="2"/>
  <c r="W17" i="2" s="1"/>
  <c r="K17" i="2"/>
  <c r="L17" i="2" s="1"/>
  <c r="T17" i="2"/>
  <c r="S17" i="2"/>
  <c r="N17" i="2"/>
  <c r="N19" i="2"/>
  <c r="S19" i="2"/>
  <c r="M19" i="2"/>
  <c r="W19" i="2" s="1"/>
  <c r="K19" i="2"/>
  <c r="L19" i="2" s="1"/>
  <c r="T19" i="2"/>
  <c r="U19" i="2" s="1"/>
  <c r="M26" i="2"/>
  <c r="W26" i="2" s="1"/>
  <c r="K26" i="2"/>
  <c r="L26" i="2" s="1"/>
  <c r="S26" i="2"/>
  <c r="N26" i="2"/>
  <c r="T26" i="2"/>
  <c r="U26" i="2" s="1"/>
  <c r="K6" i="2"/>
  <c r="L6" i="2" s="1"/>
  <c r="T6" i="2"/>
  <c r="S6" i="2"/>
  <c r="N6" i="2"/>
  <c r="M6" i="2"/>
  <c r="W6" i="2" s="1"/>
  <c r="U15" i="2"/>
  <c r="R21" i="2"/>
  <c r="V7" i="2"/>
  <c r="B5" i="3"/>
  <c r="R24" i="2"/>
  <c r="R26" i="2"/>
  <c r="N20" i="2"/>
  <c r="S20" i="2"/>
  <c r="M20" i="2"/>
  <c r="W20" i="2" s="1"/>
  <c r="T20" i="2"/>
  <c r="K20" i="2"/>
  <c r="L20" i="2" s="1"/>
  <c r="M18" i="2"/>
  <c r="W18" i="2" s="1"/>
  <c r="K18" i="2"/>
  <c r="L18" i="2" s="1"/>
  <c r="S18" i="2"/>
  <c r="T18" i="2"/>
  <c r="N18" i="2"/>
  <c r="U23" i="2"/>
  <c r="R20" i="2"/>
  <c r="O23" i="2"/>
  <c r="X23" i="2"/>
  <c r="T8" i="2"/>
  <c r="M8" i="2"/>
  <c r="W8" i="2" s="1"/>
  <c r="K8" i="2"/>
  <c r="L8" i="2" s="1"/>
  <c r="N8" i="2"/>
  <c r="S8" i="2"/>
  <c r="V23" i="2"/>
  <c r="T24" i="2"/>
  <c r="M24" i="2"/>
  <c r="W24" i="2" s="1"/>
  <c r="K24" i="2"/>
  <c r="L24" i="2" s="1"/>
  <c r="N24" i="2"/>
  <c r="S24" i="2"/>
  <c r="N12" i="2"/>
  <c r="S12" i="2"/>
  <c r="K12" i="2"/>
  <c r="L12" i="2" s="1"/>
  <c r="T12" i="2"/>
  <c r="M12" i="2"/>
  <c r="W12" i="2" s="1"/>
  <c r="V15" i="2"/>
  <c r="B13" i="3"/>
  <c r="M9" i="2"/>
  <c r="W9" i="2" s="1"/>
  <c r="K9" i="2"/>
  <c r="L9" i="2" s="1"/>
  <c r="S9" i="2"/>
  <c r="T9" i="2"/>
  <c r="N9" i="2"/>
  <c r="N14" i="2"/>
  <c r="K14" i="2"/>
  <c r="L14" i="2" s="1"/>
  <c r="T14" i="2"/>
  <c r="S14" i="2"/>
  <c r="M14" i="2"/>
  <c r="W14" i="2" s="1"/>
  <c r="T21" i="2"/>
  <c r="S21" i="2"/>
  <c r="N21" i="2"/>
  <c r="M21" i="2"/>
  <c r="W21" i="2" s="1"/>
  <c r="K21" i="2"/>
  <c r="L21" i="2" s="1"/>
  <c r="R16" i="2"/>
  <c r="O7" i="2" l="1"/>
  <c r="U9" i="2"/>
  <c r="U10" i="2"/>
  <c r="U7" i="2"/>
  <c r="Z7" i="2" s="1"/>
  <c r="U12" i="2"/>
  <c r="C23" i="3"/>
  <c r="U20" i="2"/>
  <c r="F5" i="1"/>
  <c r="U11" i="2"/>
  <c r="Z11" i="2" s="1"/>
  <c r="U8" i="2"/>
  <c r="U14" i="2"/>
  <c r="D23" i="3"/>
  <c r="Z25" i="2"/>
  <c r="AA25" i="2" s="1"/>
  <c r="AG25" i="2" s="1"/>
  <c r="U18" i="2"/>
  <c r="X11" i="2"/>
  <c r="O11" i="2"/>
  <c r="D24" i="3"/>
  <c r="Z26" i="2"/>
  <c r="B6" i="3"/>
  <c r="V8" i="2"/>
  <c r="Z10" i="2"/>
  <c r="D8" i="3"/>
  <c r="X18" i="2"/>
  <c r="O18" i="2"/>
  <c r="O16" i="2"/>
  <c r="X16" i="2"/>
  <c r="U22" i="2"/>
  <c r="B17" i="3"/>
  <c r="V19" i="2"/>
  <c r="X12" i="2"/>
  <c r="O12" i="2"/>
  <c r="V21" i="2"/>
  <c r="B19" i="3"/>
  <c r="O24" i="2"/>
  <c r="X24" i="2"/>
  <c r="U17" i="2"/>
  <c r="B11" i="3"/>
  <c r="V13" i="2"/>
  <c r="D13" i="3"/>
  <c r="Z15" i="2"/>
  <c r="Z8" i="2"/>
  <c r="D6" i="3"/>
  <c r="X10" i="2"/>
  <c r="O10" i="2"/>
  <c r="U16" i="2"/>
  <c r="V20" i="2"/>
  <c r="B18" i="3"/>
  <c r="O22" i="2"/>
  <c r="X22" i="2"/>
  <c r="U24" i="2"/>
  <c r="B15" i="3"/>
  <c r="V17" i="2"/>
  <c r="O13" i="2"/>
  <c r="X13" i="2"/>
  <c r="V14" i="2"/>
  <c r="B12" i="3"/>
  <c r="O14" i="2"/>
  <c r="X14" i="2"/>
  <c r="X9" i="2"/>
  <c r="O9" i="2"/>
  <c r="D7" i="3"/>
  <c r="Z9" i="2"/>
  <c r="X26" i="2"/>
  <c r="O26" i="2"/>
  <c r="Z18" i="2"/>
  <c r="D16" i="3"/>
  <c r="Z12" i="2"/>
  <c r="D10" i="3"/>
  <c r="Z20" i="2"/>
  <c r="D18" i="3"/>
  <c r="O21" i="2"/>
  <c r="X21" i="2"/>
  <c r="O6" i="2"/>
  <c r="X6" i="2"/>
  <c r="B4" i="3"/>
  <c r="V6" i="2"/>
  <c r="B24" i="3"/>
  <c r="V26" i="2"/>
  <c r="V12" i="2"/>
  <c r="B10" i="3"/>
  <c r="X19" i="2"/>
  <c r="O19" i="2"/>
  <c r="U13" i="2"/>
  <c r="Z14" i="2"/>
  <c r="D12" i="3"/>
  <c r="B8" i="3"/>
  <c r="V10" i="2"/>
  <c r="U6" i="2"/>
  <c r="D17" i="3"/>
  <c r="Z19" i="2"/>
  <c r="B20" i="3"/>
  <c r="V22" i="2"/>
  <c r="B22" i="3"/>
  <c r="V24" i="2"/>
  <c r="D5" i="3"/>
  <c r="B9" i="3"/>
  <c r="V11" i="2"/>
  <c r="C21" i="3"/>
  <c r="Y23" i="2"/>
  <c r="B7" i="3"/>
  <c r="V9" i="2"/>
  <c r="D21" i="3"/>
  <c r="Z23" i="2"/>
  <c r="B14" i="3"/>
  <c r="V16" i="2"/>
  <c r="V18" i="2"/>
  <c r="B16" i="3"/>
  <c r="X17" i="2"/>
  <c r="O17" i="2"/>
  <c r="X20" i="2"/>
  <c r="O20" i="2"/>
  <c r="U21" i="2"/>
  <c r="C5" i="3"/>
  <c r="Y7" i="2"/>
  <c r="X8" i="2"/>
  <c r="O8" i="2"/>
  <c r="C13" i="3"/>
  <c r="Y15" i="2"/>
  <c r="D9" i="3" l="1"/>
  <c r="AA23" i="2"/>
  <c r="AG23" i="2" s="1"/>
  <c r="AA7" i="2"/>
  <c r="AG7" i="2" s="1"/>
  <c r="F6" i="1"/>
  <c r="AA15" i="2"/>
  <c r="C4" i="3"/>
  <c r="Y6" i="2"/>
  <c r="F7" i="1" s="1"/>
  <c r="C6" i="3"/>
  <c r="Y8" i="2"/>
  <c r="AA8" i="2" s="1"/>
  <c r="D22" i="3"/>
  <c r="Z24" i="2"/>
  <c r="C20" i="3"/>
  <c r="Y22" i="2"/>
  <c r="Z21" i="2"/>
  <c r="D19" i="3"/>
  <c r="Z16" i="2"/>
  <c r="D14" i="3"/>
  <c r="D4" i="3"/>
  <c r="Z6" i="2"/>
  <c r="C17" i="3"/>
  <c r="Y19" i="2"/>
  <c r="AA19" i="2" s="1"/>
  <c r="C22" i="3"/>
  <c r="Y24" i="2"/>
  <c r="AA24" i="2" s="1"/>
  <c r="D20" i="3"/>
  <c r="Z22" i="2"/>
  <c r="Y12" i="2"/>
  <c r="AA12" i="2" s="1"/>
  <c r="C10" i="3"/>
  <c r="C7" i="3"/>
  <c r="Y9" i="2"/>
  <c r="F4" i="1"/>
  <c r="Y18" i="2"/>
  <c r="AA18" i="2" s="1"/>
  <c r="C16" i="3"/>
  <c r="C24" i="3"/>
  <c r="Y26" i="2"/>
  <c r="AA26" i="2" s="1"/>
  <c r="AA9" i="2"/>
  <c r="AA14" i="2"/>
  <c r="Y21" i="2"/>
  <c r="AA21" i="2" s="1"/>
  <c r="C19" i="3"/>
  <c r="Y10" i="2"/>
  <c r="AA10" i="2" s="1"/>
  <c r="C8" i="3"/>
  <c r="Z17" i="2"/>
  <c r="D15" i="3"/>
  <c r="C11" i="3"/>
  <c r="Y13" i="2"/>
  <c r="AA13" i="2" s="1"/>
  <c r="C14" i="3"/>
  <c r="Y16" i="2"/>
  <c r="C15" i="3"/>
  <c r="Y17" i="2"/>
  <c r="D11" i="3"/>
  <c r="Z13" i="2"/>
  <c r="Y11" i="2"/>
  <c r="AA11" i="2" s="1"/>
  <c r="C9" i="3"/>
  <c r="Y14" i="2"/>
  <c r="C12" i="3"/>
  <c r="Y20" i="2"/>
  <c r="AA20" i="2" s="1"/>
  <c r="C18" i="3"/>
  <c r="AA22" i="2" l="1"/>
  <c r="AG22" i="2" s="1"/>
  <c r="AG15" i="2"/>
  <c r="F9" i="1"/>
  <c r="AA6" i="2"/>
  <c r="AA17" i="2"/>
  <c r="AA16" i="2"/>
  <c r="AG16" i="2" s="1"/>
  <c r="AG10" i="2"/>
  <c r="AG26" i="2"/>
  <c r="AG8" i="2"/>
  <c r="AG24" i="2"/>
  <c r="AG11" i="2"/>
  <c r="AG21" i="2"/>
  <c r="AG12" i="2"/>
  <c r="AG13" i="2"/>
  <c r="AG19" i="2"/>
  <c r="AG14" i="2"/>
  <c r="AG20" i="2"/>
  <c r="AG18" i="2"/>
  <c r="AG9" i="2"/>
  <c r="F8" i="1" l="1"/>
  <c r="AG6" i="2"/>
  <c r="AG17" i="2"/>
</calcChain>
</file>

<file path=xl/sharedStrings.xml><?xml version="1.0" encoding="utf-8"?>
<sst xmlns="http://schemas.openxmlformats.org/spreadsheetml/2006/main" count="126" uniqueCount="112">
  <si>
    <t>혐기소화조 CSTR 혼합-오경보 계산모델: 하수슬러지 108 mL/d + 음식물류폐수 0–40 mL/d</t>
  </si>
  <si>
    <t>입력 변수</t>
  </si>
  <si>
    <t>요약</t>
  </si>
  <si>
    <t>반응조 유효부피</t>
  </si>
  <si>
    <t>mL</t>
  </si>
  <si>
    <t>pH 첫 경보 음식물류폐수 유입량 (mL/d)</t>
  </si>
  <si>
    <t>mg/L as HAc, 실측값 입력</t>
  </si>
  <si>
    <t>초기 반응조 pH</t>
  </si>
  <si>
    <t>-</t>
  </si>
  <si>
    <t>Alk 첫 경보 음식물류폐수 유입량 (mL/d)</t>
  </si>
  <si>
    <t>mg/L as HPr, 실측값 입력</t>
  </si>
  <si>
    <t>초기 반응조 Alk</t>
  </si>
  <si>
    <t>mg/L as CaCO3</t>
  </si>
  <si>
    <t>VFA 첫 경보 음식물류폐수 유입량 (mL/d)</t>
  </si>
  <si>
    <t>초기 반응조 VFA</t>
  </si>
  <si>
    <t>mg/L as HAc</t>
  </si>
  <si>
    <t>VFA/Alk 첫 경보 음식물류폐수 유입량 (mL/d)</t>
  </si>
  <si>
    <t>하수슬러지 유입량</t>
  </si>
  <si>
    <t>mL/d</t>
  </si>
  <si>
    <t>종합 오경보 첫 발생 음식물류폐수 유입량 (mL/d)</t>
  </si>
  <si>
    <t>하수슬러지 pH</t>
  </si>
  <si>
    <t>HPr/HAc 첫 경보 음식물류폐수 유입량 (mL/d)</t>
  </si>
  <si>
    <t>하수슬러지 Alk</t>
  </si>
  <si>
    <t>핵심 해석</t>
  </si>
  <si>
    <t>하수슬러지 VFA</t>
  </si>
  <si>
    <t>하수슬러지 108 mL/d가 항상 유입되는 조건에서, 음식물류폐수 0–40 mL/d 증량 시 총 유입량과 혼합 유입수 조성을 함께 반영합니다.</t>
  </si>
  <si>
    <t>HPr/HAc 경보 기준</t>
  </si>
  <si>
    <t>HPr/HAc ≥ 기준값</t>
  </si>
  <si>
    <t>하수슬러지 COD</t>
  </si>
  <si>
    <t>mg/L, 실제값 입력 필요</t>
  </si>
  <si>
    <t>음식물류폐수 pH</t>
  </si>
  <si>
    <t>음식물류폐수 Alk</t>
  </si>
  <si>
    <t>음식물류폐수 VFA</t>
  </si>
  <si>
    <t>음식물류폐수 COD</t>
  </si>
  <si>
    <t>mg/L</t>
  </si>
  <si>
    <t>예시 경보선 (현장별 조정)</t>
  </si>
  <si>
    <t>pH 하한</t>
  </si>
  <si>
    <t>Alk 하한</t>
  </si>
  <si>
    <t>VFA 상한</t>
  </si>
  <si>
    <t>VFA/Alk 상한</t>
  </si>
  <si>
    <t>해석 메모</t>
  </si>
  <si>
    <t>• 미생물 반응은 0으로 두고, CSTR에서 유입·잔류액이 완전혼합되는 경우만 계산합니다.</t>
  </si>
  <si>
    <t>• 계산은 ① 하수슬러지+음식물류폐수의 혼합 유입수 조성, ② 기존 반응조 액과 1일 유입량의 완전혼합 후 지표로 구성됩니다.</t>
  </si>
  <si>
    <t>• 하수슬러지 pH/Alk/VFA 기본값은 초기 반응조와 같게 두었습니다. 실제 하수슬러지 유입수 측정값이 있으면 B9–B12를 교체하세요.</t>
  </si>
  <si>
    <t>• 하수슬러지 COD는 기존 파일에 없어서 0으로 두었습니다. 실제값을 입력하면 OLR이 자동 갱신됩니다.</t>
  </si>
  <si>
    <t>• pH는 H+ 농도 기반 혼합식입니다. 실제 현장은 탄산염 완충, 해리평형, 생물반응 때문에 차이가 날 수 있습니다.</t>
  </si>
  <si>
    <t>• B열의 파란색 셀은 사용자가 바꿀 수 있는 입력값입니다.</t>
  </si>
  <si>
    <t>음식물류폐수
유입량
(mL/d)</t>
  </si>
  <si>
    <t>하수슬러지
유입량
(mL/d)</t>
  </si>
  <si>
    <t>총 유입량
(mL/d)</t>
  </si>
  <si>
    <t>FWW/총유입
(-)</t>
  </si>
  <si>
    <t>전체 유입비율
(Qtotal/V)</t>
  </si>
  <si>
    <t>OLR
(kg COD/m³·d)</t>
  </si>
  <si>
    <t>HRT
(d)</t>
  </si>
  <si>
    <t>혼합 유입수
pH</t>
  </si>
  <si>
    <t>혼합 유입수
Alk</t>
  </si>
  <si>
    <t>혼합 유입수
VFA</t>
  </si>
  <si>
    <t>혼합 후 H+
(상대값)</t>
  </si>
  <si>
    <t>pH
(혼합 후)</t>
  </si>
  <si>
    <t>Alk
(혼합 후)</t>
  </si>
  <si>
    <t>VFA
(혼합 후)</t>
  </si>
  <si>
    <t>VFA/Alk</t>
  </si>
  <si>
    <t>pH
경보</t>
  </si>
  <si>
    <t>Alk
경보</t>
  </si>
  <si>
    <t>VFA
경보</t>
  </si>
  <si>
    <t>종합
오경보?</t>
  </si>
  <si>
    <t>pH 기준</t>
  </si>
  <si>
    <t>Alk 기준</t>
  </si>
  <si>
    <t>VFA 기준</t>
  </si>
  <si>
    <t>비율 기준</t>
  </si>
  <si>
    <t>설명</t>
  </si>
  <si>
    <t>혼합 유입수
HAc</t>
  </si>
  <si>
    <t>혼합 유입수
HPr</t>
  </si>
  <si>
    <t>혼합 유입수
HPr/HAc</t>
  </si>
  <si>
    <t>혼합 후
HAc</t>
  </si>
  <si>
    <t>혼합 후
HPr</t>
  </si>
  <si>
    <t>혼합 후
HPr/HAc</t>
  </si>
  <si>
    <t>HPr/HAc
기준</t>
  </si>
  <si>
    <t>차트용 데이터</t>
  </si>
  <si>
    <t>이 시트는 pH, VFA/Alk, HRT, OLR 그래프 작성을 위한 요약 데이터를 제공합니다.</t>
  </si>
  <si>
    <t>FWW (mL/d)</t>
  </si>
  <si>
    <t>pH after mixing</t>
  </si>
  <si>
    <t>HRT (d)</t>
  </si>
  <si>
    <t>OLR</t>
  </si>
  <si>
    <t>HPr/HAc 기준</t>
  </si>
  <si>
    <r>
      <rPr>
        <sz val="11"/>
        <rFont val="Carlito"/>
      </rPr>
      <t>초기</t>
    </r>
    <r>
      <rPr>
        <sz val="11"/>
        <rFont val="Carlito"/>
        <family val="2"/>
      </rPr>
      <t xml:space="preserve"> </t>
    </r>
    <r>
      <rPr>
        <sz val="11"/>
        <rFont val="Carlito"/>
      </rPr>
      <t>반응조</t>
    </r>
    <r>
      <rPr>
        <sz val="11"/>
        <rFont val="Carlito"/>
        <family val="2"/>
      </rPr>
      <t xml:space="preserve"> HAc</t>
    </r>
  </si>
  <si>
    <r>
      <rPr>
        <sz val="11"/>
        <rFont val="Carlito"/>
      </rPr>
      <t>초기</t>
    </r>
    <r>
      <rPr>
        <sz val="11"/>
        <rFont val="Carlito"/>
        <family val="2"/>
      </rPr>
      <t xml:space="preserve"> </t>
    </r>
    <r>
      <rPr>
        <sz val="11"/>
        <rFont val="Carlito"/>
      </rPr>
      <t>반응조</t>
    </r>
    <r>
      <rPr>
        <sz val="11"/>
        <rFont val="Carlito"/>
        <family val="2"/>
      </rPr>
      <t xml:space="preserve"> HPr</t>
    </r>
  </si>
  <si>
    <r>
      <rPr>
        <sz val="11"/>
        <rFont val="Carlito"/>
      </rPr>
      <t>하수슬러지</t>
    </r>
    <r>
      <rPr>
        <sz val="11"/>
        <rFont val="Carlito"/>
        <family val="2"/>
      </rPr>
      <t xml:space="preserve"> HAc</t>
    </r>
  </si>
  <si>
    <r>
      <rPr>
        <sz val="11"/>
        <rFont val="Carlito"/>
      </rPr>
      <t>하수슬러지</t>
    </r>
    <r>
      <rPr>
        <sz val="11"/>
        <rFont val="Carlito"/>
        <family val="2"/>
      </rPr>
      <t xml:space="preserve"> HPr</t>
    </r>
  </si>
  <si>
    <r>
      <rPr>
        <sz val="11"/>
        <rFont val="Carlito"/>
      </rPr>
      <t>음식물류폐수</t>
    </r>
    <r>
      <rPr>
        <sz val="11"/>
        <rFont val="Carlito"/>
        <family val="2"/>
      </rPr>
      <t xml:space="preserve"> HAc</t>
    </r>
  </si>
  <si>
    <r>
      <rPr>
        <sz val="11"/>
        <rFont val="Carlito"/>
      </rPr>
      <t>음식물류폐수</t>
    </r>
    <r>
      <rPr>
        <sz val="11"/>
        <rFont val="Carlito"/>
        <family val="2"/>
      </rPr>
      <t xml:space="preserve"> HPr</t>
    </r>
  </si>
  <si>
    <t>HPr/HAc
경보</t>
    <phoneticPr fontId="8" type="noConversion"/>
  </si>
  <si>
    <r>
      <rPr>
        <i/>
        <sz val="11"/>
        <rFont val="Carlito"/>
      </rPr>
      <t>혼합</t>
    </r>
    <r>
      <rPr>
        <i/>
        <sz val="11"/>
        <rFont val="Carlito"/>
        <family val="2"/>
      </rPr>
      <t xml:space="preserve"> </t>
    </r>
    <r>
      <rPr>
        <i/>
        <sz val="11"/>
        <rFont val="Carlito"/>
      </rPr>
      <t>후</t>
    </r>
    <r>
      <rPr>
        <i/>
        <sz val="11"/>
        <rFont val="Carlito"/>
        <family val="2"/>
      </rPr>
      <t xml:space="preserve"> </t>
    </r>
    <r>
      <rPr>
        <i/>
        <sz val="11"/>
        <rFont val="Carlito"/>
      </rPr>
      <t>지표</t>
    </r>
    <r>
      <rPr>
        <i/>
        <sz val="11"/>
        <rFont val="Carlito"/>
        <family val="2"/>
      </rPr>
      <t xml:space="preserve"> = </t>
    </r>
    <r>
      <rPr>
        <i/>
        <sz val="11"/>
        <rFont val="Carlito"/>
      </rPr>
      <t>기존</t>
    </r>
    <r>
      <rPr>
        <i/>
        <sz val="11"/>
        <rFont val="Carlito"/>
        <family val="2"/>
      </rPr>
      <t xml:space="preserve"> </t>
    </r>
    <r>
      <rPr>
        <i/>
        <sz val="11"/>
        <rFont val="Carlito"/>
      </rPr>
      <t>반응조</t>
    </r>
    <r>
      <rPr>
        <i/>
        <sz val="11"/>
        <rFont val="Carlito"/>
        <family val="2"/>
      </rPr>
      <t xml:space="preserve"> </t>
    </r>
    <r>
      <rPr>
        <i/>
        <sz val="11"/>
        <rFont val="Carlito"/>
      </rPr>
      <t>잔류분</t>
    </r>
    <r>
      <rPr>
        <i/>
        <sz val="11"/>
        <rFont val="Carlito"/>
        <family val="2"/>
      </rPr>
      <t xml:space="preserve"> + </t>
    </r>
    <r>
      <rPr>
        <i/>
        <sz val="11"/>
        <rFont val="Carlito"/>
      </rPr>
      <t>하수슬러지</t>
    </r>
    <r>
      <rPr>
        <i/>
        <sz val="11"/>
        <rFont val="Carlito"/>
        <family val="2"/>
      </rPr>
      <t xml:space="preserve"> </t>
    </r>
    <r>
      <rPr>
        <i/>
        <sz val="11"/>
        <rFont val="Carlito"/>
      </rPr>
      <t>유입분</t>
    </r>
    <r>
      <rPr>
        <i/>
        <sz val="11"/>
        <rFont val="Carlito"/>
        <family val="2"/>
      </rPr>
      <t xml:space="preserve"> + </t>
    </r>
    <r>
      <rPr>
        <i/>
        <sz val="11"/>
        <rFont val="Carlito"/>
      </rPr>
      <t>음식물류폐수</t>
    </r>
    <r>
      <rPr>
        <i/>
        <sz val="11"/>
        <rFont val="Carlito"/>
        <family val="2"/>
      </rPr>
      <t xml:space="preserve"> </t>
    </r>
    <r>
      <rPr>
        <i/>
        <sz val="11"/>
        <rFont val="Carlito"/>
      </rPr>
      <t>유입분</t>
    </r>
    <r>
      <rPr>
        <i/>
        <sz val="11"/>
        <rFont val="Carlito"/>
        <family val="2"/>
      </rPr>
      <t>; pH</t>
    </r>
    <r>
      <rPr>
        <i/>
        <sz val="11"/>
        <rFont val="Carlito"/>
      </rPr>
      <t>는</t>
    </r>
    <r>
      <rPr>
        <i/>
        <sz val="11"/>
        <rFont val="Carlito"/>
        <family val="2"/>
      </rPr>
      <t xml:space="preserve"> H+ </t>
    </r>
    <r>
      <rPr>
        <i/>
        <sz val="11"/>
        <rFont val="Carlito"/>
      </rPr>
      <t>기반</t>
    </r>
    <r>
      <rPr>
        <i/>
        <sz val="11"/>
        <rFont val="Carlito"/>
        <family val="2"/>
      </rPr>
      <t xml:space="preserve"> </t>
    </r>
    <r>
      <rPr>
        <i/>
        <sz val="11"/>
        <rFont val="Carlito"/>
      </rPr>
      <t>혼합</t>
    </r>
  </si>
  <si>
    <r>
      <t>음식물류폐수</t>
    </r>
    <r>
      <rPr>
        <b/>
        <sz val="12"/>
        <rFont val="Carlito"/>
        <family val="2"/>
      </rPr>
      <t xml:space="preserve"> 0–40 mL/d </t>
    </r>
    <r>
      <rPr>
        <b/>
        <sz val="12"/>
        <rFont val="Carlito"/>
      </rPr>
      <t>증량</t>
    </r>
    <r>
      <rPr>
        <b/>
        <sz val="12"/>
        <rFont val="Carlito"/>
        <family val="2"/>
      </rPr>
      <t xml:space="preserve"> + </t>
    </r>
    <r>
      <rPr>
        <b/>
        <sz val="12"/>
        <rFont val="Carlito"/>
      </rPr>
      <t>하수슬러지</t>
    </r>
    <r>
      <rPr>
        <b/>
        <sz val="12"/>
        <rFont val="Carlito"/>
        <family val="2"/>
      </rPr>
      <t xml:space="preserve"> 108 mL/d </t>
    </r>
    <r>
      <rPr>
        <b/>
        <sz val="12"/>
        <rFont val="Carlito"/>
      </rPr>
      <t>고정</t>
    </r>
    <r>
      <rPr>
        <b/>
        <sz val="12"/>
        <rFont val="Carlito"/>
        <family val="2"/>
      </rPr>
      <t xml:space="preserve"> </t>
    </r>
    <r>
      <rPr>
        <b/>
        <sz val="12"/>
        <rFont val="Carlito"/>
      </rPr>
      <t>유입</t>
    </r>
    <r>
      <rPr>
        <b/>
        <sz val="12"/>
        <rFont val="Carlito"/>
        <family val="2"/>
      </rPr>
      <t xml:space="preserve"> </t>
    </r>
    <r>
      <rPr>
        <b/>
        <sz val="12"/>
        <rFont val="Carlito"/>
      </rPr>
      <t>시</t>
    </r>
    <r>
      <rPr>
        <b/>
        <sz val="12"/>
        <rFont val="Carlito"/>
        <family val="2"/>
      </rPr>
      <t xml:space="preserve"> </t>
    </r>
    <r>
      <rPr>
        <b/>
        <sz val="12"/>
        <rFont val="Carlito"/>
      </rPr>
      <t>순수</t>
    </r>
    <r>
      <rPr>
        <b/>
        <sz val="12"/>
        <rFont val="Carlito"/>
        <family val="2"/>
      </rPr>
      <t xml:space="preserve"> </t>
    </r>
    <r>
      <rPr>
        <b/>
        <sz val="12"/>
        <rFont val="Carlito"/>
      </rPr>
      <t>혼합</t>
    </r>
    <r>
      <rPr>
        <b/>
        <sz val="12"/>
        <rFont val="Carlito"/>
        <family val="2"/>
      </rPr>
      <t xml:space="preserve"> </t>
    </r>
    <r>
      <rPr>
        <b/>
        <sz val="12"/>
        <rFont val="Carlito"/>
      </rPr>
      <t>기반</t>
    </r>
    <r>
      <rPr>
        <b/>
        <sz val="12"/>
        <rFont val="Carlito"/>
        <family val="2"/>
      </rPr>
      <t xml:space="preserve"> </t>
    </r>
    <r>
      <rPr>
        <b/>
        <sz val="12"/>
        <rFont val="Carlito"/>
      </rPr>
      <t>지표</t>
    </r>
    <r>
      <rPr>
        <b/>
        <sz val="12"/>
        <rFont val="Carlito"/>
        <family val="2"/>
      </rPr>
      <t xml:space="preserve"> </t>
    </r>
    <r>
      <rPr>
        <b/>
        <sz val="12"/>
        <rFont val="Carlito"/>
      </rPr>
      <t>변화</t>
    </r>
  </si>
  <si>
    <t>mg/L</t>
    <phoneticPr fontId="8" type="noConversion"/>
  </si>
  <si>
    <t>Indicator</t>
  </si>
  <si>
    <t>문헌상 안정/경고/불안정 수치</t>
  </si>
  <si>
    <t>해석</t>
  </si>
  <si>
    <t>&gt; 1.4 = anaerobic digestion failure / methanogenesis inhibition 지표</t>
  </si>
  <si>
    <t>Alkalinity 단독</t>
  </si>
  <si>
    <t>TVFA 단독</t>
  </si>
  <si>
    <r>
      <t>Propionic acid / Acetic acid ratio</t>
    </r>
    <r>
      <rPr>
        <sz val="11"/>
        <rFont val="Carlito"/>
      </rPr>
      <t xml:space="preserve"> 또는 </t>
    </r>
    <r>
      <rPr>
        <b/>
        <sz val="11"/>
        <rFont val="Carlito"/>
        <family val="2"/>
      </rPr>
      <t>HPr/HAc</t>
    </r>
  </si>
  <si>
    <r>
      <t xml:space="preserve">Rubio et al.은 Hill et al.을 인용해 “acetic acid &gt;800 mg/L 또는 HPr/HAc &gt;1.4가 AD failure를 의미”한다고 정리했고, 실제 실험에서도 HPr/HAc가 </t>
    </r>
    <r>
      <rPr>
        <b/>
        <sz val="11"/>
        <rFont val="Carlito"/>
        <family val="2"/>
      </rPr>
      <t>1.4 이상</t>
    </r>
    <r>
      <rPr>
        <sz val="11"/>
        <rFont val="Carlito"/>
      </rPr>
      <t xml:space="preserve">, 최대 </t>
    </r>
    <r>
      <rPr>
        <b/>
        <sz val="11"/>
        <rFont val="Carlito"/>
        <family val="2"/>
      </rPr>
      <t>8.2</t>
    </r>
    <r>
      <rPr>
        <sz val="11"/>
        <rFont val="Carlito"/>
      </rPr>
      <t xml:space="preserve">, 이후 </t>
    </r>
    <r>
      <rPr>
        <b/>
        <sz val="11"/>
        <rFont val="Carlito"/>
        <family val="2"/>
      </rPr>
      <t>7.6</t>
    </r>
    <r>
      <rPr>
        <sz val="11"/>
        <rFont val="Carlito"/>
      </rPr>
      <t xml:space="preserve"> 수준으로 유지될 때 propionic acid 축적과 methanogenesis inhibition을 해석함. 안정화 후에는 </t>
    </r>
    <r>
      <rPr>
        <b/>
        <sz val="11"/>
        <rFont val="Carlito"/>
        <family val="2"/>
      </rPr>
      <t>0.02</t>
    </r>
    <r>
      <rPr>
        <sz val="11"/>
        <rFont val="Carlito"/>
      </rPr>
      <t>까지 감소.</t>
    </r>
  </si>
  <si>
    <r>
      <t>VFA/ALK</t>
    </r>
    <r>
      <rPr>
        <sz val="11"/>
        <rFont val="Carlito"/>
      </rPr>
      <t xml:space="preserve">, </t>
    </r>
    <r>
      <rPr>
        <b/>
        <sz val="11"/>
        <rFont val="Carlito"/>
        <family val="2"/>
      </rPr>
      <t>TVFA/Alkalinity</t>
    </r>
    <r>
      <rPr>
        <sz val="11"/>
        <rFont val="Carlito"/>
      </rPr>
      <t xml:space="preserve">, </t>
    </r>
    <r>
      <rPr>
        <b/>
        <sz val="11"/>
        <rFont val="Carlito"/>
        <family val="2"/>
      </rPr>
      <t>VFA/TA</t>
    </r>
  </si>
  <si>
    <r>
      <t>&lt;0.1 = 안정</t>
    </r>
    <r>
      <rPr>
        <sz val="11"/>
        <rFont val="Carlito"/>
      </rPr>
      <t xml:space="preserve">, </t>
    </r>
    <r>
      <rPr>
        <b/>
        <sz val="11"/>
        <rFont val="Carlito"/>
        <family val="2"/>
      </rPr>
      <t>~0.4 = 안정성 저하 경고</t>
    </r>
    <r>
      <rPr>
        <sz val="11"/>
        <rFont val="Carlito"/>
      </rPr>
      <t xml:space="preserve">, </t>
    </r>
    <r>
      <rPr>
        <b/>
        <sz val="11"/>
        <rFont val="Carlito"/>
        <family val="2"/>
      </rPr>
      <t>~0.5 이상 = 불안정</t>
    </r>
    <r>
      <rPr>
        <sz val="11"/>
        <rFont val="Carlito"/>
      </rPr>
      <t xml:space="preserve">, </t>
    </r>
    <r>
      <rPr>
        <b/>
        <sz val="11"/>
        <rFont val="Carlito"/>
        <family val="2"/>
      </rPr>
      <t>1.0 이상 = 심각한 산성화/overload 가능성</t>
    </r>
  </si>
  <si>
    <r>
      <t xml:space="preserve">Su et al.은 안정 운전 중 VFAs/alkalinity가 </t>
    </r>
    <r>
      <rPr>
        <b/>
        <sz val="11"/>
        <rFont val="Carlito"/>
        <family val="2"/>
      </rPr>
      <t>0.4 이하</t>
    </r>
    <r>
      <rPr>
        <sz val="11"/>
        <rFont val="Carlito"/>
      </rPr>
      <t xml:space="preserve">였고, </t>
    </r>
    <r>
      <rPr>
        <b/>
        <sz val="11"/>
        <rFont val="Carlito"/>
        <family val="2"/>
      </rPr>
      <t>0.4를 threshold</t>
    </r>
    <r>
      <rPr>
        <sz val="11"/>
        <rFont val="Carlito"/>
      </rPr>
      <t xml:space="preserve">로 제시함. Rubio et al.은 total VFA/alkalinity가 </t>
    </r>
    <r>
      <rPr>
        <b/>
        <sz val="11"/>
        <rFont val="Carlito"/>
        <family val="2"/>
      </rPr>
      <t>약 0.5</t>
    </r>
    <r>
      <rPr>
        <sz val="11"/>
        <rFont val="Carlito"/>
      </rPr>
      <t xml:space="preserve">일 때 instability를 의미한다고 정리했고, 안정화 후에는 </t>
    </r>
    <r>
      <rPr>
        <b/>
        <sz val="11"/>
        <rFont val="Carlito"/>
        <family val="2"/>
      </rPr>
      <t>&lt;0.1</t>
    </r>
    <r>
      <rPr>
        <sz val="11"/>
        <rFont val="Carlito"/>
      </rPr>
      <t xml:space="preserve">로 유지됨. Li et al.에서는 TVFA/alkalinity가 </t>
    </r>
    <r>
      <rPr>
        <b/>
        <sz val="11"/>
        <rFont val="Carlito"/>
        <family val="2"/>
      </rPr>
      <t>1.12</t>
    </r>
    <r>
      <rPr>
        <sz val="11"/>
        <rFont val="Carlito"/>
      </rPr>
      <t>까지 상승한 조건에서 pH 저하와 산성화가 발생.</t>
    </r>
  </si>
  <si>
    <r>
      <t>TA &gt;3000 mg CaCO₃/L = 충분한 완충능 기준</t>
    </r>
    <r>
      <rPr>
        <sz val="11"/>
        <rFont val="Carlito"/>
      </rPr>
      <t xml:space="preserve">, </t>
    </r>
    <r>
      <rPr>
        <b/>
        <sz val="11"/>
        <rFont val="Carlito"/>
        <family val="2"/>
      </rPr>
      <t>BA 약 554 mg CaCO₃/L까지 감소 시 acidification 관찰</t>
    </r>
  </si>
  <si>
    <r>
      <t xml:space="preserve">Díaz-Castro et al.의 characterization table에서 inoculum/substrate quality criterion으로 </t>
    </r>
    <r>
      <rPr>
        <b/>
        <sz val="11"/>
        <rFont val="Carlito"/>
        <family val="2"/>
      </rPr>
      <t>TA &gt;3000 mg CaCO₃/L</t>
    </r>
    <r>
      <rPr>
        <sz val="11"/>
        <rFont val="Carlito"/>
      </rPr>
      <t xml:space="preserve">가 제시됨. Sun et al.에서는 bicarbonate alkalinity가 평균 </t>
    </r>
    <r>
      <rPr>
        <b/>
        <sz val="11"/>
        <rFont val="Carlito"/>
        <family val="2"/>
      </rPr>
      <t>9275 mg CaCO₃/L</t>
    </r>
    <r>
      <rPr>
        <sz val="11"/>
        <rFont val="Carlito"/>
      </rPr>
      <t xml:space="preserve">일 때 VFA가 증가해도 pH가 유지되었지만, glucose overload 후 </t>
    </r>
    <r>
      <rPr>
        <b/>
        <sz val="11"/>
        <rFont val="Carlito"/>
        <family val="2"/>
      </rPr>
      <t>BA = 554 mg CaCO₃/L</t>
    </r>
    <r>
      <rPr>
        <sz val="11"/>
        <rFont val="Carlito"/>
      </rPr>
      <t xml:space="preserve">까지 감소하면서 pH가 </t>
    </r>
    <r>
      <rPr>
        <b/>
        <sz val="11"/>
        <rFont val="Carlito"/>
        <family val="2"/>
      </rPr>
      <t>6.24</t>
    </r>
    <r>
      <rPr>
        <sz val="11"/>
        <rFont val="Carlito"/>
      </rPr>
      <t>로 떨어져 acidification이 발생함. 단, alkalinity 단독은 VFA 축적과 함께 해석해야 함.</t>
    </r>
  </si>
  <si>
    <r>
      <t>1.5–3.0 g/L = 일반적 warning threshold</t>
    </r>
    <r>
      <rPr>
        <sz val="11"/>
        <rFont val="Carlito"/>
      </rPr>
      <t xml:space="preserve">, </t>
    </r>
    <r>
      <rPr>
        <b/>
        <sz val="11"/>
        <rFont val="Carlito"/>
        <family val="2"/>
      </rPr>
      <t>&gt;5 g/L = instability</t>
    </r>
    <r>
      <rPr>
        <sz val="11"/>
        <rFont val="Carlito"/>
      </rPr>
      <t xml:space="preserve">, </t>
    </r>
    <r>
      <rPr>
        <b/>
        <sz val="11"/>
        <rFont val="Carlito"/>
        <family val="2"/>
      </rPr>
      <t>&gt;6 g/L = inhibition 가능</t>
    </r>
    <r>
      <rPr>
        <sz val="11"/>
        <rFont val="Carlito"/>
      </rPr>
      <t xml:space="preserve">, </t>
    </r>
    <r>
      <rPr>
        <b/>
        <sz val="11"/>
        <rFont val="Carlito"/>
        <family val="2"/>
      </rPr>
      <t>10–22 g/L = 명확한 산성화/심각한 불안정 사례</t>
    </r>
  </si>
  <si>
    <r>
      <t xml:space="preserve">Wu et al. review에서는 TVFA threshold가 보통 </t>
    </r>
    <r>
      <rPr>
        <b/>
        <sz val="11"/>
        <rFont val="Carlito"/>
        <family val="2"/>
      </rPr>
      <t>1500–3000 mg/L</t>
    </r>
    <r>
      <rPr>
        <sz val="11"/>
        <rFont val="Carlito"/>
      </rPr>
      <t xml:space="preserve"> 범위로 보고된다고 정리하지만, plant-specific이라고 경고함. Shin et al.은 demo-scale FWL AD에서 instability를 </t>
    </r>
    <r>
      <rPr>
        <b/>
        <sz val="11"/>
        <rFont val="Carlito"/>
        <family val="2"/>
      </rPr>
      <t>TVFA &gt;5 g/L and/or decreasing pH</t>
    </r>
    <r>
      <rPr>
        <sz val="11"/>
        <rFont val="Carlito"/>
      </rPr>
      <t xml:space="preserve">, stability를 </t>
    </r>
    <r>
      <rPr>
        <b/>
        <sz val="11"/>
        <rFont val="Carlito"/>
        <family val="2"/>
      </rPr>
      <t>TVFA &lt;3 g/L with stable pH</t>
    </r>
    <r>
      <rPr>
        <sz val="11"/>
        <rFont val="Carlito"/>
      </rPr>
      <t xml:space="preserve">로 정의했고, 실제 불안정 시 </t>
    </r>
    <r>
      <rPr>
        <b/>
        <sz val="11"/>
        <rFont val="Carlito"/>
        <family val="2"/>
      </rPr>
      <t>13.6 g/L</t>
    </r>
    <r>
      <rPr>
        <sz val="11"/>
        <rFont val="Carlito"/>
      </rPr>
      <t xml:space="preserve">까지 축적됨. Rubio et al.은 TVFA </t>
    </r>
    <r>
      <rPr>
        <b/>
        <sz val="11"/>
        <rFont val="Carlito"/>
        <family val="2"/>
      </rPr>
      <t>10.337 g/L as HAc</t>
    </r>
    <r>
      <rPr>
        <sz val="11"/>
        <rFont val="Carlito"/>
      </rPr>
      <t xml:space="preserve">가 inhibition을 의미하며, 기존 문헌의 </t>
    </r>
    <r>
      <rPr>
        <b/>
        <sz val="11"/>
        <rFont val="Carlito"/>
        <family val="2"/>
      </rPr>
      <t>6 g/L inhibitory level</t>
    </r>
    <r>
      <rPr>
        <sz val="11"/>
        <rFont val="Carlito"/>
      </rPr>
      <t xml:space="preserve">보다 높다고 해석함. Sun et al.에서는 </t>
    </r>
    <r>
      <rPr>
        <b/>
        <sz val="11"/>
        <rFont val="Carlito"/>
        <family val="2"/>
      </rPr>
      <t>21.718 g HAc/L</t>
    </r>
    <r>
      <rPr>
        <sz val="11"/>
        <rFont val="Carlito"/>
      </rPr>
      <t>까지 축적되며 pH 6.24 acidification이 발생함.</t>
    </r>
  </si>
  <si>
    <t>VFA/ALK
경보</t>
    <phoneticPr fontId="8" type="noConversion"/>
  </si>
  <si>
    <t>H_Pr/H_Ac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</si>
</sst>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1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8"/>
      <name val="돋움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Carlito"/>
      <family val="2"/>
    </font>
    <font>
      <b/>
      <sz val="11"/>
      <name val="Carlito"/>
      <family val="2"/>
    </font>
    <font>
      <i/>
      <sz val="11"/>
      <name val="Carlito"/>
      <family val="2"/>
    </font>
    <font>
      <b/>
      <sz val="12"/>
      <name val="Carlito"/>
    </font>
    <font>
      <b/>
      <sz val="12"/>
      <name val="Carlito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0F766E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47">
    <xf numFmtId="0" fontId="0" fillId="0" borderId="0" xfId="0"/>
    <xf numFmtId="0" fontId="1" fillId="2" borderId="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wrapText="1"/>
    </xf>
    <xf numFmtId="0" fontId="0" fillId="0" borderId="1" xfId="1" applyNumberFormat="1" applyFont="1" applyFill="1" applyBorder="1" applyAlignment="1">
      <alignment wrapText="1"/>
    </xf>
    <xf numFmtId="0" fontId="0" fillId="0" borderId="0" xfId="1" applyNumberFormat="1" applyFont="1" applyFill="1" applyBorder="1" applyAlignment="1">
      <alignment vertical="center" wrapText="1"/>
    </xf>
    <xf numFmtId="0" fontId="0" fillId="6" borderId="0" xfId="1" applyNumberFormat="1" applyFont="1" applyFill="1" applyBorder="1" applyAlignment="1">
      <alignment vertical="center" wrapText="1"/>
    </xf>
    <xf numFmtId="0" fontId="2" fillId="3" borderId="0" xfId="1" applyNumberFormat="1" applyFont="1" applyFill="1" applyBorder="1" applyAlignment="1">
      <alignment vertical="center" wrapText="1"/>
    </xf>
    <xf numFmtId="0" fontId="0" fillId="0" borderId="1" xfId="1" applyNumberFormat="1" applyFont="1" applyFill="1" applyBorder="1" applyAlignment="1">
      <alignment vertical="center" wrapText="1"/>
    </xf>
    <xf numFmtId="1" fontId="0" fillId="4" borderId="0" xfId="1" applyNumberFormat="1" applyFont="1" applyFill="1" applyBorder="1" applyAlignment="1">
      <alignment vertical="center" wrapText="1"/>
    </xf>
    <xf numFmtId="2" fontId="0" fillId="4" borderId="0" xfId="1" applyNumberFormat="1" applyFont="1" applyFill="1" applyBorder="1" applyAlignment="1">
      <alignment vertical="center" wrapText="1"/>
    </xf>
    <xf numFmtId="2" fontId="0" fillId="5" borderId="0" xfId="1" applyNumberFormat="1" applyFont="1" applyFill="1" applyBorder="1" applyAlignment="1">
      <alignment vertical="center" wrapText="1"/>
    </xf>
    <xf numFmtId="0" fontId="0" fillId="7" borderId="0" xfId="1" applyNumberFormat="1" applyFont="1" applyFill="1" applyBorder="1" applyAlignment="1">
      <alignment horizontal="center" vertical="center" wrapText="1"/>
    </xf>
    <xf numFmtId="1" fontId="0" fillId="0" borderId="0" xfId="1" applyNumberFormat="1" applyFont="1" applyFill="1" applyBorder="1" applyAlignment="1">
      <alignment vertical="center" wrapText="1"/>
    </xf>
    <xf numFmtId="176" fontId="0" fillId="0" borderId="0" xfId="1" applyNumberFormat="1" applyFont="1" applyFill="1" applyBorder="1" applyAlignment="1">
      <alignment vertical="center" wrapText="1"/>
    </xf>
    <xf numFmtId="2" fontId="0" fillId="0" borderId="0" xfId="1" applyNumberFormat="1" applyFont="1" applyFill="1" applyBorder="1" applyAlignment="1">
      <alignment vertical="center" wrapText="1"/>
    </xf>
    <xf numFmtId="11" fontId="0" fillId="0" borderId="0" xfId="1" applyNumberFormat="1" applyFont="1" applyFill="1" applyBorder="1" applyAlignment="1">
      <alignment vertical="center" wrapText="1"/>
    </xf>
    <xf numFmtId="2" fontId="0" fillId="0" borderId="0" xfId="1" applyNumberFormat="1" applyFont="1" applyFill="1" applyBorder="1"/>
    <xf numFmtId="0" fontId="2" fillId="0" borderId="0" xfId="1" applyNumberFormat="1" applyFont="1" applyFill="1" applyBorder="1" applyAlignment="1">
      <alignment wrapText="1"/>
    </xf>
    <xf numFmtId="0" fontId="5" fillId="8" borderId="0" xfId="1" applyNumberFormat="1" applyFont="1" applyFill="1" applyBorder="1" applyAlignment="1">
      <alignment horizontal="right"/>
    </xf>
    <xf numFmtId="0" fontId="2" fillId="9" borderId="0" xfId="1" applyNumberFormat="1" applyFont="1" applyFill="1" applyBorder="1" applyAlignment="1">
      <alignment vertical="center" wrapText="1"/>
    </xf>
    <xf numFmtId="0" fontId="1" fillId="10" borderId="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horizontal="center"/>
    </xf>
    <xf numFmtId="0" fontId="1" fillId="2" borderId="0" xfId="1" applyNumberFormat="1" applyFont="1" applyFill="1" applyBorder="1" applyAlignment="1">
      <alignment horizontal="center" vertical="center" wrapText="1"/>
    </xf>
    <xf numFmtId="0" fontId="1" fillId="2" borderId="0" xfId="1" applyNumberFormat="1" applyFont="1" applyFill="1" applyBorder="1" applyAlignment="1">
      <alignment horizontal="center" vertical="center"/>
    </xf>
    <xf numFmtId="0" fontId="0" fillId="0" borderId="0" xfId="1" applyNumberFormat="1" applyFont="1" applyFill="1" applyBorder="1" applyAlignment="1">
      <alignment vertical="center"/>
    </xf>
    <xf numFmtId="0" fontId="5" fillId="0" borderId="1" xfId="1" applyNumberFormat="1" applyFont="1" applyFill="1" applyBorder="1" applyAlignment="1">
      <alignment horizontal="right"/>
    </xf>
    <xf numFmtId="0" fontId="2" fillId="0" borderId="1" xfId="1" applyNumberFormat="1" applyFont="1" applyFill="1" applyBorder="1" applyAlignment="1">
      <alignment wrapText="1"/>
    </xf>
    <xf numFmtId="0" fontId="0" fillId="0" borderId="0" xfId="0" applyFill="1"/>
    <xf numFmtId="0" fontId="4" fillId="0" borderId="0" xfId="1" applyNumberFormat="1" applyFont="1" applyFill="1" applyBorder="1" applyAlignment="1">
      <alignment horizontal="center" vertical="center"/>
    </xf>
    <xf numFmtId="0" fontId="5" fillId="0" borderId="0" xfId="1" applyNumberFormat="1" applyFont="1" applyFill="1" applyBorder="1" applyAlignment="1">
      <alignment horizontal="right"/>
    </xf>
    <xf numFmtId="0" fontId="6" fillId="0" borderId="0" xfId="1" applyNumberFormat="1" applyFont="1" applyFill="1" applyBorder="1" applyAlignment="1">
      <alignment vertical="top"/>
    </xf>
    <xf numFmtId="0" fontId="6" fillId="0" borderId="0" xfId="1" applyNumberFormat="1" applyFont="1" applyFill="1" applyBorder="1" applyAlignment="1">
      <alignment vertical="top" wrapText="1"/>
    </xf>
    <xf numFmtId="0" fontId="1" fillId="11" borderId="0" xfId="1" applyNumberFormat="1" applyFont="1" applyFill="1" applyBorder="1" applyAlignment="1">
      <alignment horizontal="center" vertical="center" wrapText="1"/>
    </xf>
    <xf numFmtId="0" fontId="9" fillId="11" borderId="0" xfId="1" applyNumberFormat="1" applyFont="1" applyFill="1" applyBorder="1" applyAlignment="1">
      <alignment horizontal="center" vertical="center" wrapText="1"/>
    </xf>
    <xf numFmtId="0" fontId="1" fillId="0" borderId="0" xfId="1" applyNumberFormat="1" applyFont="1" applyFill="1" applyBorder="1" applyAlignment="1">
      <alignment horizontal="center" vertical="center"/>
    </xf>
    <xf numFmtId="0" fontId="3" fillId="0" borderId="0" xfId="1" applyNumberFormat="1" applyFont="1" applyFill="1" applyBorder="1"/>
    <xf numFmtId="0" fontId="10" fillId="0" borderId="0" xfId="0" applyFont="1" applyFill="1"/>
    <xf numFmtId="0" fontId="12" fillId="0" borderId="0" xfId="1" applyNumberFormat="1" applyFont="1" applyFill="1" applyBorder="1"/>
    <xf numFmtId="0" fontId="13" fillId="0" borderId="0" xfId="1" applyNumberFormat="1" applyFont="1" applyFill="1" applyBorder="1" applyAlignment="1">
      <alignment horizontal="left" vertical="center"/>
    </xf>
    <xf numFmtId="0" fontId="1" fillId="12" borderId="0" xfId="1" applyNumberFormat="1" applyFont="1" applyFill="1" applyBorder="1" applyAlignment="1">
      <alignment horizontal="center" vertical="center"/>
    </xf>
    <xf numFmtId="177" fontId="0" fillId="5" borderId="0" xfId="1" applyNumberFormat="1" applyFont="1" applyFill="1" applyBorder="1" applyAlignment="1">
      <alignment vertical="center" wrapText="1"/>
    </xf>
    <xf numFmtId="0" fontId="2" fillId="3" borderId="0" xfId="1" applyNumberFormat="1" applyFont="1" applyFill="1" applyBorder="1" applyAlignment="1">
      <alignment vertical="center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2" borderId="0" xfId="1" applyNumberFormat="1" applyFont="1" applyFill="1" applyBorder="1" applyAlignment="1">
      <alignment horizontal="center" vertical="center" wrapText="1"/>
    </xf>
    <xf numFmtId="0" fontId="1" fillId="2" borderId="0" xfId="1" applyNumberFormat="1" applyFont="1" applyFill="1" applyBorder="1" applyAlignment="1">
      <alignment horizontal="center" vertical="center"/>
    </xf>
    <xf numFmtId="0" fontId="3" fillId="3" borderId="0" xfId="1" applyNumberFormat="1" applyFont="1" applyFill="1" applyBorder="1" applyAlignment="1">
      <alignment horizontal="left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colors>
    <mruColors>
      <color rgb="FFC89800"/>
      <color rgb="FF00B050"/>
      <color rgb="FF000000"/>
      <color rgb="FF40AEE0"/>
      <color rgb="FF1F8548"/>
      <color rgb="FFEAFC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ko-KR"/>
              <a:t>Dilution results based on FWW</a:t>
            </a:r>
            <a:r>
              <a:rPr lang="en-US" altLang="ko-KR" baseline="0"/>
              <a:t> addition</a:t>
            </a:r>
            <a:r>
              <a:rPr lang="en-US" altLang="ko-KR"/>
              <a:t> 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1283862315906253"/>
          <c:y val="0.11231670507212785"/>
          <c:w val="0.76349145214151037"/>
          <c:h val="0.6272662150199546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차트데이터!$B$3</c:f>
              <c:strCache>
                <c:ptCount val="1"/>
                <c:pt idx="0">
                  <c:v>pH after mixing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차트데이터!$A$4:$A$24</c:f>
              <c:numCache>
                <c:formatCode>General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</c:numCache>
            </c:numRef>
          </c:xVal>
          <c:yVal>
            <c:numRef>
              <c:f>차트데이터!$B$4:$B$24</c:f>
              <c:numCache>
                <c:formatCode>0.00</c:formatCode>
                <c:ptCount val="21"/>
                <c:pt idx="0">
                  <c:v>7.5000000000000009</c:v>
                </c:pt>
                <c:pt idx="1">
                  <c:v>7.2200863664120005</c:v>
                </c:pt>
                <c:pt idx="2">
                  <c:v>7.0512683884284471</c:v>
                </c:pt>
                <c:pt idx="3">
                  <c:v>6.9300124863565919</c:v>
                </c:pt>
                <c:pt idx="4">
                  <c:v>6.8353272585846199</c:v>
                </c:pt>
                <c:pt idx="5">
                  <c:v>6.7576355597148083</c:v>
                </c:pt>
                <c:pt idx="6">
                  <c:v>6.6917558689393228</c:v>
                </c:pt>
                <c:pt idx="7">
                  <c:v>6.6345659702908799</c:v>
                </c:pt>
                <c:pt idx="8">
                  <c:v>6.5840382888711417</c:v>
                </c:pt>
                <c:pt idx="9">
                  <c:v>6.5387813192134114</c:v>
                </c:pt>
                <c:pt idx="10">
                  <c:v>6.4977985806518648</c:v>
                </c:pt>
                <c:pt idx="11">
                  <c:v>6.4603519377719012</c:v>
                </c:pt>
                <c:pt idx="12">
                  <c:v>6.4258793571553712</c:v>
                </c:pt>
                <c:pt idx="13">
                  <c:v>6.3939429923369975</c:v>
                </c:pt>
                <c:pt idx="14">
                  <c:v>6.3641950932798981</c:v>
                </c:pt>
                <c:pt idx="15">
                  <c:v>6.3363548660749878</c:v>
                </c:pt>
                <c:pt idx="16">
                  <c:v>6.3101923156701574</c:v>
                </c:pt>
                <c:pt idx="17">
                  <c:v>6.2855166862069982</c:v>
                </c:pt>
                <c:pt idx="18">
                  <c:v>6.2621680132253328</c:v>
                </c:pt>
                <c:pt idx="19">
                  <c:v>6.2400108336280216</c:v>
                </c:pt>
                <c:pt idx="20">
                  <c:v>6.2189294240571353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BE-473C-B7D9-440248CCC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134512"/>
        <c:axId val="254543168"/>
      </c:scatterChart>
      <c:scatterChart>
        <c:scatterStyle val="smoothMarker"/>
        <c:varyColors val="0"/>
        <c:ser>
          <c:idx val="1"/>
          <c:order val="1"/>
          <c:tx>
            <c:strRef>
              <c:f>차트데이터!$C$3</c:f>
              <c:strCache>
                <c:ptCount val="1"/>
                <c:pt idx="0">
                  <c:v>VFA/Alk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차트데이터!$A$4:$A$24</c:f>
              <c:numCache>
                <c:formatCode>General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</c:numCache>
            </c:numRef>
          </c:xVal>
          <c:yVal>
            <c:numRef>
              <c:f>차트데이터!$C$4:$C$24</c:f>
              <c:numCache>
                <c:formatCode>0.00</c:formatCode>
                <c:ptCount val="21"/>
                <c:pt idx="0">
                  <c:v>0.40208717004297112</c:v>
                </c:pt>
                <c:pt idx="1">
                  <c:v>0.45849053093919145</c:v>
                </c:pt>
                <c:pt idx="2">
                  <c:v>0.51495842657327928</c:v>
                </c:pt>
                <c:pt idx="3">
                  <c:v>0.57149096776619257</c:v>
                </c:pt>
                <c:pt idx="4">
                  <c:v>0.62808826559277475</c:v>
                </c:pt>
                <c:pt idx="5">
                  <c:v>0.68475043138248182</c:v>
                </c:pt>
                <c:pt idx="6">
                  <c:v>0.74147757672011305</c:v>
                </c:pt>
                <c:pt idx="7">
                  <c:v>0.79826981344654246</c:v>
                </c:pt>
                <c:pt idx="8">
                  <c:v>0.85512725365945463</c:v>
                </c:pt>
                <c:pt idx="9">
                  <c:v>0.91205000971408157</c:v>
                </c:pt>
                <c:pt idx="10">
                  <c:v>0.96903819422394388</c:v>
                </c:pt>
                <c:pt idx="11">
                  <c:v>1.0260919200615921</c:v>
                </c:pt>
                <c:pt idx="12">
                  <c:v>1.0832113003593526</c:v>
                </c:pt>
                <c:pt idx="13">
                  <c:v>1.1403964485100755</c:v>
                </c:pt>
                <c:pt idx="14">
                  <c:v>1.1976474781678845</c:v>
                </c:pt>
                <c:pt idx="15">
                  <c:v>1.2549645032489303</c:v>
                </c:pt>
                <c:pt idx="16">
                  <c:v>1.3123476379321457</c:v>
                </c:pt>
                <c:pt idx="17">
                  <c:v>1.3697969966600037</c:v>
                </c:pt>
                <c:pt idx="18">
                  <c:v>1.42731269413928</c:v>
                </c:pt>
                <c:pt idx="19">
                  <c:v>1.4848948453418134</c:v>
                </c:pt>
                <c:pt idx="20">
                  <c:v>1.5425435655052748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BE-473C-B7D9-440248CCC998}"/>
            </c:ext>
          </c:extLst>
        </c:ser>
        <c:ser>
          <c:idx val="2"/>
          <c:order val="2"/>
          <c:tx>
            <c:strRef>
              <c:f>차트데이터!$D$3</c:f>
              <c:strCache>
                <c:ptCount val="1"/>
                <c:pt idx="0">
                  <c:v>H_Pr/H_Ac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차트데이터!$A$4:$A$24</c:f>
              <c:numCache>
                <c:formatCode>General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</c:numCache>
            </c:numRef>
          </c:xVal>
          <c:yVal>
            <c:numRef>
              <c:f>차트데이터!$D$4:$D$24</c:f>
              <c:numCache>
                <c:formatCode>0.00</c:formatCode>
                <c:ptCount val="21"/>
                <c:pt idx="0">
                  <c:v>4.2111520809124725</c:v>
                </c:pt>
                <c:pt idx="1">
                  <c:v>4.0667741493832956</c:v>
                </c:pt>
                <c:pt idx="2">
                  <c:v>3.9318997294273301</c:v>
                </c:pt>
                <c:pt idx="3">
                  <c:v>3.8056203828873456</c:v>
                </c:pt>
                <c:pt idx="4">
                  <c:v>3.6871398794508909</c:v>
                </c:pt>
                <c:pt idx="5">
                  <c:v>3.5757573910799714</c:v>
                </c:pt>
                <c:pt idx="6">
                  <c:v>3.4708536189983681</c:v>
                </c:pt>
                <c:pt idx="7">
                  <c:v>3.3718792730921101</c:v>
                </c:pt>
                <c:pt idx="8">
                  <c:v>3.2783454511385441</c:v>
                </c:pt>
                <c:pt idx="9">
                  <c:v>3.1898155621301041</c:v>
                </c:pt>
                <c:pt idx="10">
                  <c:v>3.1058985121007328</c:v>
                </c:pt>
                <c:pt idx="11">
                  <c:v>3.0262429280620502</c:v>
                </c:pt>
                <c:pt idx="12">
                  <c:v>2.9505322401080445</c:v>
                </c:pt>
                <c:pt idx="13">
                  <c:v>2.8784804765316543</c:v>
                </c:pt>
                <c:pt idx="14">
                  <c:v>2.8098286541949218</c:v>
                </c:pt>
                <c:pt idx="15">
                  <c:v>2.7443416681089445</c:v>
                </c:pt>
                <c:pt idx="16">
                  <c:v>2.681805601491221</c:v>
                </c:pt>
                <c:pt idx="17">
                  <c:v>2.6220253914463898</c:v>
                </c:pt>
                <c:pt idx="18">
                  <c:v>2.5648227966019217</c:v>
                </c:pt>
                <c:pt idx="19">
                  <c:v>2.5100346220913181</c:v>
                </c:pt>
                <c:pt idx="20">
                  <c:v>2.4575111646529249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8BE-473C-B7D9-440248CCC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021216"/>
        <c:axId val="234026208"/>
      </c:scatterChart>
      <c:valAx>
        <c:axId val="231134512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ko-KR"/>
                  <a:t>Input foodwaste water volume (ml or m</a:t>
                </a:r>
                <a:r>
                  <a:rPr lang="en-US" altLang="ko-KR" baseline="30000"/>
                  <a:t>3</a:t>
                </a:r>
                <a:r>
                  <a:rPr lang="en-US" altLang="ko-KR"/>
                  <a:t>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254543168"/>
        <c:crosses val="autoZero"/>
        <c:crossBetween val="midCat"/>
        <c:majorUnit val="2"/>
      </c:valAx>
      <c:valAx>
        <c:axId val="254543168"/>
        <c:scaling>
          <c:orientation val="minMax"/>
          <c:min val="5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ko-KR">
                    <a:solidFill>
                      <a:srgbClr val="0070C0"/>
                    </a:solidFill>
                  </a:rPr>
                  <a:t>pH</a:t>
                </a:r>
                <a:endParaRPr lang="ko-KR">
                  <a:solidFill>
                    <a:srgbClr val="0070C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#,##0.0_);[Red]\(#,##0.0\)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231134512"/>
        <c:crosses val="autoZero"/>
        <c:crossBetween val="midCat"/>
      </c:valAx>
      <c:valAx>
        <c:axId val="23402620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rgbClr val="FFC000"/>
                    </a:solidFill>
                  </a:rPr>
                  <a:t>VFA/ALK</a:t>
                </a:r>
                <a:r>
                  <a:rPr lang="en-US"/>
                  <a:t>, </a:t>
                </a:r>
                <a:r>
                  <a:rPr lang="en-US">
                    <a:solidFill>
                      <a:srgbClr val="00B050"/>
                    </a:solidFill>
                  </a:rPr>
                  <a:t>Hpr/Hac </a:t>
                </a:r>
                <a:r>
                  <a:rPr lang="en-US"/>
                  <a:t>ratio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#,##0.0_);[Red]\(#,##0.0\)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234021216"/>
        <c:crosses val="max"/>
        <c:crossBetween val="midCat"/>
      </c:valAx>
      <c:valAx>
        <c:axId val="234021216"/>
        <c:scaling>
          <c:orientation val="minMax"/>
          <c:max val="40"/>
        </c:scaling>
        <c:delete val="1"/>
        <c:axPos val="t"/>
        <c:numFmt formatCode="General" sourceLinked="1"/>
        <c:majorTickMark val="out"/>
        <c:minorTickMark val="none"/>
        <c:tickLblPos val="nextTo"/>
        <c:crossAx val="234026208"/>
        <c:crosses val="max"/>
        <c:crossBetween val="midCat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1746759735122651"/>
          <c:y val="0.11054567113968444"/>
          <c:w val="0.54843860391857724"/>
          <c:h val="6.89413920950112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ko-KR"/>
              <a:t>Dilution results based on FWW</a:t>
            </a:r>
            <a:r>
              <a:rPr lang="en-US" altLang="ko-KR" baseline="0"/>
              <a:t> addition</a:t>
            </a:r>
            <a:r>
              <a:rPr lang="en-US" altLang="ko-KR"/>
              <a:t> 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1283862315906253"/>
          <c:y val="0.11231670507212785"/>
          <c:w val="0.76349145214151037"/>
          <c:h val="0.6272662150199546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차트데이터!$B$3</c:f>
              <c:strCache>
                <c:ptCount val="1"/>
                <c:pt idx="0">
                  <c:v>pH after mixing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차트데이터!$A$4:$A$24</c:f>
              <c:numCache>
                <c:formatCode>General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</c:numCache>
            </c:numRef>
          </c:xVal>
          <c:yVal>
            <c:numRef>
              <c:f>차트데이터!$B$4:$B$24</c:f>
              <c:numCache>
                <c:formatCode>0.00</c:formatCode>
                <c:ptCount val="21"/>
                <c:pt idx="0">
                  <c:v>7.5000000000000009</c:v>
                </c:pt>
                <c:pt idx="1">
                  <c:v>7.2200863664120005</c:v>
                </c:pt>
                <c:pt idx="2">
                  <c:v>7.0512683884284471</c:v>
                </c:pt>
                <c:pt idx="3">
                  <c:v>6.9300124863565919</c:v>
                </c:pt>
                <c:pt idx="4">
                  <c:v>6.8353272585846199</c:v>
                </c:pt>
                <c:pt idx="5">
                  <c:v>6.7576355597148083</c:v>
                </c:pt>
                <c:pt idx="6">
                  <c:v>6.6917558689393228</c:v>
                </c:pt>
                <c:pt idx="7">
                  <c:v>6.6345659702908799</c:v>
                </c:pt>
                <c:pt idx="8">
                  <c:v>6.5840382888711417</c:v>
                </c:pt>
                <c:pt idx="9">
                  <c:v>6.5387813192134114</c:v>
                </c:pt>
                <c:pt idx="10">
                  <c:v>6.4977985806518648</c:v>
                </c:pt>
                <c:pt idx="11">
                  <c:v>6.4603519377719012</c:v>
                </c:pt>
                <c:pt idx="12">
                  <c:v>6.4258793571553712</c:v>
                </c:pt>
                <c:pt idx="13">
                  <c:v>6.3939429923369975</c:v>
                </c:pt>
                <c:pt idx="14">
                  <c:v>6.3641950932798981</c:v>
                </c:pt>
                <c:pt idx="15">
                  <c:v>6.3363548660749878</c:v>
                </c:pt>
                <c:pt idx="16">
                  <c:v>6.3101923156701574</c:v>
                </c:pt>
                <c:pt idx="17">
                  <c:v>6.2855166862069982</c:v>
                </c:pt>
                <c:pt idx="18">
                  <c:v>6.2621680132253328</c:v>
                </c:pt>
                <c:pt idx="19">
                  <c:v>6.2400108336280216</c:v>
                </c:pt>
                <c:pt idx="20">
                  <c:v>6.2189294240571353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74-4EAF-89A8-0D3050A7D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134512"/>
        <c:axId val="254543168"/>
      </c:scatterChart>
      <c:scatterChart>
        <c:scatterStyle val="smoothMarker"/>
        <c:varyColors val="0"/>
        <c:ser>
          <c:idx val="1"/>
          <c:order val="1"/>
          <c:tx>
            <c:strRef>
              <c:f>차트데이터!$C$3</c:f>
              <c:strCache>
                <c:ptCount val="1"/>
                <c:pt idx="0">
                  <c:v>VFA/Alk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차트데이터!$A$4:$A$24</c:f>
              <c:numCache>
                <c:formatCode>General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</c:numCache>
            </c:numRef>
          </c:xVal>
          <c:yVal>
            <c:numRef>
              <c:f>차트데이터!$C$4:$C$24</c:f>
              <c:numCache>
                <c:formatCode>0.00</c:formatCode>
                <c:ptCount val="21"/>
                <c:pt idx="0">
                  <c:v>0.40208717004297112</c:v>
                </c:pt>
                <c:pt idx="1">
                  <c:v>0.45849053093919145</c:v>
                </c:pt>
                <c:pt idx="2">
                  <c:v>0.51495842657327928</c:v>
                </c:pt>
                <c:pt idx="3">
                  <c:v>0.57149096776619257</c:v>
                </c:pt>
                <c:pt idx="4">
                  <c:v>0.62808826559277475</c:v>
                </c:pt>
                <c:pt idx="5">
                  <c:v>0.68475043138248182</c:v>
                </c:pt>
                <c:pt idx="6">
                  <c:v>0.74147757672011305</c:v>
                </c:pt>
                <c:pt idx="7">
                  <c:v>0.79826981344654246</c:v>
                </c:pt>
                <c:pt idx="8">
                  <c:v>0.85512725365945463</c:v>
                </c:pt>
                <c:pt idx="9">
                  <c:v>0.91205000971408157</c:v>
                </c:pt>
                <c:pt idx="10">
                  <c:v>0.96903819422394388</c:v>
                </c:pt>
                <c:pt idx="11">
                  <c:v>1.0260919200615921</c:v>
                </c:pt>
                <c:pt idx="12">
                  <c:v>1.0832113003593526</c:v>
                </c:pt>
                <c:pt idx="13">
                  <c:v>1.1403964485100755</c:v>
                </c:pt>
                <c:pt idx="14">
                  <c:v>1.1976474781678845</c:v>
                </c:pt>
                <c:pt idx="15">
                  <c:v>1.2549645032489303</c:v>
                </c:pt>
                <c:pt idx="16">
                  <c:v>1.3123476379321457</c:v>
                </c:pt>
                <c:pt idx="17">
                  <c:v>1.3697969966600037</c:v>
                </c:pt>
                <c:pt idx="18">
                  <c:v>1.42731269413928</c:v>
                </c:pt>
                <c:pt idx="19">
                  <c:v>1.4848948453418134</c:v>
                </c:pt>
                <c:pt idx="20">
                  <c:v>1.5425435655052748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74-4EAF-89A8-0D3050A7D4A1}"/>
            </c:ext>
          </c:extLst>
        </c:ser>
        <c:ser>
          <c:idx val="2"/>
          <c:order val="2"/>
          <c:tx>
            <c:strRef>
              <c:f>차트데이터!$D$3</c:f>
              <c:strCache>
                <c:ptCount val="1"/>
                <c:pt idx="0">
                  <c:v>H_Pr/H_Ac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차트데이터!$A$4:$A$24</c:f>
              <c:numCache>
                <c:formatCode>General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</c:numCache>
            </c:numRef>
          </c:xVal>
          <c:yVal>
            <c:numRef>
              <c:f>차트데이터!$D$4:$D$24</c:f>
              <c:numCache>
                <c:formatCode>0.00</c:formatCode>
                <c:ptCount val="21"/>
                <c:pt idx="0">
                  <c:v>4.2111520809124725</c:v>
                </c:pt>
                <c:pt idx="1">
                  <c:v>4.0667741493832956</c:v>
                </c:pt>
                <c:pt idx="2">
                  <c:v>3.9318997294273301</c:v>
                </c:pt>
                <c:pt idx="3">
                  <c:v>3.8056203828873456</c:v>
                </c:pt>
                <c:pt idx="4">
                  <c:v>3.6871398794508909</c:v>
                </c:pt>
                <c:pt idx="5">
                  <c:v>3.5757573910799714</c:v>
                </c:pt>
                <c:pt idx="6">
                  <c:v>3.4708536189983681</c:v>
                </c:pt>
                <c:pt idx="7">
                  <c:v>3.3718792730921101</c:v>
                </c:pt>
                <c:pt idx="8">
                  <c:v>3.2783454511385441</c:v>
                </c:pt>
                <c:pt idx="9">
                  <c:v>3.1898155621301041</c:v>
                </c:pt>
                <c:pt idx="10">
                  <c:v>3.1058985121007328</c:v>
                </c:pt>
                <c:pt idx="11">
                  <c:v>3.0262429280620502</c:v>
                </c:pt>
                <c:pt idx="12">
                  <c:v>2.9505322401080445</c:v>
                </c:pt>
                <c:pt idx="13">
                  <c:v>2.8784804765316543</c:v>
                </c:pt>
                <c:pt idx="14">
                  <c:v>2.8098286541949218</c:v>
                </c:pt>
                <c:pt idx="15">
                  <c:v>2.7443416681089445</c:v>
                </c:pt>
                <c:pt idx="16">
                  <c:v>2.681805601491221</c:v>
                </c:pt>
                <c:pt idx="17">
                  <c:v>2.6220253914463898</c:v>
                </c:pt>
                <c:pt idx="18">
                  <c:v>2.5648227966019217</c:v>
                </c:pt>
                <c:pt idx="19">
                  <c:v>2.5100346220913181</c:v>
                </c:pt>
                <c:pt idx="20">
                  <c:v>2.4575111646529249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74-4EAF-89A8-0D3050A7D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021216"/>
        <c:axId val="234026208"/>
      </c:scatterChart>
      <c:valAx>
        <c:axId val="231134512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ko-KR"/>
                  <a:t>Input foodwaste water volume (mL or m</a:t>
                </a:r>
                <a:r>
                  <a:rPr lang="en-US" altLang="ko-KR" baseline="30000"/>
                  <a:t>3</a:t>
                </a:r>
                <a:r>
                  <a:rPr lang="en-US" altLang="ko-KR"/>
                  <a:t>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254543168"/>
        <c:crosses val="autoZero"/>
        <c:crossBetween val="midCat"/>
        <c:majorUnit val="2"/>
      </c:valAx>
      <c:valAx>
        <c:axId val="25454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ko-KR">
                    <a:solidFill>
                      <a:srgbClr val="0070C0"/>
                    </a:solidFill>
                  </a:rPr>
                  <a:t>pH</a:t>
                </a:r>
                <a:endParaRPr lang="ko-KR">
                  <a:solidFill>
                    <a:srgbClr val="0070C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#,##0.0_);[Red]\(#,##0.0\)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231134512"/>
        <c:crosses val="autoZero"/>
        <c:crossBetween val="midCat"/>
      </c:valAx>
      <c:valAx>
        <c:axId val="23402620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rgbClr val="FFC000"/>
                    </a:solidFill>
                  </a:rPr>
                  <a:t>VFA/ALK</a:t>
                </a:r>
                <a:r>
                  <a:rPr lang="en-US"/>
                  <a:t>, </a:t>
                </a:r>
                <a:r>
                  <a:rPr lang="en-US">
                    <a:solidFill>
                      <a:srgbClr val="00B050"/>
                    </a:solidFill>
                  </a:rPr>
                  <a:t>Hpr/Hac </a:t>
                </a:r>
                <a:r>
                  <a:rPr lang="en-US"/>
                  <a:t>ratio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#,##0.0_);[Red]\(#,##0.0\)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234021216"/>
        <c:crosses val="max"/>
        <c:crossBetween val="midCat"/>
      </c:valAx>
      <c:valAx>
        <c:axId val="234021216"/>
        <c:scaling>
          <c:orientation val="minMax"/>
          <c:max val="40"/>
        </c:scaling>
        <c:delete val="1"/>
        <c:axPos val="t"/>
        <c:numFmt formatCode="General" sourceLinked="1"/>
        <c:majorTickMark val="out"/>
        <c:minorTickMark val="none"/>
        <c:tickLblPos val="nextTo"/>
        <c:crossAx val="234026208"/>
        <c:crosses val="max"/>
        <c:crossBetween val="midCat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1746759735122651"/>
          <c:y val="0.11054567113968444"/>
          <c:w val="0.54843860391857724"/>
          <c:h val="6.89413920950112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328611</xdr:colOff>
      <xdr:row>5</xdr:row>
      <xdr:rowOff>171450</xdr:rowOff>
    </xdr:from>
    <xdr:to>
      <xdr:col>17</xdr:col>
      <xdr:colOff>276224</xdr:colOff>
      <xdr:row>27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F298A9-FEA7-466B-9250-AAFB81F8F7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304800</xdr:colOff>
      <xdr:row>29</xdr:row>
      <xdr:rowOff>0</xdr:rowOff>
    </xdr:from>
    <xdr:to>
      <xdr:col>17</xdr:col>
      <xdr:colOff>252413</xdr:colOff>
      <xdr:row>50</xdr:row>
      <xdr:rowOff>123825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A901B88-1092-44A4-86C3-FD8A97D121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140804</xdr:colOff>
      <xdr:row>32</xdr:row>
      <xdr:rowOff>168135</xdr:rowOff>
    </xdr:from>
    <xdr:to>
      <xdr:col>16</xdr:col>
      <xdr:colOff>165653</xdr:colOff>
      <xdr:row>34</xdr:row>
      <xdr:rowOff>66260</xdr:rowOff>
    </xdr:to>
    <xdr:sp macro="" textlink="">
      <xdr:nvSpPr>
        <xdr:cNvPr id="4" name="자유형: 도형 3">
          <a:extLst>
            <a:ext uri="{FF2B5EF4-FFF2-40B4-BE49-F238E27FC236}">
              <a16:creationId xmlns:a16="http://schemas.microsoft.com/office/drawing/2014/main" id="{AABF2F10-0055-491D-A91E-E9E1D7B014AF}"/>
            </a:ext>
          </a:extLst>
        </xdr:cNvPr>
        <xdr:cNvSpPr/>
      </xdr:nvSpPr>
      <xdr:spPr>
        <a:xfrm>
          <a:off x="9135717" y="6015657"/>
          <a:ext cx="4149588" cy="262560"/>
        </a:xfrm>
        <a:custGeom>
          <a:avLst/>
          <a:gdLst>
            <a:gd name="connsiteX0" fmla="*/ 57150 w 4495800"/>
            <a:gd name="connsiteY0" fmla="*/ 47625 h 409575"/>
            <a:gd name="connsiteX1" fmla="*/ 295275 w 4495800"/>
            <a:gd name="connsiteY1" fmla="*/ 123825 h 409575"/>
            <a:gd name="connsiteX2" fmla="*/ 1019175 w 4495800"/>
            <a:gd name="connsiteY2" fmla="*/ 238125 h 409575"/>
            <a:gd name="connsiteX3" fmla="*/ 1704975 w 4495800"/>
            <a:gd name="connsiteY3" fmla="*/ 295275 h 409575"/>
            <a:gd name="connsiteX4" fmla="*/ 2647950 w 4495800"/>
            <a:gd name="connsiteY4" fmla="*/ 342900 h 409575"/>
            <a:gd name="connsiteX5" fmla="*/ 4486275 w 4495800"/>
            <a:gd name="connsiteY5" fmla="*/ 409575 h 409575"/>
            <a:gd name="connsiteX6" fmla="*/ 4495800 w 4495800"/>
            <a:gd name="connsiteY6" fmla="*/ 0 h 409575"/>
            <a:gd name="connsiteX7" fmla="*/ 0 w 4495800"/>
            <a:gd name="connsiteY7" fmla="*/ 9525 h 409575"/>
            <a:gd name="connsiteX8" fmla="*/ 57150 w 4495800"/>
            <a:gd name="connsiteY8" fmla="*/ 47625 h 4095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4495800" h="409575">
              <a:moveTo>
                <a:pt x="57150" y="47625"/>
              </a:moveTo>
              <a:lnTo>
                <a:pt x="295275" y="123825"/>
              </a:lnTo>
              <a:lnTo>
                <a:pt x="1019175" y="238125"/>
              </a:lnTo>
              <a:lnTo>
                <a:pt x="1704975" y="295275"/>
              </a:lnTo>
              <a:lnTo>
                <a:pt x="2647950" y="342900"/>
              </a:lnTo>
              <a:lnTo>
                <a:pt x="4486275" y="409575"/>
              </a:lnTo>
              <a:lnTo>
                <a:pt x="4495800" y="0"/>
              </a:lnTo>
              <a:lnTo>
                <a:pt x="0" y="9525"/>
              </a:lnTo>
              <a:lnTo>
                <a:pt x="57150" y="47625"/>
              </a:lnTo>
              <a:close/>
            </a:path>
          </a:pathLst>
        </a:custGeom>
        <a:solidFill>
          <a:srgbClr val="40AEE0">
            <a:alpha val="23922"/>
          </a:srgbClr>
        </a:solidFill>
        <a:ln>
          <a:solidFill>
            <a:srgbClr val="000000">
              <a:alpha val="10196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571500</xdr:colOff>
      <xdr:row>32</xdr:row>
      <xdr:rowOff>66260</xdr:rowOff>
    </xdr:from>
    <xdr:to>
      <xdr:col>15</xdr:col>
      <xdr:colOff>215348</xdr:colOff>
      <xdr:row>34</xdr:row>
      <xdr:rowOff>151391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53C6989F-FA01-47DA-BF46-23D720AEC237}"/>
            </a:ext>
          </a:extLst>
        </xdr:cNvPr>
        <xdr:cNvSpPr/>
      </xdr:nvSpPr>
      <xdr:spPr>
        <a:xfrm>
          <a:off x="11628783" y="5913782"/>
          <a:ext cx="1018761" cy="4495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400">
              <a:solidFill>
                <a:schemeClr val="tx2">
                  <a:lumMod val="50000"/>
                  <a:lumOff val="50000"/>
                </a:schemeClr>
              </a:solidFill>
            </a:rPr>
            <a:t>Warning</a:t>
          </a:r>
          <a:endParaRPr lang="ko-KR" altLang="en-US" sz="1400">
            <a:solidFill>
              <a:schemeClr val="tx2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9</xdr:col>
      <xdr:colOff>397565</xdr:colOff>
      <xdr:row>38</xdr:row>
      <xdr:rowOff>91108</xdr:rowOff>
    </xdr:from>
    <xdr:to>
      <xdr:col>11</xdr:col>
      <xdr:colOff>41413</xdr:colOff>
      <xdr:row>40</xdr:row>
      <xdr:rowOff>176239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973F95FC-9D64-4E50-BE25-0CBD416FC993}"/>
            </a:ext>
          </a:extLst>
        </xdr:cNvPr>
        <xdr:cNvSpPr/>
      </xdr:nvSpPr>
      <xdr:spPr>
        <a:xfrm>
          <a:off x="8705022" y="7031934"/>
          <a:ext cx="1018761" cy="4495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400">
              <a:solidFill>
                <a:srgbClr val="00B050"/>
              </a:solidFill>
            </a:rPr>
            <a:t>Warning</a:t>
          </a:r>
          <a:endParaRPr lang="ko-KR" altLang="en-US" sz="1400">
            <a:solidFill>
              <a:srgbClr val="00B050"/>
            </a:solidFill>
          </a:endParaRPr>
        </a:p>
      </xdr:txBody>
    </xdr:sp>
    <xdr:clientData/>
  </xdr:twoCellAnchor>
  <xdr:twoCellAnchor>
    <xdr:from>
      <xdr:col>14</xdr:col>
      <xdr:colOff>588065</xdr:colOff>
      <xdr:row>41</xdr:row>
      <xdr:rowOff>132521</xdr:rowOff>
    </xdr:from>
    <xdr:to>
      <xdr:col>16</xdr:col>
      <xdr:colOff>231913</xdr:colOff>
      <xdr:row>44</xdr:row>
      <xdr:rowOff>35435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41A4E0E0-1F14-474C-916D-9BA69294979E}"/>
            </a:ext>
          </a:extLst>
        </xdr:cNvPr>
        <xdr:cNvSpPr/>
      </xdr:nvSpPr>
      <xdr:spPr>
        <a:xfrm>
          <a:off x="12332804" y="7619999"/>
          <a:ext cx="1018761" cy="4495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400">
              <a:solidFill>
                <a:srgbClr val="C89800"/>
              </a:solidFill>
            </a:rPr>
            <a:t>Warning</a:t>
          </a:r>
          <a:endParaRPr lang="ko-KR" altLang="en-US" sz="1400">
            <a:solidFill>
              <a:srgbClr val="C89800"/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0.10662</cdr:x>
      <cdr:y>0.36408</cdr:y>
    </cdr:from>
    <cdr:to>
      <cdr:x>0.8786</cdr:x>
      <cdr:y>0.36408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53F631D0-F521-4CB5-9785-02968FB3CA11}"/>
            </a:ext>
          </a:extLst>
        </cdr:cNvPr>
        <cdr:cNvCxnSpPr/>
      </cdr:nvCxnSpPr>
      <cdr:spPr>
        <a:xfrm xmlns:a="http://schemas.openxmlformats.org/drawingml/2006/main">
          <a:off x="652464" y="1428750"/>
          <a:ext cx="4724400" cy="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tx2">
              <a:lumMod val="50000"/>
              <a:lumOff val="50000"/>
            </a:schemeClr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0.12685</cdr:x>
      <cdr:y>0.36408</cdr:y>
    </cdr:from>
    <cdr:to>
      <cdr:x>0.12685</cdr:x>
      <cdr:y>0.58252</cdr:y>
    </cdr:to>
    <cdr:cxnSp macro="">
      <cdr:nvCxnSpPr>
        <cdr:cNvPr id="5" name="직선 화살표 연결선 4">
          <a:extLst xmlns:a="http://schemas.openxmlformats.org/drawingml/2006/main">
            <a:ext uri="{FF2B5EF4-FFF2-40B4-BE49-F238E27FC236}">
              <a16:creationId xmlns:a16="http://schemas.microsoft.com/office/drawing/2014/main" id="{05B051A6-D549-447B-921E-FCD13F6DE68D}"/>
            </a:ext>
          </a:extLst>
        </cdr:cNvPr>
        <cdr:cNvCxnSpPr/>
      </cdr:nvCxnSpPr>
      <cdr:spPr>
        <a:xfrm xmlns:a="http://schemas.openxmlformats.org/drawingml/2006/main">
          <a:off x="776289" y="1428750"/>
          <a:ext cx="0" cy="85725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tx2">
              <a:lumMod val="50000"/>
              <a:lumOff val="50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0.10817</cdr:x>
      <cdr:y>0.5801</cdr:y>
    </cdr:from>
    <cdr:to>
      <cdr:x>0.88016</cdr:x>
      <cdr:y>0.5801</cdr:y>
    </cdr:to>
    <cdr:cxnSp macro="">
      <cdr:nvCxnSpPr>
        <cdr:cNvPr id="6" name="직선 연결선 5">
          <a:extLst xmlns:a="http://schemas.openxmlformats.org/drawingml/2006/main">
            <a:ext uri="{FF2B5EF4-FFF2-40B4-BE49-F238E27FC236}">
              <a16:creationId xmlns:a16="http://schemas.microsoft.com/office/drawing/2014/main" id="{70C51D4A-4D8D-44BD-BD02-ECB29A04BB3E}"/>
            </a:ext>
          </a:extLst>
        </cdr:cNvPr>
        <cdr:cNvCxnSpPr/>
      </cdr:nvCxnSpPr>
      <cdr:spPr>
        <a:xfrm xmlns:a="http://schemas.openxmlformats.org/drawingml/2006/main">
          <a:off x="661989" y="2276475"/>
          <a:ext cx="4724400" cy="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00B05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0.10662</cdr:x>
      <cdr:y>0.68204</cdr:y>
    </cdr:from>
    <cdr:to>
      <cdr:x>0.8786</cdr:x>
      <cdr:y>0.68204</cdr:y>
    </cdr:to>
    <cdr:cxnSp macro="">
      <cdr:nvCxnSpPr>
        <cdr:cNvPr id="11" name="직선 연결선 10">
          <a:extLst xmlns:a="http://schemas.openxmlformats.org/drawingml/2006/main">
            <a:ext uri="{FF2B5EF4-FFF2-40B4-BE49-F238E27FC236}">
              <a16:creationId xmlns:a16="http://schemas.microsoft.com/office/drawing/2014/main" id="{731E292B-B3E1-44C3-8F79-DCB69D379E74}"/>
            </a:ext>
          </a:extLst>
        </cdr:cNvPr>
        <cdr:cNvCxnSpPr/>
      </cdr:nvCxnSpPr>
      <cdr:spPr>
        <a:xfrm xmlns:a="http://schemas.openxmlformats.org/drawingml/2006/main">
          <a:off x="652464" y="2676525"/>
          <a:ext cx="4724400" cy="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C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0.10973</cdr:x>
      <cdr:y>0.18093</cdr:y>
    </cdr:from>
    <cdr:to>
      <cdr:x>0.88171</cdr:x>
      <cdr:y>0.18093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53F631D0-F521-4CB5-9785-02968FB3CA11}"/>
            </a:ext>
          </a:extLst>
        </cdr:cNvPr>
        <cdr:cNvCxnSpPr/>
      </cdr:nvCxnSpPr>
      <cdr:spPr>
        <a:xfrm xmlns:a="http://schemas.openxmlformats.org/drawingml/2006/main">
          <a:off x="673163" y="714756"/>
          <a:ext cx="4735883" cy="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tx2">
              <a:lumMod val="50000"/>
              <a:lumOff val="50000"/>
            </a:schemeClr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0.10817</cdr:x>
      <cdr:y>0.55284</cdr:y>
    </cdr:from>
    <cdr:to>
      <cdr:x>0.88016</cdr:x>
      <cdr:y>0.55284</cdr:y>
    </cdr:to>
    <cdr:cxnSp macro="">
      <cdr:nvCxnSpPr>
        <cdr:cNvPr id="6" name="직선 연결선 5">
          <a:extLst xmlns:a="http://schemas.openxmlformats.org/drawingml/2006/main">
            <a:ext uri="{FF2B5EF4-FFF2-40B4-BE49-F238E27FC236}">
              <a16:creationId xmlns:a16="http://schemas.microsoft.com/office/drawing/2014/main" id="{70C51D4A-4D8D-44BD-BD02-ECB29A04BB3E}"/>
            </a:ext>
          </a:extLst>
        </cdr:cNvPr>
        <cdr:cNvCxnSpPr/>
      </cdr:nvCxnSpPr>
      <cdr:spPr>
        <a:xfrm xmlns:a="http://schemas.openxmlformats.org/drawingml/2006/main">
          <a:off x="663593" y="2183947"/>
          <a:ext cx="4735944" cy="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00B05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0.10662</cdr:x>
      <cdr:y>0.68204</cdr:y>
    </cdr:from>
    <cdr:to>
      <cdr:x>0.8786</cdr:x>
      <cdr:y>0.68204</cdr:y>
    </cdr:to>
    <cdr:cxnSp macro="">
      <cdr:nvCxnSpPr>
        <cdr:cNvPr id="11" name="직선 연결선 10">
          <a:extLst xmlns:a="http://schemas.openxmlformats.org/drawingml/2006/main">
            <a:ext uri="{FF2B5EF4-FFF2-40B4-BE49-F238E27FC236}">
              <a16:creationId xmlns:a16="http://schemas.microsoft.com/office/drawing/2014/main" id="{731E292B-B3E1-44C3-8F79-DCB69D379E74}"/>
            </a:ext>
          </a:extLst>
        </cdr:cNvPr>
        <cdr:cNvCxnSpPr/>
      </cdr:nvCxnSpPr>
      <cdr:spPr>
        <a:xfrm xmlns:a="http://schemas.openxmlformats.org/drawingml/2006/main">
          <a:off x="652464" y="2676525"/>
          <a:ext cx="4724400" cy="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C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0.11206</cdr:x>
      <cdr:y>0.17476</cdr:y>
    </cdr:from>
    <cdr:to>
      <cdr:x>0.87626</cdr:x>
      <cdr:y>0.68689</cdr:y>
    </cdr:to>
    <cdr:sp macro="" textlink="">
      <cdr:nvSpPr>
        <cdr:cNvPr id="2" name="이등변 삼각형 1">
          <a:extLst xmlns:a="http://schemas.openxmlformats.org/drawingml/2006/main">
            <a:ext uri="{FF2B5EF4-FFF2-40B4-BE49-F238E27FC236}">
              <a16:creationId xmlns:a16="http://schemas.microsoft.com/office/drawing/2014/main" id="{8A6B4DE7-E6DF-4CC7-9E4E-CD1CB8A21D9B}"/>
            </a:ext>
          </a:extLst>
        </cdr:cNvPr>
        <cdr:cNvSpPr/>
      </cdr:nvSpPr>
      <cdr:spPr>
        <a:xfrm xmlns:a="http://schemas.openxmlformats.org/drawingml/2006/main">
          <a:off x="685800" y="685801"/>
          <a:ext cx="4676775" cy="2009774"/>
        </a:xfrm>
        <a:prstGeom xmlns:a="http://schemas.openxmlformats.org/drawingml/2006/main" prst="triangle">
          <a:avLst>
            <a:gd name="adj" fmla="val 100000"/>
          </a:avLst>
        </a:prstGeom>
        <a:solidFill xmlns:a="http://schemas.openxmlformats.org/drawingml/2006/main">
          <a:srgbClr val="EAFC02">
            <a:alpha val="27059"/>
          </a:srgbClr>
        </a:solidFill>
        <a:ln xmlns:a="http://schemas.openxmlformats.org/drawingml/2006/main">
          <a:solidFill>
            <a:srgbClr val="000000">
              <a:alpha val="21961"/>
            </a:srgbClr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ko-KR"/>
        </a:p>
      </cdr:txBody>
    </cdr:sp>
  </cdr:relSizeAnchor>
  <cdr:relSizeAnchor xmlns:cdr="http://schemas.openxmlformats.org/drawingml/2006/chartDrawing">
    <cdr:from>
      <cdr:x>0.11233</cdr:x>
      <cdr:y>0.14886</cdr:y>
    </cdr:from>
    <cdr:to>
      <cdr:x>0.8765</cdr:x>
      <cdr:y>0.55981</cdr:y>
    </cdr:to>
    <cdr:sp macro="" textlink="">
      <cdr:nvSpPr>
        <cdr:cNvPr id="5" name="자유형: 도형 4">
          <a:extLst xmlns:a="http://schemas.openxmlformats.org/drawingml/2006/main">
            <a:ext uri="{FF2B5EF4-FFF2-40B4-BE49-F238E27FC236}">
              <a16:creationId xmlns:a16="http://schemas.microsoft.com/office/drawing/2014/main" id="{CD077A16-CE42-418E-BBD2-A69DE38E0EDA}"/>
            </a:ext>
          </a:extLst>
        </cdr:cNvPr>
        <cdr:cNvSpPr/>
      </cdr:nvSpPr>
      <cdr:spPr>
        <a:xfrm xmlns:a="http://schemas.openxmlformats.org/drawingml/2006/main">
          <a:off x="689113" y="588065"/>
          <a:ext cx="4687957" cy="1623391"/>
        </a:xfrm>
        <a:custGeom xmlns:a="http://schemas.openxmlformats.org/drawingml/2006/main">
          <a:avLst/>
          <a:gdLst>
            <a:gd name="connsiteX0" fmla="*/ 4679674 w 4687957"/>
            <a:gd name="connsiteY0" fmla="*/ 1598543 h 1623391"/>
            <a:gd name="connsiteX1" fmla="*/ 0 w 4687957"/>
            <a:gd name="connsiteY1" fmla="*/ 1623391 h 1623391"/>
            <a:gd name="connsiteX2" fmla="*/ 0 w 4687957"/>
            <a:gd name="connsiteY2" fmla="*/ 0 h 1623391"/>
            <a:gd name="connsiteX3" fmla="*/ 704022 w 4687957"/>
            <a:gd name="connsiteY3" fmla="*/ 240195 h 1623391"/>
            <a:gd name="connsiteX4" fmla="*/ 1399761 w 4687957"/>
            <a:gd name="connsiteY4" fmla="*/ 405848 h 1623391"/>
            <a:gd name="connsiteX5" fmla="*/ 1863587 w 4687957"/>
            <a:gd name="connsiteY5" fmla="*/ 513522 h 1623391"/>
            <a:gd name="connsiteX6" fmla="*/ 2584174 w 4687957"/>
            <a:gd name="connsiteY6" fmla="*/ 679174 h 1623391"/>
            <a:gd name="connsiteX7" fmla="*/ 3271630 w 4687957"/>
            <a:gd name="connsiteY7" fmla="*/ 786848 h 1623391"/>
            <a:gd name="connsiteX8" fmla="*/ 3743739 w 4687957"/>
            <a:gd name="connsiteY8" fmla="*/ 844826 h 1623391"/>
            <a:gd name="connsiteX9" fmla="*/ 4538870 w 4687957"/>
            <a:gd name="connsiteY9" fmla="*/ 960782 h 1623391"/>
            <a:gd name="connsiteX10" fmla="*/ 4687957 w 4687957"/>
            <a:gd name="connsiteY10" fmla="*/ 977348 h 1623391"/>
            <a:gd name="connsiteX11" fmla="*/ 4679674 w 4687957"/>
            <a:gd name="connsiteY11" fmla="*/ 1598543 h 162339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4687957" h="1623391">
              <a:moveTo>
                <a:pt x="4679674" y="1598543"/>
              </a:moveTo>
              <a:lnTo>
                <a:pt x="0" y="1623391"/>
              </a:lnTo>
              <a:lnTo>
                <a:pt x="0" y="0"/>
              </a:lnTo>
              <a:lnTo>
                <a:pt x="704022" y="240195"/>
              </a:lnTo>
              <a:lnTo>
                <a:pt x="1399761" y="405848"/>
              </a:lnTo>
              <a:lnTo>
                <a:pt x="1863587" y="513522"/>
              </a:lnTo>
              <a:lnTo>
                <a:pt x="2584174" y="679174"/>
              </a:lnTo>
              <a:lnTo>
                <a:pt x="3271630" y="786848"/>
              </a:lnTo>
              <a:lnTo>
                <a:pt x="3743739" y="844826"/>
              </a:lnTo>
              <a:lnTo>
                <a:pt x="4538870" y="960782"/>
              </a:lnTo>
              <a:lnTo>
                <a:pt x="4687957" y="977348"/>
              </a:lnTo>
              <a:lnTo>
                <a:pt x="4679674" y="1598543"/>
              </a:lnTo>
              <a:close/>
            </a:path>
          </a:pathLst>
        </a:custGeom>
        <a:solidFill xmlns:a="http://schemas.openxmlformats.org/drawingml/2006/main">
          <a:srgbClr val="00B050">
            <a:alpha val="14902"/>
          </a:srgbClr>
        </a:solidFill>
        <a:ln xmlns:a="http://schemas.openxmlformats.org/drawingml/2006/main">
          <a:solidFill>
            <a:srgbClr val="00B050">
              <a:alpha val="20000"/>
            </a:srgbClr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ko-KR"/>
        </a:p>
      </cdr:txBody>
    </cdr:sp>
  </cdr:relSizeAnchor>
</c:userShape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zoomScale="85" zoomScaleNormal="85" workbookViewId="0">
      <selection activeCell="B29" sqref="B29"/>
    </sheetView>
  </sheetViews>
  <sheetFormatPr defaultRowHeight="14.25"/>
  <cols>
    <col min="1" max="1" width="27" customWidth="1"/>
    <col min="2" max="2" width="22.125" customWidth="1"/>
    <col min="3" max="3" width="31.875" customWidth="1"/>
    <col min="4" max="4" width="3" customWidth="1"/>
    <col min="5" max="5" width="112.625" customWidth="1"/>
    <col min="6" max="6" width="10.625" customWidth="1"/>
    <col min="8" max="8" width="22" customWidth="1"/>
    <col min="9" max="9" width="12" customWidth="1"/>
    <col min="10" max="10" width="30" customWidth="1"/>
  </cols>
  <sheetData>
    <row r="1" spans="1:10" ht="15">
      <c r="A1" s="44" t="s">
        <v>0</v>
      </c>
      <c r="B1" s="44"/>
      <c r="C1" s="44"/>
      <c r="D1" s="44"/>
      <c r="E1" s="44"/>
      <c r="F1" s="44"/>
    </row>
    <row r="2" spans="1:10">
      <c r="A2" s="4"/>
      <c r="B2" s="4"/>
      <c r="C2" s="4"/>
      <c r="D2" s="4"/>
      <c r="E2" s="4"/>
      <c r="F2" s="4"/>
      <c r="H2" s="27"/>
      <c r="I2" s="27"/>
      <c r="J2" s="27"/>
    </row>
    <row r="3" spans="1:10" ht="15">
      <c r="A3" s="1" t="s">
        <v>1</v>
      </c>
      <c r="B3" s="1"/>
      <c r="C3" s="1"/>
      <c r="D3" s="4"/>
      <c r="E3" s="1" t="s">
        <v>2</v>
      </c>
      <c r="F3" s="1"/>
      <c r="H3" s="28"/>
      <c r="I3" s="28"/>
      <c r="J3" s="28"/>
    </row>
    <row r="4" spans="1:10">
      <c r="A4" s="4" t="s">
        <v>3</v>
      </c>
      <c r="B4" s="8">
        <v>3500</v>
      </c>
      <c r="C4" s="4" t="s">
        <v>4</v>
      </c>
      <c r="D4" s="4"/>
      <c r="E4" s="5" t="s">
        <v>5</v>
      </c>
      <c r="F4" s="5">
        <f>IFERROR(INDEX(시뮬레이션!$A$6:$A$26,MATCH("YES",시뮬레이션!$V$6:$V$26,0)),"없음")</f>
        <v>6</v>
      </c>
      <c r="H4" s="27"/>
      <c r="I4" s="27"/>
      <c r="J4" s="27"/>
    </row>
    <row r="5" spans="1:10">
      <c r="A5" s="4" t="s">
        <v>7</v>
      </c>
      <c r="B5" s="9">
        <v>7.5</v>
      </c>
      <c r="C5" s="4" t="s">
        <v>8</v>
      </c>
      <c r="D5" s="4"/>
      <c r="E5" s="5" t="s">
        <v>9</v>
      </c>
      <c r="F5" s="5" t="str">
        <f>IFERROR(INDEX(시뮬레이션!$A$6:$A$26,MATCH("YES",시뮬레이션!$W$6:$W$26,0)),"없음")</f>
        <v>없음</v>
      </c>
      <c r="H5" s="27"/>
      <c r="I5" s="27"/>
      <c r="J5" s="27"/>
    </row>
    <row r="6" spans="1:10">
      <c r="A6" s="4" t="s">
        <v>11</v>
      </c>
      <c r="B6" s="8">
        <v>3258</v>
      </c>
      <c r="C6" s="4" t="s">
        <v>12</v>
      </c>
      <c r="D6" s="4"/>
      <c r="E6" s="5" t="s">
        <v>13</v>
      </c>
      <c r="F6" s="5">
        <f>IFERROR(INDEX(시뮬레이션!$A$6:$A$26,MATCH("YES",시뮬레이션!$X$6:$X$26,0)),"없음")</f>
        <v>30</v>
      </c>
      <c r="H6" s="27"/>
      <c r="I6" s="27"/>
      <c r="J6" s="27"/>
    </row>
    <row r="7" spans="1:10">
      <c r="A7" s="4" t="s">
        <v>14</v>
      </c>
      <c r="B7" s="8">
        <v>1310</v>
      </c>
      <c r="C7" s="4" t="s">
        <v>15</v>
      </c>
      <c r="D7" s="4"/>
      <c r="E7" s="5" t="s">
        <v>16</v>
      </c>
      <c r="F7" s="5">
        <f>IFERROR(INDEX(시뮬레이션!$A$6:$A$26,MATCH("YES",시뮬레이션!$Y$6:$Y$26,0)),"없음")</f>
        <v>0</v>
      </c>
      <c r="H7" s="27"/>
      <c r="I7" s="27"/>
      <c r="J7" s="27"/>
    </row>
    <row r="8" spans="1:10">
      <c r="A8" s="4" t="s">
        <v>17</v>
      </c>
      <c r="B8" s="8">
        <v>108</v>
      </c>
      <c r="C8" s="4" t="s">
        <v>18</v>
      </c>
      <c r="D8" s="4"/>
      <c r="E8" s="5" t="s">
        <v>19</v>
      </c>
      <c r="F8" s="5">
        <f>IFERROR(INDEX(시뮬레이션!$A$6:$A$26,MATCH("YES",시뮬레이션!$AA$6:$AA$26,0)),"없음")</f>
        <v>0</v>
      </c>
      <c r="H8" s="27"/>
      <c r="I8" s="27"/>
      <c r="J8" s="27"/>
    </row>
    <row r="9" spans="1:10" ht="15">
      <c r="A9" s="4" t="s">
        <v>20</v>
      </c>
      <c r="B9" s="9">
        <v>7.5</v>
      </c>
      <c r="C9" s="4" t="s">
        <v>8</v>
      </c>
      <c r="D9" s="4"/>
      <c r="E9" s="19" t="s">
        <v>21</v>
      </c>
      <c r="F9" s="19">
        <f>IFERROR(INDEX(시뮬레이션!$A$6:$A$26,MATCH("YES",시뮬레이션!$Z$6:$Z$26,0)),"없음")</f>
        <v>0</v>
      </c>
      <c r="H9" s="27"/>
      <c r="I9" s="27"/>
      <c r="J9" s="27"/>
    </row>
    <row r="10" spans="1:10" ht="15">
      <c r="A10" s="4" t="s">
        <v>22</v>
      </c>
      <c r="B10" s="8">
        <v>3258</v>
      </c>
      <c r="C10" s="4" t="s">
        <v>12</v>
      </c>
      <c r="D10" s="4"/>
      <c r="E10" s="4" t="s">
        <v>23</v>
      </c>
      <c r="F10" s="4"/>
      <c r="H10" s="17"/>
      <c r="I10" s="29"/>
      <c r="J10" s="2"/>
    </row>
    <row r="11" spans="1:10">
      <c r="A11" s="4" t="s">
        <v>24</v>
      </c>
      <c r="B11" s="8">
        <v>1310</v>
      </c>
      <c r="C11" s="4" t="s">
        <v>94</v>
      </c>
      <c r="D11" s="4"/>
      <c r="E11" s="4" t="s">
        <v>25</v>
      </c>
      <c r="F11" s="4"/>
      <c r="H11" s="27"/>
      <c r="I11" s="27"/>
      <c r="J11" s="27"/>
    </row>
    <row r="12" spans="1:10">
      <c r="A12" s="4" t="s">
        <v>28</v>
      </c>
      <c r="B12" s="8">
        <v>0</v>
      </c>
      <c r="C12" s="4" t="s">
        <v>29</v>
      </c>
      <c r="D12" s="4"/>
      <c r="E12" s="4"/>
      <c r="F12" s="4"/>
      <c r="H12" s="27"/>
      <c r="I12" s="27"/>
      <c r="J12" s="27"/>
    </row>
    <row r="13" spans="1:10">
      <c r="A13" s="4" t="s">
        <v>30</v>
      </c>
      <c r="B13" s="9">
        <v>4.3</v>
      </c>
      <c r="C13" s="4" t="s">
        <v>8</v>
      </c>
      <c r="D13" s="4"/>
      <c r="E13" s="4"/>
      <c r="F13" s="4"/>
      <c r="H13" s="30"/>
      <c r="I13" s="31"/>
      <c r="J13" s="31"/>
    </row>
    <row r="14" spans="1:10">
      <c r="A14" s="4" t="s">
        <v>31</v>
      </c>
      <c r="B14" s="8">
        <v>0</v>
      </c>
      <c r="C14" s="4" t="s">
        <v>12</v>
      </c>
      <c r="D14" s="4"/>
      <c r="E14" s="4"/>
      <c r="F14" s="4"/>
      <c r="H14" s="30"/>
      <c r="I14" s="31"/>
      <c r="J14" s="31"/>
    </row>
    <row r="15" spans="1:10">
      <c r="A15" s="4" t="s">
        <v>32</v>
      </c>
      <c r="B15" s="8">
        <v>321400</v>
      </c>
      <c r="C15" s="4" t="s">
        <v>15</v>
      </c>
      <c r="D15" s="4"/>
      <c r="E15" s="4"/>
      <c r="F15" s="4"/>
      <c r="H15" s="27"/>
      <c r="I15" s="27"/>
      <c r="J15" s="27"/>
    </row>
    <row r="16" spans="1:10">
      <c r="A16" s="4" t="s">
        <v>33</v>
      </c>
      <c r="B16" s="8">
        <v>172000</v>
      </c>
      <c r="C16" s="4" t="s">
        <v>34</v>
      </c>
      <c r="D16" s="4"/>
      <c r="E16" s="4"/>
      <c r="F16" s="4"/>
    </row>
    <row r="17" spans="1:6">
      <c r="A17" s="2" t="s">
        <v>85</v>
      </c>
      <c r="B17" s="18">
        <f>0.21*1000</f>
        <v>210</v>
      </c>
      <c r="C17" s="2" t="s">
        <v>6</v>
      </c>
      <c r="D17" s="7"/>
      <c r="E17" s="7"/>
      <c r="F17" s="7"/>
    </row>
    <row r="18" spans="1:6">
      <c r="A18" s="2" t="s">
        <v>86</v>
      </c>
      <c r="B18" s="18">
        <f>0.91725*1000</f>
        <v>917.25</v>
      </c>
      <c r="C18" s="2" t="s">
        <v>10</v>
      </c>
      <c r="D18" s="7"/>
      <c r="E18" s="7"/>
      <c r="F18" s="7"/>
    </row>
    <row r="19" spans="1:6">
      <c r="A19" s="2" t="s">
        <v>87</v>
      </c>
      <c r="B19" s="18">
        <f>0.2508*1000</f>
        <v>250.8</v>
      </c>
      <c r="C19" s="2" t="s">
        <v>6</v>
      </c>
      <c r="D19" s="7"/>
      <c r="E19" s="7"/>
      <c r="F19" s="7"/>
    </row>
    <row r="20" spans="1:6">
      <c r="A20" s="2" t="s">
        <v>88</v>
      </c>
      <c r="B20" s="18">
        <f>0.0226*1000</f>
        <v>22.599999999999998</v>
      </c>
      <c r="C20" s="2" t="s">
        <v>10</v>
      </c>
      <c r="D20" s="7"/>
      <c r="E20" s="7"/>
      <c r="F20" s="7"/>
    </row>
    <row r="21" spans="1:6">
      <c r="A21" s="2" t="s">
        <v>89</v>
      </c>
      <c r="B21" s="18">
        <f>13.235*1000</f>
        <v>13235</v>
      </c>
      <c r="C21" s="2" t="s">
        <v>6</v>
      </c>
      <c r="D21" s="7"/>
      <c r="E21" s="7"/>
      <c r="F21" s="7"/>
    </row>
    <row r="22" spans="1:6">
      <c r="A22" s="2" t="s">
        <v>90</v>
      </c>
      <c r="B22" s="18">
        <f>0.51*1000</f>
        <v>510</v>
      </c>
      <c r="C22" s="2" t="s">
        <v>10</v>
      </c>
      <c r="D22" s="4"/>
      <c r="E22" s="4"/>
      <c r="F22" s="4"/>
    </row>
    <row r="23" spans="1:6">
      <c r="A23" s="3"/>
      <c r="B23" s="25"/>
      <c r="C23" s="3"/>
      <c r="D23" s="7"/>
      <c r="E23" s="7"/>
      <c r="F23" s="7"/>
    </row>
    <row r="24" spans="1:6">
      <c r="A24" s="3"/>
      <c r="B24" s="25"/>
      <c r="C24" s="3"/>
      <c r="D24" s="7"/>
      <c r="E24" s="7"/>
      <c r="F24" s="7"/>
    </row>
    <row r="25" spans="1:6" ht="15">
      <c r="A25" s="6" t="s">
        <v>35</v>
      </c>
      <c r="B25" s="6"/>
      <c r="C25" s="6"/>
      <c r="D25" s="4"/>
      <c r="E25" s="4"/>
      <c r="F25" s="4"/>
    </row>
    <row r="26" spans="1:6">
      <c r="A26" s="4" t="s">
        <v>36</v>
      </c>
      <c r="B26" s="10">
        <v>7</v>
      </c>
      <c r="C26" s="4" t="s">
        <v>8</v>
      </c>
      <c r="D26" s="4"/>
      <c r="E26" s="4"/>
      <c r="F26" s="4"/>
    </row>
    <row r="27" spans="1:6">
      <c r="A27" s="4" t="s">
        <v>37</v>
      </c>
      <c r="B27" s="40">
        <v>554</v>
      </c>
      <c r="C27" s="4" t="s">
        <v>12</v>
      </c>
      <c r="D27" s="4"/>
      <c r="E27" s="4"/>
      <c r="F27" s="4"/>
    </row>
    <row r="28" spans="1:6">
      <c r="A28" s="4" t="s">
        <v>38</v>
      </c>
      <c r="B28" s="40">
        <v>4000</v>
      </c>
      <c r="C28" s="4" t="s">
        <v>94</v>
      </c>
      <c r="D28" s="4"/>
      <c r="E28" s="4"/>
      <c r="F28" s="4"/>
    </row>
    <row r="29" spans="1:6">
      <c r="A29" s="4" t="s">
        <v>39</v>
      </c>
      <c r="B29" s="10">
        <v>0.4</v>
      </c>
      <c r="C29" s="4" t="s">
        <v>8</v>
      </c>
      <c r="D29" s="4"/>
      <c r="E29" s="4"/>
      <c r="F29" s="4"/>
    </row>
    <row r="30" spans="1:6" ht="15">
      <c r="A30" s="17" t="s">
        <v>26</v>
      </c>
      <c r="B30" s="10">
        <v>1.4</v>
      </c>
      <c r="C30" s="2" t="s">
        <v>27</v>
      </c>
      <c r="D30" s="4"/>
      <c r="E30" s="4"/>
      <c r="F30" s="4"/>
    </row>
    <row r="31" spans="1:6" ht="15">
      <c r="A31" s="26"/>
      <c r="B31" s="12"/>
      <c r="C31" s="3"/>
      <c r="D31" s="7"/>
      <c r="E31" s="7"/>
      <c r="F31" s="7"/>
    </row>
    <row r="32" spans="1:6">
      <c r="A32" s="4" t="s">
        <v>40</v>
      </c>
      <c r="B32" s="4"/>
      <c r="C32" s="4"/>
      <c r="D32" s="4"/>
      <c r="E32" s="4"/>
      <c r="F32" s="4"/>
    </row>
    <row r="33" spans="1:6" ht="15">
      <c r="A33" s="41" t="s">
        <v>41</v>
      </c>
      <c r="B33" s="6"/>
      <c r="C33" s="6"/>
      <c r="D33" s="6"/>
      <c r="E33" s="6"/>
      <c r="F33" s="6"/>
    </row>
    <row r="34" spans="1:6">
      <c r="A34" s="24" t="s">
        <v>42</v>
      </c>
      <c r="B34" s="4"/>
      <c r="C34" s="4"/>
      <c r="D34" s="4"/>
      <c r="E34" s="4"/>
      <c r="F34" s="4"/>
    </row>
    <row r="35" spans="1:6">
      <c r="A35" s="24" t="s">
        <v>43</v>
      </c>
      <c r="B35" s="4"/>
      <c r="C35" s="4"/>
      <c r="D35" s="4"/>
      <c r="E35" s="4"/>
      <c r="F35" s="4"/>
    </row>
    <row r="36" spans="1:6">
      <c r="A36" s="24" t="s">
        <v>44</v>
      </c>
      <c r="B36" s="4"/>
      <c r="C36" s="4"/>
      <c r="D36" s="4"/>
      <c r="E36" s="4"/>
      <c r="F36" s="4"/>
    </row>
    <row r="37" spans="1:6">
      <c r="A37" s="24" t="s">
        <v>45</v>
      </c>
      <c r="B37" s="4"/>
      <c r="C37" s="4"/>
      <c r="D37" s="4"/>
      <c r="E37" s="4"/>
      <c r="F37" s="4"/>
    </row>
    <row r="38" spans="1:6">
      <c r="A38" s="24" t="s">
        <v>46</v>
      </c>
      <c r="B38" s="4"/>
      <c r="C38" s="4"/>
      <c r="D38" s="4"/>
      <c r="E38" s="4"/>
      <c r="F38" s="4"/>
    </row>
  </sheetData>
  <mergeCells count="1">
    <mergeCell ref="A1:F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6"/>
  <sheetViews>
    <sheetView tabSelected="1" topLeftCell="O1" zoomScale="70" zoomScaleNormal="70" workbookViewId="0">
      <selection activeCell="AA33" sqref="AA33"/>
    </sheetView>
  </sheetViews>
  <sheetFormatPr defaultRowHeight="14.25"/>
  <cols>
    <col min="1" max="15" width="13" customWidth="1"/>
    <col min="16" max="21" width="14" customWidth="1"/>
    <col min="22" max="25" width="13" customWidth="1"/>
    <col min="26" max="26" width="14" customWidth="1"/>
    <col min="27" max="31" width="13" customWidth="1"/>
    <col min="32" max="32" width="14" customWidth="1"/>
    <col min="33" max="33" width="30" customWidth="1"/>
  </cols>
  <sheetData>
    <row r="1" spans="1:33" s="27" customFormat="1" ht="15.75">
      <c r="A1" s="38" t="s">
        <v>93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V1" s="34"/>
      <c r="W1" s="34"/>
      <c r="X1" s="34"/>
      <c r="Y1" s="34"/>
      <c r="AA1" s="34"/>
      <c r="AB1" s="34"/>
      <c r="AC1" s="34"/>
      <c r="AD1" s="34"/>
      <c r="AE1" s="34"/>
      <c r="AG1" s="34"/>
    </row>
    <row r="2" spans="1:33" s="27" customFormat="1">
      <c r="A2" s="36"/>
    </row>
    <row r="3" spans="1:33" s="27" customFormat="1">
      <c r="A3" s="37" t="s">
        <v>92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V3" s="35"/>
      <c r="W3" s="35"/>
      <c r="X3" s="35"/>
      <c r="Y3" s="35"/>
      <c r="AA3" s="35"/>
      <c r="AB3" s="35"/>
      <c r="AC3" s="35"/>
      <c r="AD3" s="35"/>
      <c r="AE3" s="35"/>
      <c r="AG3" s="35"/>
    </row>
    <row r="5" spans="1:33" ht="44.1" customHeight="1">
      <c r="A5" s="22" t="s">
        <v>47</v>
      </c>
      <c r="B5" s="22" t="s">
        <v>48</v>
      </c>
      <c r="C5" s="22" t="s">
        <v>49</v>
      </c>
      <c r="D5" s="22" t="s">
        <v>50</v>
      </c>
      <c r="E5" s="22" t="s">
        <v>51</v>
      </c>
      <c r="F5" s="22" t="s">
        <v>52</v>
      </c>
      <c r="G5" s="22" t="s">
        <v>53</v>
      </c>
      <c r="H5" s="22" t="s">
        <v>54</v>
      </c>
      <c r="I5" s="22" t="s">
        <v>55</v>
      </c>
      <c r="J5" s="22" t="s">
        <v>56</v>
      </c>
      <c r="K5" s="22" t="s">
        <v>57</v>
      </c>
      <c r="L5" s="22" t="s">
        <v>58</v>
      </c>
      <c r="M5" s="22" t="s">
        <v>59</v>
      </c>
      <c r="N5" s="22" t="s">
        <v>60</v>
      </c>
      <c r="O5" s="22" t="s">
        <v>61</v>
      </c>
      <c r="P5" s="22" t="s">
        <v>71</v>
      </c>
      <c r="Q5" s="22" t="s">
        <v>72</v>
      </c>
      <c r="R5" s="22" t="s">
        <v>73</v>
      </c>
      <c r="S5" s="22" t="s">
        <v>74</v>
      </c>
      <c r="T5" s="22" t="s">
        <v>75</v>
      </c>
      <c r="U5" s="22" t="s">
        <v>76</v>
      </c>
      <c r="V5" s="32" t="s">
        <v>62</v>
      </c>
      <c r="W5" s="32" t="s">
        <v>63</v>
      </c>
      <c r="X5" s="32" t="s">
        <v>64</v>
      </c>
      <c r="Y5" s="33" t="s">
        <v>110</v>
      </c>
      <c r="Z5" s="33" t="s">
        <v>91</v>
      </c>
      <c r="AA5" s="32" t="s">
        <v>65</v>
      </c>
      <c r="AB5" s="22" t="s">
        <v>66</v>
      </c>
      <c r="AC5" s="22" t="s">
        <v>67</v>
      </c>
      <c r="AD5" s="22" t="s">
        <v>68</v>
      </c>
      <c r="AE5" s="22" t="s">
        <v>69</v>
      </c>
      <c r="AF5" s="22" t="s">
        <v>77</v>
      </c>
      <c r="AG5" s="22" t="s">
        <v>70</v>
      </c>
    </row>
    <row r="6" spans="1:33">
      <c r="A6" s="12">
        <v>0</v>
      </c>
      <c r="B6" s="12">
        <f>입력값!$B$8</f>
        <v>108</v>
      </c>
      <c r="C6" s="12">
        <f t="shared" ref="C6:C26" si="0">A6+B6</f>
        <v>108</v>
      </c>
      <c r="D6" s="13">
        <f t="shared" ref="D6:D26" si="1">IFERROR(A6/C6,0)</f>
        <v>0</v>
      </c>
      <c r="E6" s="13">
        <f>C6/입력값!$B$4</f>
        <v>3.0857142857142857E-2</v>
      </c>
      <c r="F6" s="14">
        <f>((B6*입력값!$B$12)+(A6*입력값!$B$16))/입력값!$B$4/1000</f>
        <v>0</v>
      </c>
      <c r="G6" s="14">
        <f>IF(C6=0,"N/A",입력값!$B$4/C6)</f>
        <v>32.407407407407405</v>
      </c>
      <c r="H6" s="14">
        <f>-LOG10((B6/C6)*10^(-입력값!$B$9)+(A6/C6)*10^(-입력값!$B$13))</f>
        <v>7.5000000000000009</v>
      </c>
      <c r="I6" s="12">
        <f>(B6*입력값!$B$10+A6*입력값!$B$14)/C6</f>
        <v>3258</v>
      </c>
      <c r="J6" s="12">
        <f>(B6*입력값!$B$11+A6*입력값!$B$15)/C6</f>
        <v>1310</v>
      </c>
      <c r="K6" s="15">
        <f>(1-E6)*10^(-입력값!$B$5)+(B6/입력값!$B$4)*10^(-입력값!$B$9)+(A6/입력값!$B$4)*10^(-입력값!$B$13)</f>
        <v>3.1622776601683699E-8</v>
      </c>
      <c r="L6" s="14">
        <f t="shared" ref="L6:L26" si="2">-LOG10(K6)</f>
        <v>7.5000000000000009</v>
      </c>
      <c r="M6" s="12">
        <f>(1-E6)*입력값!$B$6+(B6/입력값!$B$4)*입력값!$B$10+(A6/입력값!$B$4)*입력값!$B$14</f>
        <v>3258</v>
      </c>
      <c r="N6" s="12">
        <f>(1-E6)*입력값!$B$7+(B6/입력값!$B$4)*입력값!$B$11+(A6/입력값!$B$4)*입력값!$B$15</f>
        <v>1310</v>
      </c>
      <c r="O6" s="14">
        <f t="shared" ref="O6:O26" si="3">IFERROR(N6/M6,0)</f>
        <v>0.40208717004297112</v>
      </c>
      <c r="P6" s="16">
        <f>IFERROR((B6*입력값!$B$19+A6*입력값!$B$21)/C6,"")</f>
        <v>250.8</v>
      </c>
      <c r="Q6" s="16">
        <f>IFERROR((B6*입력값!$B$20+A6*입력값!$B$22)/C6,"")</f>
        <v>22.599999999999998</v>
      </c>
      <c r="R6" s="16">
        <f t="shared" ref="R6:R26" si="4">IFERROR(Q6/P6,"")</f>
        <v>9.0111642743221684E-2</v>
      </c>
      <c r="S6" s="16">
        <f>IFERROR((1-E6)*입력값!$B$17+(B6/입력값!$B$4)*입력값!$B$19+(A6/입력값!$B$4)*입력값!$B$21,"")</f>
        <v>211.25897142857144</v>
      </c>
      <c r="T6" s="16">
        <f>IFERROR((1-E6)*입력값!$B$18+(B6/입력값!$B$4)*입력값!$B$20+(A6/입력값!$B$4)*입력값!$B$22,"")</f>
        <v>889.64365714285714</v>
      </c>
      <c r="U6" s="16">
        <f t="shared" ref="U6:U26" si="5">IFERROR(T6/S6,"")</f>
        <v>4.2111520809124725</v>
      </c>
      <c r="V6" s="11" t="str">
        <f>IF(L6&lt;입력값!$B$26,"YES","")</f>
        <v/>
      </c>
      <c r="W6" s="11" t="str">
        <f>IF(M6&lt;입력값!$B$27,"YES","")</f>
        <v/>
      </c>
      <c r="X6" s="11" t="str">
        <f>IF(N6&gt;입력값!$B$28,"YES","")</f>
        <v/>
      </c>
      <c r="Y6" s="11" t="str">
        <f>IF(O6&gt;입력값!$B$29,"YES","")</f>
        <v>YES</v>
      </c>
      <c r="Z6" s="11" t="str">
        <f>IF(AND(ISNUMBER(U6),U6&gt;=입력값!$B$30),"YES","")</f>
        <v>YES</v>
      </c>
      <c r="AA6" s="11" t="str">
        <f t="shared" ref="AA6:AA26" si="6">IF(COUNTIF(V6:Y6,"YES")+COUNTIF(Z6,"YES")&gt;0,"YES","")</f>
        <v>YES</v>
      </c>
      <c r="AB6" s="14">
        <f>입력값!$B$26</f>
        <v>7</v>
      </c>
      <c r="AC6" s="14">
        <f>입력값!$B$27</f>
        <v>554</v>
      </c>
      <c r="AD6" s="14">
        <f>입력값!$B$28</f>
        <v>4000</v>
      </c>
      <c r="AE6" s="14">
        <f>입력값!$B$29</f>
        <v>0.4</v>
      </c>
      <c r="AF6" s="21">
        <f>입력값!$B$30</f>
        <v>1.4</v>
      </c>
      <c r="AG6" s="4" t="str">
        <f t="shared" ref="AG6:AG26" si="7">IF(AA6="YES","혼합만으로도 경보 가능","")</f>
        <v>혼합만으로도 경보 가능</v>
      </c>
    </row>
    <row r="7" spans="1:33">
      <c r="A7" s="12">
        <v>2</v>
      </c>
      <c r="B7" s="12">
        <f>입력값!$B$8</f>
        <v>108</v>
      </c>
      <c r="C7" s="12">
        <f t="shared" si="0"/>
        <v>110</v>
      </c>
      <c r="D7" s="13">
        <f>IFERROR(A7/C7,0)</f>
        <v>1.8181818181818181E-2</v>
      </c>
      <c r="E7" s="13">
        <f>C7/입력값!$B$4</f>
        <v>3.1428571428571431E-2</v>
      </c>
      <c r="F7" s="14">
        <f>((B7*입력값!$B$12)+(A7*입력값!$B$16))/입력값!$B$4/1000</f>
        <v>9.8285714285714296E-2</v>
      </c>
      <c r="G7" s="14">
        <f>IF(C7=0,"N/A",입력값!$B$4/C7)</f>
        <v>31.818181818181817</v>
      </c>
      <c r="H7" s="14">
        <f>-LOG10((B7/C7)*10^(-입력값!$B$9)+(A7/C7)*10^(-입력값!$B$13))</f>
        <v>6.0258120382033233</v>
      </c>
      <c r="I7" s="12">
        <f>(B7*입력값!$B$10+A7*입력값!$B$14)/C7</f>
        <v>3198.7636363636366</v>
      </c>
      <c r="J7" s="12">
        <f>(B7*입력값!$B$11+A7*입력값!$B$15)/C7</f>
        <v>7129.818181818182</v>
      </c>
      <c r="K7" s="15">
        <f>(1-E7)*10^(-입력값!$B$5)+(B7/입력값!$B$4)*10^(-입력값!$B$9)+(A7/입력값!$B$4)*10^(-입력값!$B$13)</f>
        <v>6.0243976936612596E-8</v>
      </c>
      <c r="L7" s="14">
        <f t="shared" si="2"/>
        <v>7.2200863664120005</v>
      </c>
      <c r="M7" s="12">
        <f>(1-E7)*입력값!$B$6+(B7/입력값!$B$4)*입력값!$B$10+(A7/입력값!$B$4)*입력값!$B$14</f>
        <v>3256.1382857142853</v>
      </c>
      <c r="N7" s="12">
        <f>(1-E7)*입력값!$B$7+(B7/입력값!$B$4)*입력값!$B$11+(A7/입력값!$B$4)*입력값!$B$15</f>
        <v>1492.9085714285713</v>
      </c>
      <c r="O7" s="14">
        <f t="shared" si="3"/>
        <v>0.45849053093919145</v>
      </c>
      <c r="P7" s="16">
        <f>IFERROR((B7*입력값!$B$19+A7*입력값!$B$21)/C7,"")</f>
        <v>486.87636363636364</v>
      </c>
      <c r="Q7" s="16">
        <f>IFERROR((B7*입력값!$B$20+A7*입력값!$B$22)/C7,"")</f>
        <v>31.461818181818181</v>
      </c>
      <c r="R7" s="16">
        <f t="shared" si="4"/>
        <v>6.4619727987691472E-2</v>
      </c>
      <c r="S7" s="16">
        <f>IFERROR((1-E7)*입력값!$B$17+(B7/입력값!$B$4)*입력값!$B$19+(A7/입력값!$B$4)*입력값!$B$21,"")</f>
        <v>218.70182857142856</v>
      </c>
      <c r="T7" s="16">
        <f>IFERROR((1-E7)*입력값!$B$18+(B7/입력값!$B$4)*입력값!$B$20+(A7/입력값!$B$4)*입력값!$B$22,"")</f>
        <v>889.4109428571428</v>
      </c>
      <c r="U7" s="16">
        <f t="shared" si="5"/>
        <v>4.0667741493832956</v>
      </c>
      <c r="V7" s="11" t="str">
        <f>IF(L7&lt;입력값!$B$26,"YES","")</f>
        <v/>
      </c>
      <c r="W7" s="11" t="str">
        <f>IF(M7&lt;입력값!$B$27,"YES","")</f>
        <v/>
      </c>
      <c r="X7" s="11" t="str">
        <f>IF(N7&gt;입력값!$B$28,"YES","")</f>
        <v/>
      </c>
      <c r="Y7" s="11" t="str">
        <f>IF(O7&gt;입력값!$B$29,"YES","")</f>
        <v>YES</v>
      </c>
      <c r="Z7" s="11" t="str">
        <f>IF(AND(ISNUMBER(U7),U7&gt;=입력값!$B$30),"YES","")</f>
        <v>YES</v>
      </c>
      <c r="AA7" s="11" t="str">
        <f t="shared" si="6"/>
        <v>YES</v>
      </c>
      <c r="AB7" s="14">
        <f>입력값!$B$26</f>
        <v>7</v>
      </c>
      <c r="AC7" s="14">
        <f>입력값!$B$27</f>
        <v>554</v>
      </c>
      <c r="AD7" s="14">
        <f>입력값!$B$28</f>
        <v>4000</v>
      </c>
      <c r="AE7" s="14">
        <f>입력값!$B$29</f>
        <v>0.4</v>
      </c>
      <c r="AF7" s="21">
        <f>입력값!$B$30</f>
        <v>1.4</v>
      </c>
      <c r="AG7" s="4" t="str">
        <f t="shared" si="7"/>
        <v>혼합만으로도 경보 가능</v>
      </c>
    </row>
    <row r="8" spans="1:33">
      <c r="A8" s="12">
        <v>4</v>
      </c>
      <c r="B8" s="12">
        <f>입력값!$B$8</f>
        <v>108</v>
      </c>
      <c r="C8" s="12">
        <f t="shared" si="0"/>
        <v>112</v>
      </c>
      <c r="D8" s="13">
        <f t="shared" si="1"/>
        <v>3.5714285714285712E-2</v>
      </c>
      <c r="E8" s="13">
        <f>C8/입력값!$B$4</f>
        <v>3.2000000000000001E-2</v>
      </c>
      <c r="F8" s="14">
        <f>((B8*입력값!$B$12)+(A8*입력값!$B$16))/입력값!$B$4/1000</f>
        <v>0.19657142857142859</v>
      </c>
      <c r="G8" s="14">
        <f>IF(C8=0,"N/A",입력값!$B$4/C8)</f>
        <v>31.25</v>
      </c>
      <c r="H8" s="14">
        <f>-LOG10((B8/C8)*10^(-입력값!$B$9)+(A8/C8)*10^(-입력값!$B$13))</f>
        <v>5.739821770214057</v>
      </c>
      <c r="I8" s="12">
        <f>(B8*입력값!$B$10+A8*입력값!$B$14)/C8</f>
        <v>3141.6428571428573</v>
      </c>
      <c r="J8" s="12">
        <f>(B8*입력값!$B$11+A8*입력값!$B$15)/C8</f>
        <v>12741.785714285714</v>
      </c>
      <c r="K8" s="15">
        <f>(1-E8)*10^(-입력값!$B$5)+(B8/입력값!$B$4)*10^(-입력값!$B$9)+(A8/입력값!$B$4)*10^(-입력값!$B$13)</f>
        <v>8.886517727154148E-8</v>
      </c>
      <c r="L8" s="14">
        <f t="shared" si="2"/>
        <v>7.0512683884284471</v>
      </c>
      <c r="M8" s="12">
        <f>(1-E8)*입력값!$B$6+(B8/입력값!$B$4)*입력값!$B$10+(A8/입력값!$B$4)*입력값!$B$14</f>
        <v>3254.2765714285711</v>
      </c>
      <c r="N8" s="12">
        <f>(1-E8)*입력값!$B$7+(B8/입력값!$B$4)*입력값!$B$11+(A8/입력값!$B$4)*입력값!$B$15</f>
        <v>1675.8171428571427</v>
      </c>
      <c r="O8" s="14">
        <f t="shared" si="3"/>
        <v>0.51495842657327928</v>
      </c>
      <c r="P8" s="16">
        <f>IFERROR((B8*입력값!$B$19+A8*입력값!$B$21)/C8,"")</f>
        <v>714.52142857142849</v>
      </c>
      <c r="Q8" s="16">
        <f>IFERROR((B8*입력값!$B$20+A8*입력값!$B$22)/C8,"")</f>
        <v>40.007142857142853</v>
      </c>
      <c r="R8" s="16">
        <f t="shared" si="4"/>
        <v>5.5991522797476836E-2</v>
      </c>
      <c r="S8" s="16">
        <f>IFERROR((1-E8)*입력값!$B$17+(B8/입력값!$B$4)*입력값!$B$19+(A8/입력값!$B$4)*입력값!$B$21,"")</f>
        <v>226.14468571428571</v>
      </c>
      <c r="T8" s="16">
        <f>IFERROR((1-E8)*입력값!$B$18+(B8/입력값!$B$4)*입력값!$B$20+(A8/입력값!$B$4)*입력값!$B$22,"")</f>
        <v>889.17822857142858</v>
      </c>
      <c r="U8" s="16">
        <f t="shared" si="5"/>
        <v>3.9318997294273301</v>
      </c>
      <c r="V8" s="11" t="str">
        <f>IF(L8&lt;입력값!$B$26,"YES","")</f>
        <v/>
      </c>
      <c r="W8" s="11" t="str">
        <f>IF(M8&lt;입력값!$B$27,"YES","")</f>
        <v/>
      </c>
      <c r="X8" s="11" t="str">
        <f>IF(N8&gt;입력값!$B$28,"YES","")</f>
        <v/>
      </c>
      <c r="Y8" s="11" t="str">
        <f>IF(O8&gt;입력값!$B$29,"YES","")</f>
        <v>YES</v>
      </c>
      <c r="Z8" s="11" t="str">
        <f>IF(AND(ISNUMBER(U8),U8&gt;=입력값!$B$30),"YES","")</f>
        <v>YES</v>
      </c>
      <c r="AA8" s="11" t="str">
        <f t="shared" si="6"/>
        <v>YES</v>
      </c>
      <c r="AB8" s="14">
        <f>입력값!$B$26</f>
        <v>7</v>
      </c>
      <c r="AC8" s="14">
        <f>입력값!$B$27</f>
        <v>554</v>
      </c>
      <c r="AD8" s="14">
        <f>입력값!$B$28</f>
        <v>4000</v>
      </c>
      <c r="AE8" s="14">
        <f>입력값!$B$29</f>
        <v>0.4</v>
      </c>
      <c r="AF8" s="21">
        <f>입력값!$B$30</f>
        <v>1.4</v>
      </c>
      <c r="AG8" s="4" t="str">
        <f t="shared" si="7"/>
        <v>혼합만으로도 경보 가능</v>
      </c>
    </row>
    <row r="9" spans="1:33">
      <c r="A9" s="12">
        <v>6</v>
      </c>
      <c r="B9" s="12">
        <f>입력값!$B$8</f>
        <v>108</v>
      </c>
      <c r="C9" s="12">
        <f t="shared" si="0"/>
        <v>114</v>
      </c>
      <c r="D9" s="13">
        <f t="shared" si="1"/>
        <v>5.2631578947368418E-2</v>
      </c>
      <c r="E9" s="13">
        <f>C9/입력값!$B$4</f>
        <v>3.2571428571428571E-2</v>
      </c>
      <c r="F9" s="14">
        <f>((B9*입력값!$B$12)+(A9*입력값!$B$16))/입력값!$B$4/1000</f>
        <v>0.29485714285714282</v>
      </c>
      <c r="G9" s="14">
        <f>IF(C9=0,"N/A",입력값!$B$4/C9)</f>
        <v>30.701754385964911</v>
      </c>
      <c r="H9" s="14">
        <f>-LOG10((B9/C9)*10^(-입력값!$B$9)+(A9/C9)*10^(-입력값!$B$13))</f>
        <v>5.5738490165089614</v>
      </c>
      <c r="I9" s="12">
        <f>(B9*입력값!$B$10+A9*입력값!$B$14)/C9</f>
        <v>3086.5263157894738</v>
      </c>
      <c r="J9" s="12">
        <f>(B9*입력값!$B$11+A9*입력값!$B$15)/C9</f>
        <v>18156.842105263157</v>
      </c>
      <c r="K9" s="15">
        <f>(1-E9)*10^(-입력값!$B$5)+(B9/입력값!$B$4)*10^(-입력값!$B$9)+(A9/입력값!$B$4)*10^(-입력값!$B$13)</f>
        <v>1.1748637760647036E-7</v>
      </c>
      <c r="L9" s="14">
        <f t="shared" si="2"/>
        <v>6.9300124863565919</v>
      </c>
      <c r="M9" s="12">
        <f>(1-E9)*입력값!$B$6+(B9/입력값!$B$4)*입력값!$B$10+(A9/입력값!$B$4)*입력값!$B$14</f>
        <v>3252.4148571428568</v>
      </c>
      <c r="N9" s="12">
        <f>(1-E9)*입력값!$B$7+(B9/입력값!$B$4)*입력값!$B$11+(A9/입력값!$B$4)*입력값!$B$15</f>
        <v>1858.7257142857143</v>
      </c>
      <c r="O9" s="14">
        <f t="shared" si="3"/>
        <v>0.57149096776619257</v>
      </c>
      <c r="P9" s="16">
        <f>IFERROR((B9*입력값!$B$19+A9*입력값!$B$21)/C9,"")</f>
        <v>934.17894736842095</v>
      </c>
      <c r="Q9" s="16">
        <f>IFERROR((B9*입력값!$B$20+A9*입력값!$B$22)/C9,"")</f>
        <v>48.252631578947359</v>
      </c>
      <c r="R9" s="16">
        <f t="shared" si="4"/>
        <v>5.165245022366953E-2</v>
      </c>
      <c r="S9" s="16">
        <f>IFERROR((1-E9)*입력값!$B$17+(B9/입력값!$B$4)*입력값!$B$19+(A9/입력값!$B$4)*입력값!$B$21,"")</f>
        <v>233.58754285714286</v>
      </c>
      <c r="T9" s="16">
        <f>IFERROR((1-E9)*입력값!$B$18+(B9/입력값!$B$4)*입력값!$B$20+(A9/입력값!$B$4)*입력값!$B$22,"")</f>
        <v>888.94551428571424</v>
      </c>
      <c r="U9" s="16">
        <f t="shared" si="5"/>
        <v>3.8056203828873456</v>
      </c>
      <c r="V9" s="11" t="str">
        <f>IF(L9&lt;입력값!$B$26,"YES","")</f>
        <v>YES</v>
      </c>
      <c r="W9" s="11" t="str">
        <f>IF(M9&lt;입력값!$B$27,"YES","")</f>
        <v/>
      </c>
      <c r="X9" s="11" t="str">
        <f>IF(N9&gt;입력값!$B$28,"YES","")</f>
        <v/>
      </c>
      <c r="Y9" s="11" t="str">
        <f>IF(O9&gt;입력값!$B$29,"YES","")</f>
        <v>YES</v>
      </c>
      <c r="Z9" s="11" t="str">
        <f>IF(AND(ISNUMBER(U9),U9&gt;=입력값!$B$30),"YES","")</f>
        <v>YES</v>
      </c>
      <c r="AA9" s="11" t="str">
        <f t="shared" si="6"/>
        <v>YES</v>
      </c>
      <c r="AB9" s="14">
        <f>입력값!$B$26</f>
        <v>7</v>
      </c>
      <c r="AC9" s="14">
        <f>입력값!$B$27</f>
        <v>554</v>
      </c>
      <c r="AD9" s="14">
        <f>입력값!$B$28</f>
        <v>4000</v>
      </c>
      <c r="AE9" s="14">
        <f>입력값!$B$29</f>
        <v>0.4</v>
      </c>
      <c r="AF9" s="21">
        <f>입력값!$B$30</f>
        <v>1.4</v>
      </c>
      <c r="AG9" s="4" t="str">
        <f t="shared" si="7"/>
        <v>혼합만으로도 경보 가능</v>
      </c>
    </row>
    <row r="10" spans="1:33">
      <c r="A10" s="12">
        <v>8</v>
      </c>
      <c r="B10" s="12">
        <f>입력값!$B$8</f>
        <v>108</v>
      </c>
      <c r="C10" s="12">
        <f t="shared" si="0"/>
        <v>116</v>
      </c>
      <c r="D10" s="13">
        <f t="shared" si="1"/>
        <v>6.8965517241379309E-2</v>
      </c>
      <c r="E10" s="13">
        <f>C10/입력값!$B$4</f>
        <v>3.3142857142857141E-2</v>
      </c>
      <c r="F10" s="14">
        <f>((B10*입력값!$B$12)+(A10*입력값!$B$16))/입력값!$B$4/1000</f>
        <v>0.39314285714285718</v>
      </c>
      <c r="G10" s="14">
        <f>IF(C10=0,"N/A",입력값!$B$4/C10)</f>
        <v>30.172413793103448</v>
      </c>
      <c r="H10" s="14">
        <f>-LOG10((B10/C10)*10^(-입력값!$B$9)+(A10/C10)*10^(-입력값!$B$13))</f>
        <v>5.4576843810045128</v>
      </c>
      <c r="I10" s="12">
        <f>(B10*입력값!$B$10+A10*입력값!$B$14)/C10</f>
        <v>3033.3103448275861</v>
      </c>
      <c r="J10" s="12">
        <f>(B10*입력값!$B$11+A10*입력값!$B$15)/C10</f>
        <v>23385.172413793105</v>
      </c>
      <c r="K10" s="15">
        <f>(1-E10)*10^(-입력값!$B$5)+(B10/입력값!$B$4)*10^(-입력값!$B$9)+(A10/입력값!$B$4)*10^(-입력값!$B$13)</f>
        <v>1.4610757794139927E-7</v>
      </c>
      <c r="L10" s="14">
        <f t="shared" si="2"/>
        <v>6.8353272585846199</v>
      </c>
      <c r="M10" s="12">
        <f>(1-E10)*입력값!$B$6+(B10/입력값!$B$4)*입력값!$B$10+(A10/입력값!$B$4)*입력값!$B$14</f>
        <v>3250.553142857143</v>
      </c>
      <c r="N10" s="12">
        <f>(1-E10)*입력값!$B$7+(B10/입력값!$B$4)*입력값!$B$11+(A10/입력값!$B$4)*입력값!$B$15</f>
        <v>2041.6342857142859</v>
      </c>
      <c r="O10" s="14">
        <f t="shared" si="3"/>
        <v>0.62808826559277475</v>
      </c>
      <c r="P10" s="16">
        <f>IFERROR((B10*입력값!$B$19+A10*입력값!$B$21)/C10,"")</f>
        <v>1146.2620689655173</v>
      </c>
      <c r="Q10" s="16">
        <f>IFERROR((B10*입력값!$B$20+A10*입력값!$B$22)/C10,"")</f>
        <v>56.213793103448268</v>
      </c>
      <c r="R10" s="16">
        <f t="shared" si="4"/>
        <v>4.9040960723912196E-2</v>
      </c>
      <c r="S10" s="16">
        <f>IFERROR((1-E10)*입력값!$B$17+(B10/입력값!$B$4)*입력값!$B$19+(A10/입력값!$B$4)*입력값!$B$21,"")</f>
        <v>241.03039999999999</v>
      </c>
      <c r="T10" s="16">
        <f>IFERROR((1-E10)*입력값!$B$18+(B10/입력값!$B$4)*입력값!$B$20+(A10/입력값!$B$4)*입력값!$B$22,"")</f>
        <v>888.71280000000002</v>
      </c>
      <c r="U10" s="16">
        <f t="shared" si="5"/>
        <v>3.6871398794508909</v>
      </c>
      <c r="V10" s="11" t="str">
        <f>IF(L10&lt;입력값!$B$26,"YES","")</f>
        <v>YES</v>
      </c>
      <c r="W10" s="11" t="str">
        <f>IF(M10&lt;입력값!$B$27,"YES","")</f>
        <v/>
      </c>
      <c r="X10" s="11" t="str">
        <f>IF(N10&gt;입력값!$B$28,"YES","")</f>
        <v/>
      </c>
      <c r="Y10" s="11" t="str">
        <f>IF(O10&gt;입력값!$B$29,"YES","")</f>
        <v>YES</v>
      </c>
      <c r="Z10" s="11" t="str">
        <f>IF(AND(ISNUMBER(U10),U10&gt;=입력값!$B$30),"YES","")</f>
        <v>YES</v>
      </c>
      <c r="AA10" s="11" t="str">
        <f t="shared" si="6"/>
        <v>YES</v>
      </c>
      <c r="AB10" s="14">
        <f>입력값!$B$26</f>
        <v>7</v>
      </c>
      <c r="AC10" s="14">
        <f>입력값!$B$27</f>
        <v>554</v>
      </c>
      <c r="AD10" s="14">
        <f>입력값!$B$28</f>
        <v>4000</v>
      </c>
      <c r="AE10" s="14">
        <f>입력값!$B$29</f>
        <v>0.4</v>
      </c>
      <c r="AF10" s="21">
        <f>입력값!$B$30</f>
        <v>1.4</v>
      </c>
      <c r="AG10" s="4" t="str">
        <f t="shared" si="7"/>
        <v>혼합만으로도 경보 가능</v>
      </c>
    </row>
    <row r="11" spans="1:33">
      <c r="A11" s="12">
        <v>10</v>
      </c>
      <c r="B11" s="12">
        <f>입력값!$B$8</f>
        <v>108</v>
      </c>
      <c r="C11" s="12">
        <f t="shared" si="0"/>
        <v>118</v>
      </c>
      <c r="D11" s="13">
        <f t="shared" si="1"/>
        <v>8.4745762711864403E-2</v>
      </c>
      <c r="E11" s="13">
        <f>C11/입력값!$B$4</f>
        <v>3.3714285714285717E-2</v>
      </c>
      <c r="F11" s="14">
        <f>((B11*입력값!$B$12)+(A11*입력값!$B$16))/입력값!$B$4/1000</f>
        <v>0.49142857142857144</v>
      </c>
      <c r="G11" s="14">
        <f>IF(C11=0,"N/A",입력값!$B$4/C11)</f>
        <v>29.661016949152543</v>
      </c>
      <c r="H11" s="14">
        <f>-LOG10((B11/C11)*10^(-입력값!$B$9)+(A11/C11)*10^(-입력값!$B$13))</f>
        <v>5.368932615047032</v>
      </c>
      <c r="I11" s="12">
        <f>(B11*입력값!$B$10+A11*입력값!$B$14)/C11</f>
        <v>2981.898305084746</v>
      </c>
      <c r="J11" s="12">
        <f>(B11*입력값!$B$11+A11*입력값!$B$15)/C11</f>
        <v>28436.271186440677</v>
      </c>
      <c r="K11" s="15">
        <f>(1-E11)*10^(-입력값!$B$5)+(B11/입력값!$B$4)*10^(-입력값!$B$9)+(A11/입력값!$B$4)*10^(-입력값!$B$13)</f>
        <v>1.7472877827632813E-7</v>
      </c>
      <c r="L11" s="14">
        <f t="shared" si="2"/>
        <v>6.7576355597148083</v>
      </c>
      <c r="M11" s="12">
        <f>(1-E11)*입력값!$B$6+(B11/입력값!$B$4)*입력값!$B$10+(A11/입력값!$B$4)*입력값!$B$14</f>
        <v>3248.6914285714288</v>
      </c>
      <c r="N11" s="12">
        <f>(1-E11)*입력값!$B$7+(B11/입력값!$B$4)*입력값!$B$11+(A11/입력값!$B$4)*입력값!$B$15</f>
        <v>2224.542857142857</v>
      </c>
      <c r="O11" s="14">
        <f t="shared" si="3"/>
        <v>0.68475043138248182</v>
      </c>
      <c r="P11" s="16">
        <f>IFERROR((B11*입력값!$B$19+A11*입력값!$B$21)/C11,"")</f>
        <v>1351.1559322033897</v>
      </c>
      <c r="Q11" s="16">
        <f>IFERROR((B11*입력값!$B$20+A11*입력값!$B$22)/C11,"")</f>
        <v>63.905084745762707</v>
      </c>
      <c r="R11" s="16">
        <f t="shared" si="4"/>
        <v>4.7296602281536711E-2</v>
      </c>
      <c r="S11" s="16">
        <f>IFERROR((1-E11)*입력값!$B$17+(B11/입력값!$B$4)*입력값!$B$19+(A11/입력값!$B$4)*입력값!$B$21,"")</f>
        <v>248.47325714285716</v>
      </c>
      <c r="T11" s="16">
        <f>IFERROR((1-E11)*입력값!$B$18+(B11/입력값!$B$4)*입력값!$B$20+(A11/입력값!$B$4)*입력값!$B$22,"")</f>
        <v>888.48008571428579</v>
      </c>
      <c r="U11" s="16">
        <f t="shared" si="5"/>
        <v>3.5757573910799714</v>
      </c>
      <c r="V11" s="11" t="str">
        <f>IF(L11&lt;입력값!$B$26,"YES","")</f>
        <v>YES</v>
      </c>
      <c r="W11" s="11" t="str">
        <f>IF(M11&lt;입력값!$B$27,"YES","")</f>
        <v/>
      </c>
      <c r="X11" s="11" t="str">
        <f>IF(N11&gt;입력값!$B$28,"YES","")</f>
        <v/>
      </c>
      <c r="Y11" s="11" t="str">
        <f>IF(O11&gt;입력값!$B$29,"YES","")</f>
        <v>YES</v>
      </c>
      <c r="Z11" s="11" t="str">
        <f>IF(AND(ISNUMBER(U11),U11&gt;=입력값!$B$30),"YES","")</f>
        <v>YES</v>
      </c>
      <c r="AA11" s="11" t="str">
        <f t="shared" si="6"/>
        <v>YES</v>
      </c>
      <c r="AB11" s="14">
        <f>입력값!$B$26</f>
        <v>7</v>
      </c>
      <c r="AC11" s="14">
        <f>입력값!$B$27</f>
        <v>554</v>
      </c>
      <c r="AD11" s="14">
        <f>입력값!$B$28</f>
        <v>4000</v>
      </c>
      <c r="AE11" s="14">
        <f>입력값!$B$29</f>
        <v>0.4</v>
      </c>
      <c r="AF11" s="21">
        <f>입력값!$B$30</f>
        <v>1.4</v>
      </c>
      <c r="AG11" s="4" t="str">
        <f t="shared" si="7"/>
        <v>혼합만으로도 경보 가능</v>
      </c>
    </row>
    <row r="12" spans="1:33">
      <c r="A12" s="12">
        <v>12</v>
      </c>
      <c r="B12" s="12">
        <f>입력값!$B$8</f>
        <v>108</v>
      </c>
      <c r="C12" s="12">
        <f t="shared" si="0"/>
        <v>120</v>
      </c>
      <c r="D12" s="13">
        <f t="shared" si="1"/>
        <v>0.1</v>
      </c>
      <c r="E12" s="13">
        <f>C12/입력값!$B$4</f>
        <v>3.4285714285714287E-2</v>
      </c>
      <c r="F12" s="14">
        <f>((B12*입력값!$B$12)+(A12*입력값!$B$16))/입력값!$B$4/1000</f>
        <v>0.58971428571428564</v>
      </c>
      <c r="G12" s="14">
        <f>IF(C12=0,"N/A",입력값!$B$4/C12)</f>
        <v>29.166666666666668</v>
      </c>
      <c r="H12" s="14">
        <f>-LOG10((B12/C12)*10^(-입력값!$B$9)+(A12/C12)*10^(-입력값!$B$13))</f>
        <v>5.2975407842441102</v>
      </c>
      <c r="I12" s="12">
        <f>(B12*입력값!$B$10+A12*입력값!$B$14)/C12</f>
        <v>2932.2</v>
      </c>
      <c r="J12" s="12">
        <f>(B12*입력값!$B$11+A12*입력값!$B$15)/C12</f>
        <v>33319</v>
      </c>
      <c r="K12" s="15">
        <f>(1-E12)*10^(-입력값!$B$5)+(B12/입력값!$B$4)*10^(-입력값!$B$9)+(A12/입력값!$B$4)*10^(-입력값!$B$13)</f>
        <v>2.0334997861125704E-7</v>
      </c>
      <c r="L12" s="14">
        <f t="shared" si="2"/>
        <v>6.6917558689393228</v>
      </c>
      <c r="M12" s="12">
        <f>(1-E12)*입력값!$B$6+(B12/입력값!$B$4)*입력값!$B$10+(A12/입력값!$B$4)*입력값!$B$14</f>
        <v>3246.8297142857145</v>
      </c>
      <c r="N12" s="12">
        <f>(1-E12)*입력값!$B$7+(B12/입력값!$B$4)*입력값!$B$11+(A12/입력값!$B$4)*입력값!$B$15</f>
        <v>2407.4514285714286</v>
      </c>
      <c r="O12" s="14">
        <f t="shared" si="3"/>
        <v>0.74147757672011305</v>
      </c>
      <c r="P12" s="16">
        <f>IFERROR((B12*입력값!$B$19+A12*입력값!$B$21)/C12,"")</f>
        <v>1549.22</v>
      </c>
      <c r="Q12" s="16">
        <f>IFERROR((B12*입력값!$B$20+A12*입력값!$B$22)/C12,"")</f>
        <v>71.339999999999989</v>
      </c>
      <c r="R12" s="16">
        <f t="shared" si="4"/>
        <v>4.6048979486451237E-2</v>
      </c>
      <c r="S12" s="16">
        <f>IFERROR((1-E12)*입력값!$B$17+(B12/입력값!$B$4)*입력값!$B$19+(A12/입력값!$B$4)*입력값!$B$21,"")</f>
        <v>255.91611428571429</v>
      </c>
      <c r="T12" s="16">
        <f>IFERROR((1-E12)*입력값!$B$18+(B12/입력값!$B$4)*입력값!$B$20+(A12/입력값!$B$4)*입력값!$B$22,"")</f>
        <v>888.24737142857134</v>
      </c>
      <c r="U12" s="16">
        <f t="shared" si="5"/>
        <v>3.4708536189983681</v>
      </c>
      <c r="V12" s="11" t="str">
        <f>IF(L12&lt;입력값!$B$26,"YES","")</f>
        <v>YES</v>
      </c>
      <c r="W12" s="11" t="str">
        <f>IF(M12&lt;입력값!$B$27,"YES","")</f>
        <v/>
      </c>
      <c r="X12" s="11" t="str">
        <f>IF(N12&gt;입력값!$B$28,"YES","")</f>
        <v/>
      </c>
      <c r="Y12" s="11" t="str">
        <f>IF(O12&gt;입력값!$B$29,"YES","")</f>
        <v>YES</v>
      </c>
      <c r="Z12" s="11" t="str">
        <f>IF(AND(ISNUMBER(U12),U12&gt;=입력값!$B$30),"YES","")</f>
        <v>YES</v>
      </c>
      <c r="AA12" s="11" t="str">
        <f t="shared" si="6"/>
        <v>YES</v>
      </c>
      <c r="AB12" s="14">
        <f>입력값!$B$26</f>
        <v>7</v>
      </c>
      <c r="AC12" s="14">
        <f>입력값!$B$27</f>
        <v>554</v>
      </c>
      <c r="AD12" s="14">
        <f>입력값!$B$28</f>
        <v>4000</v>
      </c>
      <c r="AE12" s="14">
        <f>입력값!$B$29</f>
        <v>0.4</v>
      </c>
      <c r="AF12" s="21">
        <f>입력값!$B$30</f>
        <v>1.4</v>
      </c>
      <c r="AG12" s="4" t="str">
        <f t="shared" si="7"/>
        <v>혼합만으로도 경보 가능</v>
      </c>
    </row>
    <row r="13" spans="1:33">
      <c r="A13" s="12">
        <v>14</v>
      </c>
      <c r="B13" s="12">
        <f>입력값!$B$8</f>
        <v>108</v>
      </c>
      <c r="C13" s="12">
        <f t="shared" si="0"/>
        <v>122</v>
      </c>
      <c r="D13" s="13">
        <f t="shared" si="1"/>
        <v>0.11475409836065574</v>
      </c>
      <c r="E13" s="13">
        <f>C13/입력값!$B$4</f>
        <v>3.4857142857142857E-2</v>
      </c>
      <c r="F13" s="14">
        <f>((B13*입력값!$B$12)+(A13*입력값!$B$16))/입력값!$B$4/1000</f>
        <v>0.68799999999999994</v>
      </c>
      <c r="G13" s="14">
        <f>IF(C13=0,"N/A",입력값!$B$4/C13)</f>
        <v>28.688524590163933</v>
      </c>
      <c r="H13" s="14">
        <f>-LOG10((B13/C13)*10^(-입력값!$B$9)+(A13/C13)*10^(-입력값!$B$13))</f>
        <v>5.2381230443480264</v>
      </c>
      <c r="I13" s="12">
        <f>(B13*입력값!$B$10+A13*입력값!$B$14)/C13</f>
        <v>2884.1311475409834</v>
      </c>
      <c r="J13" s="12">
        <f>(B13*입력값!$B$11+A13*입력값!$B$15)/C13</f>
        <v>38041.639344262294</v>
      </c>
      <c r="K13" s="15">
        <f>(1-E13)*10^(-입력값!$B$5)+(B13/입력값!$B$4)*10^(-입력값!$B$9)+(A13/입력값!$B$4)*10^(-입력값!$B$13)</f>
        <v>2.319711789461859E-7</v>
      </c>
      <c r="L13" s="14">
        <f t="shared" si="2"/>
        <v>6.6345659702908799</v>
      </c>
      <c r="M13" s="12">
        <f>(1-E13)*입력값!$B$6+(B13/입력값!$B$4)*입력값!$B$10+(A13/입력값!$B$4)*입력값!$B$14</f>
        <v>3244.9680000000003</v>
      </c>
      <c r="N13" s="12">
        <f>(1-E13)*입력값!$B$7+(B13/입력값!$B$4)*입력값!$B$11+(A13/입력값!$B$4)*입력값!$B$15</f>
        <v>2590.36</v>
      </c>
      <c r="O13" s="14">
        <f t="shared" si="3"/>
        <v>0.79826981344654246</v>
      </c>
      <c r="P13" s="16">
        <f>IFERROR((B13*입력값!$B$19+A13*입력값!$B$21)/C13,"")</f>
        <v>1740.7901639344261</v>
      </c>
      <c r="Q13" s="16">
        <f>IFERROR((B13*입력값!$B$20+A13*입력값!$B$22)/C13,"")</f>
        <v>78.531147540983596</v>
      </c>
      <c r="R13" s="16">
        <f t="shared" si="4"/>
        <v>4.511235711689246E-2</v>
      </c>
      <c r="S13" s="16">
        <f>IFERROR((1-E13)*입력값!$B$17+(B13/입력값!$B$4)*입력값!$B$19+(A13/입력값!$B$4)*입력값!$B$21,"")</f>
        <v>263.35897142857141</v>
      </c>
      <c r="T13" s="16">
        <f>IFERROR((1-E13)*입력값!$B$18+(B13/입력값!$B$4)*입력값!$B$20+(A13/입력값!$B$4)*입력값!$B$22,"")</f>
        <v>888.01465714285712</v>
      </c>
      <c r="U13" s="16">
        <f t="shared" si="5"/>
        <v>3.3718792730921101</v>
      </c>
      <c r="V13" s="11" t="str">
        <f>IF(L13&lt;입력값!$B$26,"YES","")</f>
        <v>YES</v>
      </c>
      <c r="W13" s="11" t="str">
        <f>IF(M13&lt;입력값!$B$27,"YES","")</f>
        <v/>
      </c>
      <c r="X13" s="11" t="str">
        <f>IF(N13&gt;입력값!$B$28,"YES","")</f>
        <v/>
      </c>
      <c r="Y13" s="11" t="str">
        <f>IF(O13&gt;입력값!$B$29,"YES","")</f>
        <v>YES</v>
      </c>
      <c r="Z13" s="11" t="str">
        <f>IF(AND(ISNUMBER(U13),U13&gt;=입력값!$B$30),"YES","")</f>
        <v>YES</v>
      </c>
      <c r="AA13" s="11" t="str">
        <f t="shared" si="6"/>
        <v>YES</v>
      </c>
      <c r="AB13" s="14">
        <f>입력값!$B$26</f>
        <v>7</v>
      </c>
      <c r="AC13" s="14">
        <f>입력값!$B$27</f>
        <v>554</v>
      </c>
      <c r="AD13" s="14">
        <f>입력값!$B$28</f>
        <v>4000</v>
      </c>
      <c r="AE13" s="14">
        <f>입력값!$B$29</f>
        <v>0.4</v>
      </c>
      <c r="AF13" s="21">
        <f>입력값!$B$30</f>
        <v>1.4</v>
      </c>
      <c r="AG13" s="4" t="str">
        <f t="shared" si="7"/>
        <v>혼합만으로도 경보 가능</v>
      </c>
    </row>
    <row r="14" spans="1:33">
      <c r="A14" s="12">
        <v>16</v>
      </c>
      <c r="B14" s="12">
        <f>입력값!$B$8</f>
        <v>108</v>
      </c>
      <c r="C14" s="12">
        <f t="shared" si="0"/>
        <v>124</v>
      </c>
      <c r="D14" s="13">
        <f t="shared" si="1"/>
        <v>0.12903225806451613</v>
      </c>
      <c r="E14" s="13">
        <f>C14/입력값!$B$4</f>
        <v>3.5428571428571427E-2</v>
      </c>
      <c r="F14" s="14">
        <f>((B14*입력값!$B$12)+(A14*입력값!$B$16))/입력값!$B$4/1000</f>
        <v>0.78628571428571437</v>
      </c>
      <c r="G14" s="14">
        <f>IF(C14=0,"N/A",입력값!$B$4/C14)</f>
        <v>28.225806451612904</v>
      </c>
      <c r="H14" s="14">
        <f>-LOG10((B14/C14)*10^(-입력값!$B$9)+(A14/C14)*10^(-입력값!$B$13))</f>
        <v>5.1874559864118304</v>
      </c>
      <c r="I14" s="12">
        <f>(B14*입력값!$B$10+A14*입력값!$B$14)/C14</f>
        <v>2837.6129032258063</v>
      </c>
      <c r="J14" s="12">
        <f>(B14*입력값!$B$11+A14*입력값!$B$15)/C14</f>
        <v>42611.93548387097</v>
      </c>
      <c r="K14" s="15">
        <f>(1-E14)*10^(-입력값!$B$5)+(B14/입력값!$B$4)*10^(-입력값!$B$9)+(A14/입력값!$B$4)*10^(-입력값!$B$13)</f>
        <v>2.6059237928111481E-7</v>
      </c>
      <c r="L14" s="14">
        <f t="shared" si="2"/>
        <v>6.5840382888711417</v>
      </c>
      <c r="M14" s="12">
        <f>(1-E14)*입력값!$B$6+(B14/입력값!$B$4)*입력값!$B$10+(A14/입력값!$B$4)*입력값!$B$14</f>
        <v>3243.1062857142856</v>
      </c>
      <c r="N14" s="12">
        <f>(1-E14)*입력값!$B$7+(B14/입력값!$B$4)*입력값!$B$11+(A14/입력값!$B$4)*입력값!$B$15</f>
        <v>2773.2685714285717</v>
      </c>
      <c r="O14" s="14">
        <f t="shared" si="3"/>
        <v>0.85512725365945463</v>
      </c>
      <c r="P14" s="16">
        <f>IFERROR((B14*입력값!$B$19+A14*입력값!$B$21)/C14,"")</f>
        <v>1926.1806451612904</v>
      </c>
      <c r="Q14" s="16">
        <f>IFERROR((B14*입력값!$B$20+A14*입력값!$B$22)/C14,"")</f>
        <v>85.490322580645156</v>
      </c>
      <c r="R14" s="16">
        <f t="shared" si="4"/>
        <v>4.4383335901231918E-2</v>
      </c>
      <c r="S14" s="16">
        <f>IFERROR((1-E14)*입력값!$B$17+(B14/입력값!$B$4)*입력값!$B$19+(A14/입력값!$B$4)*입력값!$B$21,"")</f>
        <v>270.80182857142859</v>
      </c>
      <c r="T14" s="16">
        <f>IFERROR((1-E14)*입력값!$B$18+(B14/입력값!$B$4)*입력값!$B$20+(A14/입력값!$B$4)*입력값!$B$22,"")</f>
        <v>887.78194285714278</v>
      </c>
      <c r="U14" s="16">
        <f t="shared" si="5"/>
        <v>3.2783454511385441</v>
      </c>
      <c r="V14" s="11" t="str">
        <f>IF(L14&lt;입력값!$B$26,"YES","")</f>
        <v>YES</v>
      </c>
      <c r="W14" s="11" t="str">
        <f>IF(M14&lt;입력값!$B$27,"YES","")</f>
        <v/>
      </c>
      <c r="X14" s="11" t="str">
        <f>IF(N14&gt;입력값!$B$28,"YES","")</f>
        <v/>
      </c>
      <c r="Y14" s="11" t="str">
        <f>IF(O14&gt;입력값!$B$29,"YES","")</f>
        <v>YES</v>
      </c>
      <c r="Z14" s="11" t="str">
        <f>IF(AND(ISNUMBER(U14),U14&gt;=입력값!$B$30),"YES","")</f>
        <v>YES</v>
      </c>
      <c r="AA14" s="11" t="str">
        <f t="shared" si="6"/>
        <v>YES</v>
      </c>
      <c r="AB14" s="14">
        <f>입력값!$B$26</f>
        <v>7</v>
      </c>
      <c r="AC14" s="14">
        <f>입력값!$B$27</f>
        <v>554</v>
      </c>
      <c r="AD14" s="14">
        <f>입력값!$B$28</f>
        <v>4000</v>
      </c>
      <c r="AE14" s="14">
        <f>입력값!$B$29</f>
        <v>0.4</v>
      </c>
      <c r="AF14" s="21">
        <f>입력값!$B$30</f>
        <v>1.4</v>
      </c>
      <c r="AG14" s="4" t="str">
        <f t="shared" si="7"/>
        <v>혼합만으로도 경보 가능</v>
      </c>
    </row>
    <row r="15" spans="1:33">
      <c r="A15" s="12">
        <v>18</v>
      </c>
      <c r="B15" s="12">
        <f>입력값!$B$8</f>
        <v>108</v>
      </c>
      <c r="C15" s="12">
        <f t="shared" si="0"/>
        <v>126</v>
      </c>
      <c r="D15" s="13">
        <f t="shared" si="1"/>
        <v>0.14285714285714285</v>
      </c>
      <c r="E15" s="13">
        <f>C15/입력값!$B$4</f>
        <v>3.5999999999999997E-2</v>
      </c>
      <c r="F15" s="14">
        <f>((B15*입력값!$B$12)+(A15*입력값!$B$16))/입력값!$B$4/1000</f>
        <v>0.88457142857142856</v>
      </c>
      <c r="G15" s="14">
        <f>IF(C15=0,"N/A",입력값!$B$4/C15)</f>
        <v>27.777777777777779</v>
      </c>
      <c r="H15" s="14">
        <f>-LOG10((B15/C15)*10^(-입력값!$B$9)+(A15/C15)*10^(-입력값!$B$13))</f>
        <v>5.1434570165473303</v>
      </c>
      <c r="I15" s="12">
        <f>(B15*입력값!$B$10+A15*입력값!$B$14)/C15</f>
        <v>2792.5714285714284</v>
      </c>
      <c r="J15" s="12">
        <f>(B15*입력값!$B$11+A15*입력값!$B$15)/C15</f>
        <v>47037.142857142855</v>
      </c>
      <c r="K15" s="15">
        <f>(1-E15)*10^(-입력값!$B$5)+(B15/입력값!$B$4)*10^(-입력값!$B$9)+(A15/입력값!$B$4)*10^(-입력값!$B$13)</f>
        <v>2.8921357961604367E-7</v>
      </c>
      <c r="L15" s="14">
        <f t="shared" si="2"/>
        <v>6.5387813192134114</v>
      </c>
      <c r="M15" s="12">
        <f>(1-E15)*입력값!$B$6+(B15/입력값!$B$4)*입력값!$B$10+(A15/입력값!$B$4)*입력값!$B$14</f>
        <v>3241.2445714285714</v>
      </c>
      <c r="N15" s="12">
        <f>(1-E15)*입력값!$B$7+(B15/입력값!$B$4)*입력값!$B$11+(A15/입력값!$B$4)*입력값!$B$15</f>
        <v>2956.1771428571428</v>
      </c>
      <c r="O15" s="14">
        <f t="shared" si="3"/>
        <v>0.91205000971408157</v>
      </c>
      <c r="P15" s="16">
        <f>IFERROR((B15*입력값!$B$19+A15*입력값!$B$21)/C15,"")</f>
        <v>2105.6857142857143</v>
      </c>
      <c r="Q15" s="16">
        <f>IFERROR((B15*입력값!$B$20+A15*입력값!$B$22)/C15,"")</f>
        <v>92.228571428571428</v>
      </c>
      <c r="R15" s="16">
        <f t="shared" si="4"/>
        <v>4.3799780186976757E-2</v>
      </c>
      <c r="S15" s="16">
        <f>IFERROR((1-E15)*입력값!$B$17+(B15/입력값!$B$4)*입력값!$B$19+(A15/입력값!$B$4)*입력값!$B$21,"")</f>
        <v>278.24468571428571</v>
      </c>
      <c r="T15" s="16">
        <f>IFERROR((1-E15)*입력값!$B$18+(B15/입력값!$B$4)*입력값!$B$20+(A15/입력값!$B$4)*입력값!$B$22,"")</f>
        <v>887.54922857142844</v>
      </c>
      <c r="U15" s="16">
        <f t="shared" si="5"/>
        <v>3.1898155621301041</v>
      </c>
      <c r="V15" s="11" t="str">
        <f>IF(L15&lt;입력값!$B$26,"YES","")</f>
        <v>YES</v>
      </c>
      <c r="W15" s="11" t="str">
        <f>IF(M15&lt;입력값!$B$27,"YES","")</f>
        <v/>
      </c>
      <c r="X15" s="11" t="str">
        <f>IF(N15&gt;입력값!$B$28,"YES","")</f>
        <v/>
      </c>
      <c r="Y15" s="11" t="str">
        <f>IF(O15&gt;입력값!$B$29,"YES","")</f>
        <v>YES</v>
      </c>
      <c r="Z15" s="11" t="str">
        <f>IF(AND(ISNUMBER(U15),U15&gt;=입력값!$B$30),"YES","")</f>
        <v>YES</v>
      </c>
      <c r="AA15" s="11" t="str">
        <f t="shared" si="6"/>
        <v>YES</v>
      </c>
      <c r="AB15" s="14">
        <f>입력값!$B$26</f>
        <v>7</v>
      </c>
      <c r="AC15" s="14">
        <f>입력값!$B$27</f>
        <v>554</v>
      </c>
      <c r="AD15" s="14">
        <f>입력값!$B$28</f>
        <v>4000</v>
      </c>
      <c r="AE15" s="14">
        <f>입력값!$B$29</f>
        <v>0.4</v>
      </c>
      <c r="AF15" s="21">
        <f>입력값!$B$30</f>
        <v>1.4</v>
      </c>
      <c r="AG15" s="4" t="str">
        <f t="shared" si="7"/>
        <v>혼합만으로도 경보 가능</v>
      </c>
    </row>
    <row r="16" spans="1:33">
      <c r="A16" s="12">
        <v>20</v>
      </c>
      <c r="B16" s="12">
        <f>입력값!$B$8</f>
        <v>108</v>
      </c>
      <c r="C16" s="12">
        <f t="shared" si="0"/>
        <v>128</v>
      </c>
      <c r="D16" s="13">
        <f t="shared" si="1"/>
        <v>0.15625</v>
      </c>
      <c r="E16" s="13">
        <f>C16/입력값!$B$4</f>
        <v>3.6571428571428574E-2</v>
      </c>
      <c r="F16" s="14">
        <f>((B16*입력값!$B$12)+(A16*입력값!$B$16))/입력값!$B$4/1000</f>
        <v>0.98285714285714287</v>
      </c>
      <c r="G16" s="14">
        <f>IF(C16=0,"N/A",입력값!$B$4/C16)</f>
        <v>27.34375</v>
      </c>
      <c r="H16" s="14">
        <f>-LOG10((B16/C16)*10^(-입력값!$B$9)+(A16/C16)*10^(-입력값!$B$13))</f>
        <v>5.1047027741102386</v>
      </c>
      <c r="I16" s="12">
        <f>(B16*입력값!$B$10+A16*입력값!$B$14)/C16</f>
        <v>2748.9375</v>
      </c>
      <c r="J16" s="12">
        <f>(B16*입력값!$B$11+A16*입력값!$B$15)/C16</f>
        <v>51324.0625</v>
      </c>
      <c r="K16" s="15">
        <f>(1-E16)*10^(-입력값!$B$5)+(B16/입력값!$B$4)*10^(-입력값!$B$9)+(A16/입력값!$B$4)*10^(-입력값!$B$13)</f>
        <v>3.1783477995097258E-7</v>
      </c>
      <c r="L16" s="14">
        <f t="shared" si="2"/>
        <v>6.4977985806518648</v>
      </c>
      <c r="M16" s="12">
        <f>(1-E16)*입력값!$B$6+(B16/입력값!$B$4)*입력값!$B$10+(A16/입력값!$B$4)*입력값!$B$14</f>
        <v>3239.3828571428571</v>
      </c>
      <c r="N16" s="12">
        <f>(1-E16)*입력값!$B$7+(B16/입력값!$B$4)*입력값!$B$11+(A16/입력값!$B$4)*입력값!$B$15</f>
        <v>3139.0857142857144</v>
      </c>
      <c r="O16" s="14">
        <f t="shared" si="3"/>
        <v>0.96903819422394388</v>
      </c>
      <c r="P16" s="16">
        <f>IFERROR((B16*입력값!$B$19+A16*입력값!$B$21)/C16,"")</f>
        <v>2279.5812500000002</v>
      </c>
      <c r="Q16" s="16">
        <f>IFERROR((B16*입력값!$B$20+A16*입력값!$B$22)/C16,"")</f>
        <v>98.756249999999994</v>
      </c>
      <c r="R16" s="16">
        <f t="shared" si="4"/>
        <v>4.332210137278502E-2</v>
      </c>
      <c r="S16" s="16">
        <f>IFERROR((1-E16)*입력값!$B$17+(B16/입력값!$B$4)*입력값!$B$19+(A16/입력값!$B$4)*입력값!$B$21,"")</f>
        <v>285.68754285714283</v>
      </c>
      <c r="T16" s="16">
        <f>IFERROR((1-E16)*입력값!$B$18+(B16/입력값!$B$4)*입력값!$B$20+(A16/입력값!$B$4)*입력값!$B$22,"")</f>
        <v>887.31651428571422</v>
      </c>
      <c r="U16" s="16">
        <f t="shared" si="5"/>
        <v>3.1058985121007328</v>
      </c>
      <c r="V16" s="11" t="str">
        <f>IF(L16&lt;입력값!$B$26,"YES","")</f>
        <v>YES</v>
      </c>
      <c r="W16" s="11" t="str">
        <f>IF(M16&lt;입력값!$B$27,"YES","")</f>
        <v/>
      </c>
      <c r="X16" s="11" t="str">
        <f>IF(N16&gt;입력값!$B$28,"YES","")</f>
        <v/>
      </c>
      <c r="Y16" s="11" t="str">
        <f>IF(O16&gt;입력값!$B$29,"YES","")</f>
        <v>YES</v>
      </c>
      <c r="Z16" s="11" t="str">
        <f>IF(AND(ISNUMBER(U16),U16&gt;=입력값!$B$30),"YES","")</f>
        <v>YES</v>
      </c>
      <c r="AA16" s="11" t="str">
        <f t="shared" si="6"/>
        <v>YES</v>
      </c>
      <c r="AB16" s="14">
        <f>입력값!$B$26</f>
        <v>7</v>
      </c>
      <c r="AC16" s="14">
        <f>입력값!$B$27</f>
        <v>554</v>
      </c>
      <c r="AD16" s="14">
        <f>입력값!$B$28</f>
        <v>4000</v>
      </c>
      <c r="AE16" s="14">
        <f>입력값!$B$29</f>
        <v>0.4</v>
      </c>
      <c r="AF16" s="21">
        <f>입력값!$B$30</f>
        <v>1.4</v>
      </c>
      <c r="AG16" s="4" t="str">
        <f t="shared" si="7"/>
        <v>혼합만으로도 경보 가능</v>
      </c>
    </row>
    <row r="17" spans="1:33">
      <c r="A17" s="12">
        <v>22</v>
      </c>
      <c r="B17" s="12">
        <f>입력값!$B$8</f>
        <v>108</v>
      </c>
      <c r="C17" s="12">
        <f t="shared" si="0"/>
        <v>130</v>
      </c>
      <c r="D17" s="13">
        <f t="shared" si="1"/>
        <v>0.16923076923076924</v>
      </c>
      <c r="E17" s="13">
        <f>C17/입력값!$B$4</f>
        <v>3.7142857142857144E-2</v>
      </c>
      <c r="F17" s="14">
        <f>((B17*입력값!$B$12)+(A17*입력값!$B$16))/입력값!$B$4/1000</f>
        <v>1.0811428571428572</v>
      </c>
      <c r="G17" s="14">
        <f>IF(C17=0,"N/A",입력값!$B$4/C17)</f>
        <v>26.923076923076923</v>
      </c>
      <c r="H17" s="14">
        <f>-LOG10((B17/C17)*10^(-입력값!$B$9)+(A17/C17)*10^(-입력값!$B$13))</f>
        <v>5.0701775550764694</v>
      </c>
      <c r="I17" s="12">
        <f>(B17*입력값!$B$10+A17*입력값!$B$14)/C17</f>
        <v>2706.646153846154</v>
      </c>
      <c r="J17" s="12">
        <f>(B17*입력값!$B$11+A17*입력값!$B$15)/C17</f>
        <v>55479.076923076922</v>
      </c>
      <c r="K17" s="15">
        <f>(1-E17)*10^(-입력값!$B$5)+(B17/입력값!$B$4)*10^(-입력값!$B$9)+(A17/입력값!$B$4)*10^(-입력값!$B$13)</f>
        <v>3.4645598028590149E-7</v>
      </c>
      <c r="L17" s="14">
        <f t="shared" si="2"/>
        <v>6.4603519377719012</v>
      </c>
      <c r="M17" s="12">
        <f>(1-E17)*입력값!$B$6+(B17/입력값!$B$4)*입력값!$B$10+(A17/입력값!$B$4)*입력값!$B$14</f>
        <v>3237.5211428571429</v>
      </c>
      <c r="N17" s="12">
        <f>(1-E17)*입력값!$B$7+(B17/입력값!$B$4)*입력값!$B$11+(A17/입력값!$B$4)*입력값!$B$15</f>
        <v>3321.994285714286</v>
      </c>
      <c r="O17" s="14">
        <f t="shared" si="3"/>
        <v>1.0260919200615921</v>
      </c>
      <c r="P17" s="16">
        <f>IFERROR((B17*입력값!$B$19+A17*입력값!$B$21)/C17,"")</f>
        <v>2448.126153846154</v>
      </c>
      <c r="Q17" s="16">
        <f>IFERROR((B17*입력값!$B$20+A17*입력값!$B$22)/C17,"")</f>
        <v>105.08307692307692</v>
      </c>
      <c r="R17" s="16">
        <f t="shared" si="4"/>
        <v>4.2923881499319409E-2</v>
      </c>
      <c r="S17" s="16">
        <f>IFERROR((1-E17)*입력값!$B$17+(B17/입력값!$B$4)*입력값!$B$19+(A17/입력값!$B$4)*입력값!$B$21,"")</f>
        <v>293.13040000000001</v>
      </c>
      <c r="T17" s="16">
        <f>IFERROR((1-E17)*입력값!$B$18+(B17/입력값!$B$4)*입력값!$B$20+(A17/입력값!$B$4)*입력값!$B$22,"")</f>
        <v>887.0838</v>
      </c>
      <c r="U17" s="16">
        <f t="shared" si="5"/>
        <v>3.0262429280620502</v>
      </c>
      <c r="V17" s="11" t="str">
        <f>IF(L17&lt;입력값!$B$26,"YES","")</f>
        <v>YES</v>
      </c>
      <c r="W17" s="11" t="str">
        <f>IF(M17&lt;입력값!$B$27,"YES","")</f>
        <v/>
      </c>
      <c r="X17" s="11" t="str">
        <f>IF(N17&gt;입력값!$B$28,"YES","")</f>
        <v/>
      </c>
      <c r="Y17" s="11" t="str">
        <f>IF(O17&gt;입력값!$B$29,"YES","")</f>
        <v>YES</v>
      </c>
      <c r="Z17" s="11" t="str">
        <f>IF(AND(ISNUMBER(U17),U17&gt;=입력값!$B$30),"YES","")</f>
        <v>YES</v>
      </c>
      <c r="AA17" s="11" t="str">
        <f t="shared" si="6"/>
        <v>YES</v>
      </c>
      <c r="AB17" s="14">
        <f>입력값!$B$26</f>
        <v>7</v>
      </c>
      <c r="AC17" s="14">
        <f>입력값!$B$27</f>
        <v>554</v>
      </c>
      <c r="AD17" s="14">
        <f>입력값!$B$28</f>
        <v>4000</v>
      </c>
      <c r="AE17" s="14">
        <f>입력값!$B$29</f>
        <v>0.4</v>
      </c>
      <c r="AF17" s="21">
        <f>입력값!$B$30</f>
        <v>1.4</v>
      </c>
      <c r="AG17" s="4" t="str">
        <f t="shared" si="7"/>
        <v>혼합만으로도 경보 가능</v>
      </c>
    </row>
    <row r="18" spans="1:33">
      <c r="A18" s="12">
        <v>24</v>
      </c>
      <c r="B18" s="12">
        <f>입력값!$B$8</f>
        <v>108</v>
      </c>
      <c r="C18" s="12">
        <f t="shared" si="0"/>
        <v>132</v>
      </c>
      <c r="D18" s="13">
        <f t="shared" si="1"/>
        <v>0.18181818181818182</v>
      </c>
      <c r="E18" s="13">
        <f>C18/입력값!$B$4</f>
        <v>3.7714285714285714E-2</v>
      </c>
      <c r="F18" s="14">
        <f>((B18*입력값!$B$12)+(A18*입력값!$B$16))/입력값!$B$4/1000</f>
        <v>1.1794285714285713</v>
      </c>
      <c r="G18" s="14">
        <f>IF(C18=0,"N/A",입력값!$B$4/C18)</f>
        <v>26.515151515151516</v>
      </c>
      <c r="H18" s="14">
        <f>-LOG10((B18/C18)*10^(-입력값!$B$9)+(A18/C18)*10^(-입력값!$B$13))</f>
        <v>5.0391313409385141</v>
      </c>
      <c r="I18" s="12">
        <f>(B18*입력값!$B$10+A18*입력값!$B$14)/C18</f>
        <v>2665.6363636363635</v>
      </c>
      <c r="J18" s="12">
        <f>(B18*입력값!$B$11+A18*입력값!$B$15)/C18</f>
        <v>59508.181818181816</v>
      </c>
      <c r="K18" s="15">
        <f>(1-E18)*10^(-입력값!$B$5)+(B18/입력값!$B$4)*10^(-입력값!$B$9)+(A18/입력값!$B$4)*10^(-입력값!$B$13)</f>
        <v>3.7507718062083035E-7</v>
      </c>
      <c r="L18" s="14">
        <f t="shared" si="2"/>
        <v>6.4258793571553712</v>
      </c>
      <c r="M18" s="12">
        <f>(1-E18)*입력값!$B$6+(B18/입력값!$B$4)*입력값!$B$10+(A18/입력값!$B$4)*입력값!$B$14</f>
        <v>3235.6594285714286</v>
      </c>
      <c r="N18" s="12">
        <f>(1-E18)*입력값!$B$7+(B18/입력값!$B$4)*입력값!$B$11+(A18/입력값!$B$4)*입력값!$B$15</f>
        <v>3504.9028571428571</v>
      </c>
      <c r="O18" s="14">
        <f t="shared" si="3"/>
        <v>1.0832113003593526</v>
      </c>
      <c r="P18" s="16">
        <f>IFERROR((B18*입력값!$B$19+A18*입력값!$B$21)/C18,"")</f>
        <v>2611.5636363636368</v>
      </c>
      <c r="Q18" s="16">
        <f>IFERROR((B18*입력값!$B$20+A18*입력값!$B$22)/C18,"")</f>
        <v>111.21818181818182</v>
      </c>
      <c r="R18" s="16">
        <f t="shared" si="4"/>
        <v>4.2586816675485251E-2</v>
      </c>
      <c r="S18" s="16">
        <f>IFERROR((1-E18)*입력값!$B$17+(B18/입력값!$B$4)*입력값!$B$19+(A18/입력값!$B$4)*입력값!$B$21,"")</f>
        <v>300.57325714285719</v>
      </c>
      <c r="T18" s="16">
        <f>IFERROR((1-E18)*입력값!$B$18+(B18/입력값!$B$4)*입력값!$B$20+(A18/입력값!$B$4)*입력값!$B$22,"")</f>
        <v>886.85108571428566</v>
      </c>
      <c r="U18" s="16">
        <f t="shared" si="5"/>
        <v>2.9505322401080445</v>
      </c>
      <c r="V18" s="11" t="str">
        <f>IF(L18&lt;입력값!$B$26,"YES","")</f>
        <v>YES</v>
      </c>
      <c r="W18" s="11" t="str">
        <f>IF(M18&lt;입력값!$B$27,"YES","")</f>
        <v/>
      </c>
      <c r="X18" s="11" t="str">
        <f>IF(N18&gt;입력값!$B$28,"YES","")</f>
        <v/>
      </c>
      <c r="Y18" s="11" t="str">
        <f>IF(O18&gt;입력값!$B$29,"YES","")</f>
        <v>YES</v>
      </c>
      <c r="Z18" s="11" t="str">
        <f>IF(AND(ISNUMBER(U18),U18&gt;=입력값!$B$30),"YES","")</f>
        <v>YES</v>
      </c>
      <c r="AA18" s="11" t="str">
        <f t="shared" si="6"/>
        <v>YES</v>
      </c>
      <c r="AB18" s="14">
        <f>입력값!$B$26</f>
        <v>7</v>
      </c>
      <c r="AC18" s="14">
        <f>입력값!$B$27</f>
        <v>554</v>
      </c>
      <c r="AD18" s="14">
        <f>입력값!$B$28</f>
        <v>4000</v>
      </c>
      <c r="AE18" s="14">
        <f>입력값!$B$29</f>
        <v>0.4</v>
      </c>
      <c r="AF18" s="21">
        <f>입력값!$B$30</f>
        <v>1.4</v>
      </c>
      <c r="AG18" s="4" t="str">
        <f t="shared" si="7"/>
        <v>혼합만으로도 경보 가능</v>
      </c>
    </row>
    <row r="19" spans="1:33">
      <c r="A19" s="12">
        <v>26</v>
      </c>
      <c r="B19" s="12">
        <f>입력값!$B$8</f>
        <v>108</v>
      </c>
      <c r="C19" s="12">
        <f t="shared" si="0"/>
        <v>134</v>
      </c>
      <c r="D19" s="13">
        <f t="shared" si="1"/>
        <v>0.19402985074626866</v>
      </c>
      <c r="E19" s="13">
        <f>C19/입력값!$B$4</f>
        <v>3.8285714285714284E-2</v>
      </c>
      <c r="F19" s="14">
        <f>((B19*입력값!$B$12)+(A19*입력값!$B$16))/입력값!$B$4/1000</f>
        <v>1.2777142857142858</v>
      </c>
      <c r="G19" s="14">
        <f>IF(C19=0,"N/A",입력값!$B$4/C19)</f>
        <v>26.119402985074625</v>
      </c>
      <c r="H19" s="14">
        <f>-LOG10((B19/C19)*10^(-입력값!$B$9)+(A19/C19)*10^(-입력값!$B$13))</f>
        <v>5.0109946971082282</v>
      </c>
      <c r="I19" s="12">
        <f>(B19*입력값!$B$10+A19*입력값!$B$14)/C19</f>
        <v>2625.8507462686566</v>
      </c>
      <c r="J19" s="12">
        <f>(B19*입력값!$B$11+A19*입력값!$B$15)/C19</f>
        <v>63417.014925373136</v>
      </c>
      <c r="K19" s="15">
        <f>(1-E19)*10^(-입력값!$B$5)+(B19/입력값!$B$4)*10^(-입력값!$B$9)+(A19/입력값!$B$4)*10^(-입력값!$B$13)</f>
        <v>4.0369838095575926E-7</v>
      </c>
      <c r="L19" s="14">
        <f t="shared" si="2"/>
        <v>6.3939429923369975</v>
      </c>
      <c r="M19" s="12">
        <f>(1-E19)*입력값!$B$6+(B19/입력값!$B$4)*입력값!$B$10+(A19/입력값!$B$4)*입력값!$B$14</f>
        <v>3233.7977142857144</v>
      </c>
      <c r="N19" s="12">
        <f>(1-E19)*입력값!$B$7+(B19/입력값!$B$4)*입력값!$B$11+(A19/입력값!$B$4)*입력값!$B$15</f>
        <v>3687.8114285714282</v>
      </c>
      <c r="O19" s="14">
        <f t="shared" si="3"/>
        <v>1.1403964485100755</v>
      </c>
      <c r="P19" s="16">
        <f>IFERROR((B19*입력값!$B$19+A19*입력값!$B$21)/C19,"")</f>
        <v>2770.1223880597017</v>
      </c>
      <c r="Q19" s="16">
        <f>IFERROR((B19*입력값!$B$20+A19*입력값!$B$22)/C19,"")</f>
        <v>117.17014925373134</v>
      </c>
      <c r="R19" s="16">
        <f t="shared" si="4"/>
        <v>4.2297824009069049E-2</v>
      </c>
      <c r="S19" s="16">
        <f>IFERROR((1-E19)*입력값!$B$17+(B19/입력값!$B$4)*입력값!$B$19+(A19/입력값!$B$4)*입력값!$B$21,"")</f>
        <v>308.01611428571431</v>
      </c>
      <c r="T19" s="16">
        <f>IFERROR((1-E19)*입력값!$B$18+(B19/입력값!$B$4)*입력값!$B$20+(A19/입력값!$B$4)*입력값!$B$22,"")</f>
        <v>886.61837142857144</v>
      </c>
      <c r="U19" s="16">
        <f t="shared" si="5"/>
        <v>2.8784804765316543</v>
      </c>
      <c r="V19" s="11" t="str">
        <f>IF(L19&lt;입력값!$B$26,"YES","")</f>
        <v>YES</v>
      </c>
      <c r="W19" s="11" t="str">
        <f>IF(M19&lt;입력값!$B$27,"YES","")</f>
        <v/>
      </c>
      <c r="X19" s="11" t="str">
        <f>IF(N19&gt;입력값!$B$28,"YES","")</f>
        <v/>
      </c>
      <c r="Y19" s="11" t="str">
        <f>IF(O19&gt;입력값!$B$29,"YES","")</f>
        <v>YES</v>
      </c>
      <c r="Z19" s="11" t="str">
        <f>IF(AND(ISNUMBER(U19),U19&gt;=입력값!$B$30),"YES","")</f>
        <v>YES</v>
      </c>
      <c r="AA19" s="11" t="str">
        <f t="shared" si="6"/>
        <v>YES</v>
      </c>
      <c r="AB19" s="14">
        <f>입력값!$B$26</f>
        <v>7</v>
      </c>
      <c r="AC19" s="14">
        <f>입력값!$B$27</f>
        <v>554</v>
      </c>
      <c r="AD19" s="14">
        <f>입력값!$B$28</f>
        <v>4000</v>
      </c>
      <c r="AE19" s="14">
        <f>입력값!$B$29</f>
        <v>0.4</v>
      </c>
      <c r="AF19" s="21">
        <f>입력값!$B$30</f>
        <v>1.4</v>
      </c>
      <c r="AG19" s="4" t="str">
        <f t="shared" si="7"/>
        <v>혼합만으로도 경보 가능</v>
      </c>
    </row>
    <row r="20" spans="1:33">
      <c r="A20" s="12">
        <v>28</v>
      </c>
      <c r="B20" s="12">
        <f>입력값!$B$8</f>
        <v>108</v>
      </c>
      <c r="C20" s="12">
        <f t="shared" si="0"/>
        <v>136</v>
      </c>
      <c r="D20" s="13">
        <f t="shared" si="1"/>
        <v>0.20588235294117646</v>
      </c>
      <c r="E20" s="13">
        <f>C20/입력값!$B$4</f>
        <v>3.8857142857142854E-2</v>
      </c>
      <c r="F20" s="14">
        <f>((B20*입력값!$B$12)+(A20*입력값!$B$16))/입력값!$B$4/1000</f>
        <v>1.3759999999999999</v>
      </c>
      <c r="G20" s="14">
        <f>IF(C20=0,"N/A",입력값!$B$4/C20)</f>
        <v>25.735294117647058</v>
      </c>
      <c r="H20" s="14">
        <f>-LOG10((B20/C20)*10^(-입력값!$B$9)+(A20/C20)*10^(-입력값!$B$13))</f>
        <v>4.9853252218046569</v>
      </c>
      <c r="I20" s="12">
        <f>(B20*입력값!$B$10+A20*입력값!$B$14)/C20</f>
        <v>2587.2352941176468</v>
      </c>
      <c r="J20" s="12">
        <f>(B20*입력값!$B$11+A20*입력값!$B$15)/C20</f>
        <v>67210.882352941175</v>
      </c>
      <c r="K20" s="15">
        <f>(1-E20)*10^(-입력값!$B$5)+(B20/입력값!$B$4)*10^(-입력값!$B$9)+(A20/입력값!$B$4)*10^(-입력값!$B$13)</f>
        <v>4.3231958129068811E-7</v>
      </c>
      <c r="L20" s="14">
        <f t="shared" si="2"/>
        <v>6.3641950932798981</v>
      </c>
      <c r="M20" s="12">
        <f>(1-E20)*입력값!$B$6+(B20/입력값!$B$4)*입력값!$B$10+(A20/입력값!$B$4)*입력값!$B$14</f>
        <v>3231.9360000000001</v>
      </c>
      <c r="N20" s="12">
        <f>(1-E20)*입력값!$B$7+(B20/입력값!$B$4)*입력값!$B$11+(A20/입력값!$B$4)*입력값!$B$15</f>
        <v>3870.7200000000003</v>
      </c>
      <c r="O20" s="14">
        <f t="shared" si="3"/>
        <v>1.1976474781678845</v>
      </c>
      <c r="P20" s="16">
        <f>IFERROR((B20*입력값!$B$19+A20*입력값!$B$21)/C20,"")</f>
        <v>2924.0176470588235</v>
      </c>
      <c r="Q20" s="16">
        <f>IFERROR((B20*입력값!$B$20+A20*입력값!$B$22)/C20,"")</f>
        <v>122.9470588235294</v>
      </c>
      <c r="R20" s="16">
        <f t="shared" si="4"/>
        <v>4.2047303971368966E-2</v>
      </c>
      <c r="S20" s="16">
        <f>IFERROR((1-E20)*입력값!$B$17+(B20/입력값!$B$4)*입력값!$B$19+(A20/입력값!$B$4)*입력값!$B$21,"")</f>
        <v>315.45897142857143</v>
      </c>
      <c r="T20" s="16">
        <f>IFERROR((1-E20)*입력값!$B$18+(B20/입력값!$B$4)*입력값!$B$20+(A20/입력값!$B$4)*입력값!$B$22,"")</f>
        <v>886.38565714285721</v>
      </c>
      <c r="U20" s="16">
        <f t="shared" si="5"/>
        <v>2.8098286541949218</v>
      </c>
      <c r="V20" s="11" t="str">
        <f>IF(L20&lt;입력값!$B$26,"YES","")</f>
        <v>YES</v>
      </c>
      <c r="W20" s="11" t="str">
        <f>IF(M20&lt;입력값!$B$27,"YES","")</f>
        <v/>
      </c>
      <c r="X20" s="11" t="str">
        <f>IF(N20&gt;입력값!$B$28,"YES","")</f>
        <v/>
      </c>
      <c r="Y20" s="11" t="str">
        <f>IF(O20&gt;입력값!$B$29,"YES","")</f>
        <v>YES</v>
      </c>
      <c r="Z20" s="11" t="str">
        <f>IF(AND(ISNUMBER(U20),U20&gt;=입력값!$B$30),"YES","")</f>
        <v>YES</v>
      </c>
      <c r="AA20" s="11" t="str">
        <f t="shared" si="6"/>
        <v>YES</v>
      </c>
      <c r="AB20" s="14">
        <f>입력값!$B$26</f>
        <v>7</v>
      </c>
      <c r="AC20" s="14">
        <f>입력값!$B$27</f>
        <v>554</v>
      </c>
      <c r="AD20" s="14">
        <f>입력값!$B$28</f>
        <v>4000</v>
      </c>
      <c r="AE20" s="14">
        <f>입력값!$B$29</f>
        <v>0.4</v>
      </c>
      <c r="AF20" s="21">
        <f>입력값!$B$30</f>
        <v>1.4</v>
      </c>
      <c r="AG20" s="4" t="str">
        <f t="shared" si="7"/>
        <v>혼합만으로도 경보 가능</v>
      </c>
    </row>
    <row r="21" spans="1:33">
      <c r="A21" s="12">
        <v>30</v>
      </c>
      <c r="B21" s="12">
        <f>입력값!$B$8</f>
        <v>108</v>
      </c>
      <c r="C21" s="12">
        <f t="shared" si="0"/>
        <v>138</v>
      </c>
      <c r="D21" s="13">
        <f t="shared" si="1"/>
        <v>0.21739130434782608</v>
      </c>
      <c r="E21" s="13">
        <f>C21/입력값!$B$4</f>
        <v>3.9428571428571431E-2</v>
      </c>
      <c r="F21" s="14">
        <f>((B21*입력값!$B$12)+(A21*입력값!$B$16))/입력값!$B$4/1000</f>
        <v>1.4742857142857142</v>
      </c>
      <c r="G21" s="14">
        <f>IF(C21=0,"N/A",입력값!$B$4/C21)</f>
        <v>25.362318840579711</v>
      </c>
      <c r="H21" s="14">
        <f>-LOG10((B21/C21)*10^(-입력값!$B$9)+(A21/C21)*10^(-입력값!$B$13))</f>
        <v>4.96177247369745</v>
      </c>
      <c r="I21" s="12">
        <f>(B21*입력값!$B$10+A21*입력값!$B$14)/C21</f>
        <v>2549.7391304347825</v>
      </c>
      <c r="J21" s="12">
        <f>(B21*입력값!$B$11+A21*입력값!$B$15)/C21</f>
        <v>70894.782608695648</v>
      </c>
      <c r="K21" s="15">
        <f>(1-E21)*10^(-입력값!$B$5)+(B21/입력값!$B$4)*10^(-입력값!$B$9)+(A21/입력값!$B$4)*10^(-입력값!$B$13)</f>
        <v>4.6094078162561702E-7</v>
      </c>
      <c r="L21" s="14">
        <f t="shared" si="2"/>
        <v>6.3363548660749878</v>
      </c>
      <c r="M21" s="12">
        <f>(1-E21)*입력값!$B$6+(B21/입력값!$B$4)*입력값!$B$10+(A21/입력값!$B$4)*입력값!$B$14</f>
        <v>3230.0742857142855</v>
      </c>
      <c r="N21" s="12">
        <f>(1-E21)*입력값!$B$7+(B21/입력값!$B$4)*입력값!$B$11+(A21/입력값!$B$4)*입력값!$B$15</f>
        <v>4053.6285714285714</v>
      </c>
      <c r="O21" s="14">
        <f t="shared" si="3"/>
        <v>1.2549645032489303</v>
      </c>
      <c r="P21" s="16">
        <f>IFERROR((B21*입력값!$B$19+A21*입력값!$B$21)/C21,"")</f>
        <v>3073.4521739130437</v>
      </c>
      <c r="Q21" s="16">
        <f>IFERROR((B21*입력값!$B$20+A21*입력값!$B$22)/C21,"")</f>
        <v>128.55652173913043</v>
      </c>
      <c r="R21" s="16">
        <f t="shared" si="4"/>
        <v>4.1828053428095299E-2</v>
      </c>
      <c r="S21" s="16">
        <f>IFERROR((1-E21)*입력값!$B$17+(B21/입력값!$B$4)*입력값!$B$19+(A21/입력값!$B$4)*입력값!$B$21,"")</f>
        <v>322.90182857142861</v>
      </c>
      <c r="T21" s="16">
        <f>IFERROR((1-E21)*입력값!$B$18+(B21/입력값!$B$4)*입력값!$B$20+(A21/입력값!$B$4)*입력값!$B$22,"")</f>
        <v>886.15294285714288</v>
      </c>
      <c r="U21" s="16">
        <f t="shared" si="5"/>
        <v>2.7443416681089445</v>
      </c>
      <c r="V21" s="11" t="str">
        <f>IF(L21&lt;입력값!$B$26,"YES","")</f>
        <v>YES</v>
      </c>
      <c r="W21" s="11" t="str">
        <f>IF(M21&lt;입력값!$B$27,"YES","")</f>
        <v/>
      </c>
      <c r="X21" s="11" t="str">
        <f>IF(N21&gt;입력값!$B$28,"YES","")</f>
        <v>YES</v>
      </c>
      <c r="Y21" s="11" t="str">
        <f>IF(O21&gt;입력값!$B$29,"YES","")</f>
        <v>YES</v>
      </c>
      <c r="Z21" s="11" t="str">
        <f>IF(AND(ISNUMBER(U21),U21&gt;=입력값!$B$30),"YES","")</f>
        <v>YES</v>
      </c>
      <c r="AA21" s="11" t="str">
        <f t="shared" si="6"/>
        <v>YES</v>
      </c>
      <c r="AB21" s="14">
        <f>입력값!$B$26</f>
        <v>7</v>
      </c>
      <c r="AC21" s="14">
        <f>입력값!$B$27</f>
        <v>554</v>
      </c>
      <c r="AD21" s="14">
        <f>입력값!$B$28</f>
        <v>4000</v>
      </c>
      <c r="AE21" s="14">
        <f>입력값!$B$29</f>
        <v>0.4</v>
      </c>
      <c r="AF21" s="21">
        <f>입력값!$B$30</f>
        <v>1.4</v>
      </c>
      <c r="AG21" s="4" t="str">
        <f t="shared" si="7"/>
        <v>혼합만으로도 경보 가능</v>
      </c>
    </row>
    <row r="22" spans="1:33">
      <c r="A22" s="12">
        <v>32</v>
      </c>
      <c r="B22" s="12">
        <f>입력값!$B$8</f>
        <v>108</v>
      </c>
      <c r="C22" s="12">
        <f t="shared" si="0"/>
        <v>140</v>
      </c>
      <c r="D22" s="13">
        <f t="shared" si="1"/>
        <v>0.22857142857142856</v>
      </c>
      <c r="E22" s="13">
        <f>C22/입력값!$B$4</f>
        <v>0.04</v>
      </c>
      <c r="F22" s="14">
        <f>((B22*입력값!$B$12)+(A22*입력값!$B$16))/입력값!$B$4/1000</f>
        <v>1.5725714285714287</v>
      </c>
      <c r="G22" s="14">
        <f>IF(C22=0,"N/A",입력값!$B$4/C22)</f>
        <v>25</v>
      </c>
      <c r="H22" s="14">
        <f>-LOG10((B22/C22)*10^(-입력값!$B$9)+(A22/C22)*10^(-입력값!$B$13))</f>
        <v>4.9400542187939891</v>
      </c>
      <c r="I22" s="12">
        <f>(B22*입력값!$B$10+A22*입력값!$B$14)/C22</f>
        <v>2513.3142857142857</v>
      </c>
      <c r="J22" s="12">
        <f>(B22*입력값!$B$11+A22*입력값!$B$15)/C22</f>
        <v>74473.428571428565</v>
      </c>
      <c r="K22" s="15">
        <f>(1-E22)*10^(-입력값!$B$5)+(B22/입력값!$B$4)*10^(-입력값!$B$9)+(A22/입력값!$B$4)*10^(-입력값!$B$13)</f>
        <v>4.8956198196054593E-7</v>
      </c>
      <c r="L22" s="14">
        <f t="shared" si="2"/>
        <v>6.3101923156701574</v>
      </c>
      <c r="M22" s="12">
        <f>(1-E22)*입력값!$B$6+(B22/입력값!$B$4)*입력값!$B$10+(A22/입력값!$B$4)*입력값!$B$14</f>
        <v>3228.2125714285712</v>
      </c>
      <c r="N22" s="12">
        <f>(1-E22)*입력값!$B$7+(B22/입력값!$B$4)*입력값!$B$11+(A22/입력값!$B$4)*입력값!$B$15</f>
        <v>4236.5371428571434</v>
      </c>
      <c r="O22" s="14">
        <f t="shared" si="3"/>
        <v>1.3123476379321457</v>
      </c>
      <c r="P22" s="16">
        <f>IFERROR((B22*입력값!$B$19+A22*입력값!$B$21)/C22,"")</f>
        <v>3218.6171428571429</v>
      </c>
      <c r="Q22" s="16">
        <f>IFERROR((B22*입력값!$B$20+A22*입력값!$B$22)/C22,"")</f>
        <v>134.00571428571428</v>
      </c>
      <c r="R22" s="16">
        <f t="shared" si="4"/>
        <v>4.1634561781634702E-2</v>
      </c>
      <c r="S22" s="16">
        <f>IFERROR((1-E22)*입력값!$B$17+(B22/입력값!$B$4)*입력값!$B$19+(A22/입력값!$B$4)*입력값!$B$21,"")</f>
        <v>330.34468571428573</v>
      </c>
      <c r="T22" s="16">
        <f>IFERROR((1-E22)*입력값!$B$18+(B22/입력값!$B$4)*입력값!$B$20+(A22/입력값!$B$4)*입력값!$B$22,"")</f>
        <v>885.92022857142842</v>
      </c>
      <c r="U22" s="16">
        <f t="shared" si="5"/>
        <v>2.681805601491221</v>
      </c>
      <c r="V22" s="11" t="str">
        <f>IF(L22&lt;입력값!$B$26,"YES","")</f>
        <v>YES</v>
      </c>
      <c r="W22" s="11" t="str">
        <f>IF(M22&lt;입력값!$B$27,"YES","")</f>
        <v/>
      </c>
      <c r="X22" s="11" t="str">
        <f>IF(N22&gt;입력값!$B$28,"YES","")</f>
        <v>YES</v>
      </c>
      <c r="Y22" s="11" t="str">
        <f>IF(O22&gt;입력값!$B$29,"YES","")</f>
        <v>YES</v>
      </c>
      <c r="Z22" s="11" t="str">
        <f>IF(AND(ISNUMBER(U22),U22&gt;=입력값!$B$30),"YES","")</f>
        <v>YES</v>
      </c>
      <c r="AA22" s="11" t="str">
        <f t="shared" si="6"/>
        <v>YES</v>
      </c>
      <c r="AB22" s="14">
        <f>입력값!$B$26</f>
        <v>7</v>
      </c>
      <c r="AC22" s="14">
        <f>입력값!$B$27</f>
        <v>554</v>
      </c>
      <c r="AD22" s="14">
        <f>입력값!$B$28</f>
        <v>4000</v>
      </c>
      <c r="AE22" s="14">
        <f>입력값!$B$29</f>
        <v>0.4</v>
      </c>
      <c r="AF22" s="21">
        <f>입력값!$B$30</f>
        <v>1.4</v>
      </c>
      <c r="AG22" s="4" t="str">
        <f t="shared" si="7"/>
        <v>혼합만으로도 경보 가능</v>
      </c>
    </row>
    <row r="23" spans="1:33">
      <c r="A23" s="12">
        <v>34</v>
      </c>
      <c r="B23" s="12">
        <f>입력값!$B$8</f>
        <v>108</v>
      </c>
      <c r="C23" s="12">
        <f t="shared" si="0"/>
        <v>142</v>
      </c>
      <c r="D23" s="13">
        <f t="shared" si="1"/>
        <v>0.23943661971830985</v>
      </c>
      <c r="E23" s="13">
        <f>C23/입력값!$B$4</f>
        <v>4.0571428571428571E-2</v>
      </c>
      <c r="F23" s="14">
        <f>((B23*입력값!$B$12)+(A23*입력값!$B$16))/입력값!$B$4/1000</f>
        <v>1.6708571428571428</v>
      </c>
      <c r="G23" s="14">
        <f>IF(C23=0,"N/A",입력값!$B$4/C23)</f>
        <v>24.64788732394366</v>
      </c>
      <c r="H23" s="14">
        <f>-LOG10((B23/C23)*10^(-입력값!$B$9)+(A23/C23)*10^(-입력값!$B$13))</f>
        <v>4.9199398778553025</v>
      </c>
      <c r="I23" s="12">
        <f>(B23*입력값!$B$10+A23*입력값!$B$14)/C23</f>
        <v>2477.9154929577467</v>
      </c>
      <c r="J23" s="12">
        <f>(B23*입력값!$B$11+A23*입력값!$B$15)/C23</f>
        <v>77951.26760563381</v>
      </c>
      <c r="K23" s="15">
        <f>(1-E23)*10^(-입력값!$B$5)+(B23/입력값!$B$4)*10^(-입력값!$B$9)+(A23/입력값!$B$4)*10^(-입력값!$B$13)</f>
        <v>5.1818318229547479E-7</v>
      </c>
      <c r="L23" s="14">
        <f t="shared" si="2"/>
        <v>6.2855166862069982</v>
      </c>
      <c r="M23" s="12">
        <f>(1-E23)*입력값!$B$6+(B23/입력값!$B$4)*입력값!$B$10+(A23/입력값!$B$4)*입력값!$B$14</f>
        <v>3226.350857142857</v>
      </c>
      <c r="N23" s="12">
        <f>(1-E23)*입력값!$B$7+(B23/입력값!$B$4)*입력값!$B$11+(A23/입력값!$B$4)*입력값!$B$15</f>
        <v>4419.4457142857136</v>
      </c>
      <c r="O23" s="14">
        <f t="shared" si="3"/>
        <v>1.3697969966600037</v>
      </c>
      <c r="P23" s="16">
        <f>IFERROR((B23*입력값!$B$19+A23*입력값!$B$21)/C23,"")</f>
        <v>3359.6929577464789</v>
      </c>
      <c r="Q23" s="16">
        <f>IFERROR((B23*입력값!$B$20+A23*입력값!$B$22)/C23,"")</f>
        <v>139.30140845070423</v>
      </c>
      <c r="R23" s="16">
        <f t="shared" si="4"/>
        <v>4.1462541429423044E-2</v>
      </c>
      <c r="S23" s="16">
        <f>IFERROR((1-E23)*입력값!$B$17+(B23/입력값!$B$4)*입력값!$B$19+(A23/입력값!$B$4)*입력값!$B$21,"")</f>
        <v>337.78754285714285</v>
      </c>
      <c r="T23" s="16">
        <f>IFERROR((1-E23)*입력값!$B$18+(B23/입력값!$B$4)*입력값!$B$20+(A23/입력값!$B$4)*입력값!$B$22,"")</f>
        <v>885.6875142857142</v>
      </c>
      <c r="U23" s="16">
        <f t="shared" si="5"/>
        <v>2.6220253914463898</v>
      </c>
      <c r="V23" s="11" t="str">
        <f>IF(L23&lt;입력값!$B$26,"YES","")</f>
        <v>YES</v>
      </c>
      <c r="W23" s="11" t="str">
        <f>IF(M23&lt;입력값!$B$27,"YES","")</f>
        <v/>
      </c>
      <c r="X23" s="11" t="str">
        <f>IF(N23&gt;입력값!$B$28,"YES","")</f>
        <v>YES</v>
      </c>
      <c r="Y23" s="11" t="str">
        <f>IF(O23&gt;입력값!$B$29,"YES","")</f>
        <v>YES</v>
      </c>
      <c r="Z23" s="11" t="str">
        <f>IF(AND(ISNUMBER(U23),U23&gt;=입력값!$B$30),"YES","")</f>
        <v>YES</v>
      </c>
      <c r="AA23" s="11" t="str">
        <f t="shared" si="6"/>
        <v>YES</v>
      </c>
      <c r="AB23" s="14">
        <f>입력값!$B$26</f>
        <v>7</v>
      </c>
      <c r="AC23" s="14">
        <f>입력값!$B$27</f>
        <v>554</v>
      </c>
      <c r="AD23" s="14">
        <f>입력값!$B$28</f>
        <v>4000</v>
      </c>
      <c r="AE23" s="14">
        <f>입력값!$B$29</f>
        <v>0.4</v>
      </c>
      <c r="AF23" s="21">
        <f>입력값!$B$30</f>
        <v>1.4</v>
      </c>
      <c r="AG23" s="4" t="str">
        <f t="shared" si="7"/>
        <v>혼합만으로도 경보 가능</v>
      </c>
    </row>
    <row r="24" spans="1:33">
      <c r="A24" s="12">
        <v>36</v>
      </c>
      <c r="B24" s="12">
        <f>입력값!$B$8</f>
        <v>108</v>
      </c>
      <c r="C24" s="12">
        <f t="shared" si="0"/>
        <v>144</v>
      </c>
      <c r="D24" s="13">
        <f t="shared" si="1"/>
        <v>0.25</v>
      </c>
      <c r="E24" s="13">
        <f>C24/입력값!$B$4</f>
        <v>4.1142857142857141E-2</v>
      </c>
      <c r="F24" s="14">
        <f>((B24*입력값!$B$12)+(A24*입력값!$B$16))/입력값!$B$4/1000</f>
        <v>1.7691428571428571</v>
      </c>
      <c r="G24" s="14">
        <f>IF(C24=0,"N/A",입력값!$B$4/C24)</f>
        <v>24.305555555555557</v>
      </c>
      <c r="H24" s="14">
        <f>-LOG10((B24/C24)*10^(-입력값!$B$9)+(A24/C24)*10^(-입력값!$B$13))</f>
        <v>4.9012387044993364</v>
      </c>
      <c r="I24" s="12">
        <f>(B24*입력값!$B$10+A24*입력값!$B$14)/C24</f>
        <v>2443.5</v>
      </c>
      <c r="J24" s="12">
        <f>(B24*입력값!$B$11+A24*입력값!$B$15)/C24</f>
        <v>81332.5</v>
      </c>
      <c r="K24" s="15">
        <f>(1-E24)*10^(-입력값!$B$5)+(B24/입력값!$B$4)*10^(-입력값!$B$9)+(A24/입력값!$B$4)*10^(-입력값!$B$13)</f>
        <v>5.4680438263040365E-7</v>
      </c>
      <c r="L24" s="14">
        <f t="shared" si="2"/>
        <v>6.2621680132253328</v>
      </c>
      <c r="M24" s="12">
        <f>(1-E24)*입력값!$B$6+(B24/입력값!$B$4)*입력값!$B$10+(A24/입력값!$B$4)*입력값!$B$14</f>
        <v>3224.4891428571427</v>
      </c>
      <c r="N24" s="12">
        <f>(1-E24)*입력값!$B$7+(B24/입력값!$B$4)*입력값!$B$11+(A24/입력값!$B$4)*입력값!$B$15</f>
        <v>4602.3542857142857</v>
      </c>
      <c r="O24" s="14">
        <f t="shared" si="3"/>
        <v>1.42731269413928</v>
      </c>
      <c r="P24" s="16">
        <f>IFERROR((B24*입력값!$B$19+A24*입력값!$B$21)/C24,"")</f>
        <v>3496.8500000000004</v>
      </c>
      <c r="Q24" s="16">
        <f>IFERROR((B24*입력값!$B$20+A24*입력값!$B$22)/C24,"")</f>
        <v>144.44999999999999</v>
      </c>
      <c r="R24" s="16">
        <f t="shared" si="4"/>
        <v>4.1308606317113965E-2</v>
      </c>
      <c r="S24" s="16">
        <f>IFERROR((1-E24)*입력값!$B$17+(B24/입력값!$B$4)*입력값!$B$19+(A24/입력값!$B$4)*입력값!$B$21,"")</f>
        <v>345.23039999999997</v>
      </c>
      <c r="T24" s="16">
        <f>IFERROR((1-E24)*입력값!$B$18+(B24/입력값!$B$4)*입력값!$B$20+(A24/입력값!$B$4)*입력값!$B$22,"")</f>
        <v>885.45479999999998</v>
      </c>
      <c r="U24" s="16">
        <f t="shared" si="5"/>
        <v>2.5648227966019217</v>
      </c>
      <c r="V24" s="11" t="str">
        <f>IF(L24&lt;입력값!$B$26,"YES","")</f>
        <v>YES</v>
      </c>
      <c r="W24" s="11" t="str">
        <f>IF(M24&lt;입력값!$B$27,"YES","")</f>
        <v/>
      </c>
      <c r="X24" s="11" t="str">
        <f>IF(N24&gt;입력값!$B$28,"YES","")</f>
        <v>YES</v>
      </c>
      <c r="Y24" s="11" t="str">
        <f>IF(O24&gt;입력값!$B$29,"YES","")</f>
        <v>YES</v>
      </c>
      <c r="Z24" s="11" t="str">
        <f>IF(AND(ISNUMBER(U24),U24&gt;=입력값!$B$30),"YES","")</f>
        <v>YES</v>
      </c>
      <c r="AA24" s="11" t="str">
        <f t="shared" si="6"/>
        <v>YES</v>
      </c>
      <c r="AB24" s="14">
        <f>입력값!$B$26</f>
        <v>7</v>
      </c>
      <c r="AC24" s="14">
        <f>입력값!$B$27</f>
        <v>554</v>
      </c>
      <c r="AD24" s="14">
        <f>입력값!$B$28</f>
        <v>4000</v>
      </c>
      <c r="AE24" s="14">
        <f>입력값!$B$29</f>
        <v>0.4</v>
      </c>
      <c r="AF24" s="21">
        <f>입력값!$B$30</f>
        <v>1.4</v>
      </c>
      <c r="AG24" s="4" t="str">
        <f t="shared" si="7"/>
        <v>혼합만으로도 경보 가능</v>
      </c>
    </row>
    <row r="25" spans="1:33">
      <c r="A25" s="12">
        <v>38</v>
      </c>
      <c r="B25" s="12">
        <f>입력값!$B$8</f>
        <v>108</v>
      </c>
      <c r="C25" s="12">
        <f t="shared" si="0"/>
        <v>146</v>
      </c>
      <c r="D25" s="13">
        <f t="shared" si="1"/>
        <v>0.26027397260273971</v>
      </c>
      <c r="E25" s="13">
        <f>C25/입력값!$B$4</f>
        <v>4.1714285714285718E-2</v>
      </c>
      <c r="F25" s="14">
        <f>((B25*입력값!$B$12)+(A25*입력값!$B$16))/입력값!$B$4/1000</f>
        <v>1.8674285714285714</v>
      </c>
      <c r="G25" s="14">
        <f>IF(C25=0,"N/A",입력값!$B$4/C25)</f>
        <v>23.972602739726028</v>
      </c>
      <c r="H25" s="14">
        <f>-LOG10((B25/C25)*10^(-입력값!$B$9)+(A25/C25)*10^(-입력값!$B$13))</f>
        <v>4.8837911592629126</v>
      </c>
      <c r="I25" s="12">
        <f>(B25*입력값!$B$10+A25*입력값!$B$14)/C25</f>
        <v>2410.027397260274</v>
      </c>
      <c r="J25" s="12">
        <f>(B25*입력값!$B$11+A25*입력값!$B$15)/C25</f>
        <v>84621.095890410958</v>
      </c>
      <c r="K25" s="15">
        <f>(1-E25)*10^(-입력값!$B$5)+(B25/입력값!$B$4)*10^(-입력값!$B$9)+(A25/입력값!$B$4)*10^(-입력값!$B$13)</f>
        <v>5.7542558296533261E-7</v>
      </c>
      <c r="L25" s="14">
        <f t="shared" si="2"/>
        <v>6.2400108336280216</v>
      </c>
      <c r="M25" s="12">
        <f>(1-E25)*입력값!$B$6+(B25/입력값!$B$4)*입력값!$B$10+(A25/입력값!$B$4)*입력값!$B$14</f>
        <v>3222.6274285714285</v>
      </c>
      <c r="N25" s="12">
        <f>(1-E25)*입력값!$B$7+(B25/입력값!$B$4)*입력값!$B$11+(A25/입력값!$B$4)*입력값!$B$15</f>
        <v>4785.2628571428568</v>
      </c>
      <c r="O25" s="14">
        <f t="shared" si="3"/>
        <v>1.4848948453418134</v>
      </c>
      <c r="P25" s="16">
        <f>IFERROR((B25*입력값!$B$19+A25*입력값!$B$21)/C25,"")</f>
        <v>3630.2493150684932</v>
      </c>
      <c r="Q25" s="16">
        <f>IFERROR((B25*입력값!$B$20+A25*입력값!$B$22)/C25,"")</f>
        <v>149.45753424657534</v>
      </c>
      <c r="R25" s="16">
        <f t="shared" si="4"/>
        <v>4.1170046813645764E-2</v>
      </c>
      <c r="S25" s="16">
        <f>IFERROR((1-E25)*입력값!$B$17+(B25/입력값!$B$4)*입력값!$B$19+(A25/입력값!$B$4)*입력값!$B$21,"")</f>
        <v>352.67325714285715</v>
      </c>
      <c r="T25" s="16">
        <f>IFERROR((1-E25)*입력값!$B$18+(B25/입력값!$B$4)*입력값!$B$20+(A25/입력값!$B$4)*입력값!$B$22,"")</f>
        <v>885.22208571428564</v>
      </c>
      <c r="U25" s="16">
        <f t="shared" si="5"/>
        <v>2.5100346220913181</v>
      </c>
      <c r="V25" s="11" t="str">
        <f>IF(L25&lt;입력값!$B$26,"YES","")</f>
        <v>YES</v>
      </c>
      <c r="W25" s="11" t="str">
        <f>IF(M25&lt;입력값!$B$27,"YES","")</f>
        <v/>
      </c>
      <c r="X25" s="11" t="str">
        <f>IF(N25&gt;입력값!$B$28,"YES","")</f>
        <v>YES</v>
      </c>
      <c r="Y25" s="11" t="str">
        <f>IF(O25&gt;입력값!$B$29,"YES","")</f>
        <v>YES</v>
      </c>
      <c r="Z25" s="11" t="str">
        <f>IF(AND(ISNUMBER(U25),U25&gt;=입력값!$B$30),"YES","")</f>
        <v>YES</v>
      </c>
      <c r="AA25" s="11" t="str">
        <f t="shared" si="6"/>
        <v>YES</v>
      </c>
      <c r="AB25" s="14">
        <f>입력값!$B$26</f>
        <v>7</v>
      </c>
      <c r="AC25" s="14">
        <f>입력값!$B$27</f>
        <v>554</v>
      </c>
      <c r="AD25" s="14">
        <f>입력값!$B$28</f>
        <v>4000</v>
      </c>
      <c r="AE25" s="14">
        <f>입력값!$B$29</f>
        <v>0.4</v>
      </c>
      <c r="AF25" s="21">
        <f>입력값!$B$30</f>
        <v>1.4</v>
      </c>
      <c r="AG25" s="4" t="str">
        <f t="shared" si="7"/>
        <v>혼합만으로도 경보 가능</v>
      </c>
    </row>
    <row r="26" spans="1:33">
      <c r="A26" s="12">
        <v>40</v>
      </c>
      <c r="B26" s="12">
        <f>입력값!$B$8</f>
        <v>108</v>
      </c>
      <c r="C26" s="12">
        <f t="shared" si="0"/>
        <v>148</v>
      </c>
      <c r="D26" s="13">
        <f t="shared" si="1"/>
        <v>0.27027027027027029</v>
      </c>
      <c r="E26" s="13">
        <f>C26/입력값!$B$4</f>
        <v>4.2285714285714288E-2</v>
      </c>
      <c r="F26" s="14">
        <f>((B26*입력값!$B$12)+(A26*입력값!$B$16))/입력값!$B$4/1000</f>
        <v>1.9657142857142857</v>
      </c>
      <c r="G26" s="14">
        <f>IF(C26=0,"N/A",입력값!$B$4/C26)</f>
        <v>23.648648648648649</v>
      </c>
      <c r="H26" s="14">
        <f>-LOG10((B26/C26)*10^(-입력값!$B$9)+(A26/C26)*10^(-입력값!$B$13))</f>
        <v>4.867462496066004</v>
      </c>
      <c r="I26" s="12">
        <f>(B26*입력값!$B$10+A26*입력값!$B$14)/C26</f>
        <v>2377.4594594594596</v>
      </c>
      <c r="J26" s="12">
        <f>(B26*입력값!$B$11+A26*입력값!$B$15)/C26</f>
        <v>87820.810810810814</v>
      </c>
      <c r="K26" s="15">
        <f>(1-E26)*10^(-입력값!$B$5)+(B26/입력값!$B$4)*10^(-입력값!$B$9)+(A26/입력값!$B$4)*10^(-입력값!$B$13)</f>
        <v>6.0404678330026147E-7</v>
      </c>
      <c r="L26" s="14">
        <f t="shared" si="2"/>
        <v>6.2189294240571353</v>
      </c>
      <c r="M26" s="12">
        <f>(1-E26)*입력값!$B$6+(B26/입력값!$B$4)*입력값!$B$10+(A26/입력값!$B$4)*입력값!$B$14</f>
        <v>3220.7657142857142</v>
      </c>
      <c r="N26" s="12">
        <f>(1-E26)*입력값!$B$7+(B26/입력값!$B$4)*입력값!$B$11+(A26/입력값!$B$4)*입력값!$B$15</f>
        <v>4968.1714285714288</v>
      </c>
      <c r="O26" s="14">
        <f t="shared" si="3"/>
        <v>1.5425435655052748</v>
      </c>
      <c r="P26" s="16">
        <f>IFERROR((B26*입력값!$B$19+A26*입력값!$B$21)/C26,"")</f>
        <v>3760.0432432432435</v>
      </c>
      <c r="Q26" s="16">
        <f>IFERROR((B26*입력값!$B$20+A26*입력값!$B$22)/C26,"")</f>
        <v>154.32972972972973</v>
      </c>
      <c r="R26" s="16">
        <f t="shared" si="4"/>
        <v>4.1044668836471114E-2</v>
      </c>
      <c r="S26" s="16">
        <f>IFERROR((1-E26)*입력값!$B$17+(B26/입력값!$B$4)*입력값!$B$19+(A26/입력값!$B$4)*입력값!$B$21,"")</f>
        <v>360.11611428571427</v>
      </c>
      <c r="T26" s="16">
        <f>IFERROR((1-E26)*입력값!$B$18+(B26/입력값!$B$4)*입력값!$B$20+(A26/입력값!$B$4)*입력값!$B$22,"")</f>
        <v>884.98937142857142</v>
      </c>
      <c r="U26" s="16">
        <f t="shared" si="5"/>
        <v>2.4575111646529249</v>
      </c>
      <c r="V26" s="11" t="str">
        <f>IF(L26&lt;입력값!$B$26,"YES","")</f>
        <v>YES</v>
      </c>
      <c r="W26" s="11" t="str">
        <f>IF(M26&lt;입력값!$B$27,"YES","")</f>
        <v/>
      </c>
      <c r="X26" s="11" t="str">
        <f>IF(N26&gt;입력값!$B$28,"YES","")</f>
        <v>YES</v>
      </c>
      <c r="Y26" s="11" t="str">
        <f>IF(O26&gt;입력값!$B$29,"YES","")</f>
        <v>YES</v>
      </c>
      <c r="Z26" s="11" t="str">
        <f>IF(AND(ISNUMBER(U26),U26&gt;=입력값!$B$30),"YES","")</f>
        <v>YES</v>
      </c>
      <c r="AA26" s="11" t="str">
        <f t="shared" si="6"/>
        <v>YES</v>
      </c>
      <c r="AB26" s="14">
        <f>입력값!$B$26</f>
        <v>7</v>
      </c>
      <c r="AC26" s="14">
        <f>입력값!$B$27</f>
        <v>554</v>
      </c>
      <c r="AD26" s="14">
        <f>입력값!$B$28</f>
        <v>4000</v>
      </c>
      <c r="AE26" s="14">
        <f>입력값!$B$29</f>
        <v>0.4</v>
      </c>
      <c r="AF26" s="21">
        <f>입력값!$B$30</f>
        <v>1.4</v>
      </c>
      <c r="AG26" s="4" t="str">
        <f t="shared" si="7"/>
        <v>혼합만으로도 경보 가능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zoomScale="115" zoomScaleNormal="115" workbookViewId="0">
      <selection activeCell="A34" sqref="A34"/>
    </sheetView>
  </sheetViews>
  <sheetFormatPr defaultRowHeight="14.25"/>
  <cols>
    <col min="1" max="3" width="15" customWidth="1"/>
    <col min="4" max="4" width="16" customWidth="1"/>
    <col min="5" max="6" width="15" customWidth="1"/>
    <col min="7" max="7" width="16" hidden="1" customWidth="1"/>
  </cols>
  <sheetData>
    <row r="1" spans="1:7" ht="15">
      <c r="A1" s="45" t="s">
        <v>78</v>
      </c>
      <c r="B1" s="45"/>
      <c r="C1" s="45"/>
      <c r="D1" s="45"/>
      <c r="E1" s="45"/>
      <c r="F1" s="45"/>
    </row>
    <row r="3" spans="1:7" ht="15">
      <c r="A3" s="23" t="s">
        <v>80</v>
      </c>
      <c r="B3" s="23" t="s">
        <v>81</v>
      </c>
      <c r="C3" s="23" t="s">
        <v>61</v>
      </c>
      <c r="D3" s="23" t="s">
        <v>111</v>
      </c>
      <c r="E3" s="39" t="s">
        <v>82</v>
      </c>
      <c r="F3" s="39" t="s">
        <v>83</v>
      </c>
      <c r="G3" s="20" t="s">
        <v>84</v>
      </c>
    </row>
    <row r="4" spans="1:7">
      <c r="A4">
        <f>시뮬레이션!A6</f>
        <v>0</v>
      </c>
      <c r="B4" s="16">
        <f>시뮬레이션!L6</f>
        <v>7.5000000000000009</v>
      </c>
      <c r="C4" s="16">
        <f>시뮬레이션!O6</f>
        <v>0.40208717004297112</v>
      </c>
      <c r="D4" s="16">
        <f>시뮬레이션!U6</f>
        <v>4.2111520809124725</v>
      </c>
      <c r="E4" s="16">
        <f>시뮬레이션!G6</f>
        <v>32.407407407407405</v>
      </c>
      <c r="F4" s="16">
        <f>시뮬레이션!F6</f>
        <v>0</v>
      </c>
      <c r="G4" s="16">
        <f>시뮬레이션!AF6</f>
        <v>1.4</v>
      </c>
    </row>
    <row r="5" spans="1:7">
      <c r="A5">
        <f>시뮬레이션!A7</f>
        <v>2</v>
      </c>
      <c r="B5" s="16">
        <f>시뮬레이션!L7</f>
        <v>7.2200863664120005</v>
      </c>
      <c r="C5" s="16">
        <f>시뮬레이션!O7</f>
        <v>0.45849053093919145</v>
      </c>
      <c r="D5" s="16">
        <f>시뮬레이션!U7</f>
        <v>4.0667741493832956</v>
      </c>
      <c r="E5" s="16">
        <f>시뮬레이션!G7</f>
        <v>31.818181818181817</v>
      </c>
      <c r="F5" s="16">
        <f>시뮬레이션!F7</f>
        <v>9.8285714285714296E-2</v>
      </c>
      <c r="G5" s="16">
        <f>시뮬레이션!AF7</f>
        <v>1.4</v>
      </c>
    </row>
    <row r="6" spans="1:7">
      <c r="A6">
        <f>시뮬레이션!A8</f>
        <v>4</v>
      </c>
      <c r="B6" s="16">
        <f>시뮬레이션!L8</f>
        <v>7.0512683884284471</v>
      </c>
      <c r="C6" s="16">
        <f>시뮬레이션!O8</f>
        <v>0.51495842657327928</v>
      </c>
      <c r="D6" s="16">
        <f>시뮬레이션!U8</f>
        <v>3.9318997294273301</v>
      </c>
      <c r="E6" s="16">
        <f>시뮬레이션!G8</f>
        <v>31.25</v>
      </c>
      <c r="F6" s="16">
        <f>시뮬레이션!F8</f>
        <v>0.19657142857142859</v>
      </c>
      <c r="G6" s="16">
        <f>시뮬레이션!AF8</f>
        <v>1.4</v>
      </c>
    </row>
    <row r="7" spans="1:7">
      <c r="A7">
        <f>시뮬레이션!A9</f>
        <v>6</v>
      </c>
      <c r="B7" s="16">
        <f>시뮬레이션!L9</f>
        <v>6.9300124863565919</v>
      </c>
      <c r="C7" s="16">
        <f>시뮬레이션!O9</f>
        <v>0.57149096776619257</v>
      </c>
      <c r="D7" s="16">
        <f>시뮬레이션!U9</f>
        <v>3.8056203828873456</v>
      </c>
      <c r="E7" s="16">
        <f>시뮬레이션!G9</f>
        <v>30.701754385964911</v>
      </c>
      <c r="F7" s="16">
        <f>시뮬레이션!F9</f>
        <v>0.29485714285714282</v>
      </c>
      <c r="G7" s="16">
        <f>시뮬레이션!AF9</f>
        <v>1.4</v>
      </c>
    </row>
    <row r="8" spans="1:7">
      <c r="A8">
        <f>시뮬레이션!A10</f>
        <v>8</v>
      </c>
      <c r="B8" s="16">
        <f>시뮬레이션!L10</f>
        <v>6.8353272585846199</v>
      </c>
      <c r="C8" s="16">
        <f>시뮬레이션!O10</f>
        <v>0.62808826559277475</v>
      </c>
      <c r="D8" s="16">
        <f>시뮬레이션!U10</f>
        <v>3.6871398794508909</v>
      </c>
      <c r="E8" s="16">
        <f>시뮬레이션!G10</f>
        <v>30.172413793103448</v>
      </c>
      <c r="F8" s="16">
        <f>시뮬레이션!F10</f>
        <v>0.39314285714285718</v>
      </c>
      <c r="G8" s="16">
        <f>시뮬레이션!AF10</f>
        <v>1.4</v>
      </c>
    </row>
    <row r="9" spans="1:7">
      <c r="A9">
        <f>시뮬레이션!A11</f>
        <v>10</v>
      </c>
      <c r="B9" s="16">
        <f>시뮬레이션!L11</f>
        <v>6.7576355597148083</v>
      </c>
      <c r="C9" s="16">
        <f>시뮬레이션!O11</f>
        <v>0.68475043138248182</v>
      </c>
      <c r="D9" s="16">
        <f>시뮬레이션!U11</f>
        <v>3.5757573910799714</v>
      </c>
      <c r="E9" s="16">
        <f>시뮬레이션!G11</f>
        <v>29.661016949152543</v>
      </c>
      <c r="F9" s="16">
        <f>시뮬레이션!F11</f>
        <v>0.49142857142857144</v>
      </c>
      <c r="G9" s="16">
        <f>시뮬레이션!AF11</f>
        <v>1.4</v>
      </c>
    </row>
    <row r="10" spans="1:7">
      <c r="A10">
        <f>시뮬레이션!A12</f>
        <v>12</v>
      </c>
      <c r="B10" s="16">
        <f>시뮬레이션!L12</f>
        <v>6.6917558689393228</v>
      </c>
      <c r="C10" s="16">
        <f>시뮬레이션!O12</f>
        <v>0.74147757672011305</v>
      </c>
      <c r="D10" s="16">
        <f>시뮬레이션!U12</f>
        <v>3.4708536189983681</v>
      </c>
      <c r="E10" s="16">
        <f>시뮬레이션!G12</f>
        <v>29.166666666666668</v>
      </c>
      <c r="F10" s="16">
        <f>시뮬레이션!F12</f>
        <v>0.58971428571428564</v>
      </c>
      <c r="G10" s="16">
        <f>시뮬레이션!AF12</f>
        <v>1.4</v>
      </c>
    </row>
    <row r="11" spans="1:7">
      <c r="A11">
        <f>시뮬레이션!A13</f>
        <v>14</v>
      </c>
      <c r="B11" s="16">
        <f>시뮬레이션!L13</f>
        <v>6.6345659702908799</v>
      </c>
      <c r="C11" s="16">
        <f>시뮬레이션!O13</f>
        <v>0.79826981344654246</v>
      </c>
      <c r="D11" s="16">
        <f>시뮬레이션!U13</f>
        <v>3.3718792730921101</v>
      </c>
      <c r="E11" s="16">
        <f>시뮬레이션!G13</f>
        <v>28.688524590163933</v>
      </c>
      <c r="F11" s="16">
        <f>시뮬레이션!F13</f>
        <v>0.68799999999999994</v>
      </c>
      <c r="G11" s="16">
        <f>시뮬레이션!AF13</f>
        <v>1.4</v>
      </c>
    </row>
    <row r="12" spans="1:7">
      <c r="A12">
        <f>시뮬레이션!A14</f>
        <v>16</v>
      </c>
      <c r="B12" s="16">
        <f>시뮬레이션!L14</f>
        <v>6.5840382888711417</v>
      </c>
      <c r="C12" s="16">
        <f>시뮬레이션!O14</f>
        <v>0.85512725365945463</v>
      </c>
      <c r="D12" s="16">
        <f>시뮬레이션!U14</f>
        <v>3.2783454511385441</v>
      </c>
      <c r="E12" s="16">
        <f>시뮬레이션!G14</f>
        <v>28.225806451612904</v>
      </c>
      <c r="F12" s="16">
        <f>시뮬레이션!F14</f>
        <v>0.78628571428571437</v>
      </c>
      <c r="G12" s="16">
        <f>시뮬레이션!AF14</f>
        <v>1.4</v>
      </c>
    </row>
    <row r="13" spans="1:7">
      <c r="A13">
        <f>시뮬레이션!A15</f>
        <v>18</v>
      </c>
      <c r="B13" s="16">
        <f>시뮬레이션!L15</f>
        <v>6.5387813192134114</v>
      </c>
      <c r="C13" s="16">
        <f>시뮬레이션!O15</f>
        <v>0.91205000971408157</v>
      </c>
      <c r="D13" s="16">
        <f>시뮬레이션!U15</f>
        <v>3.1898155621301041</v>
      </c>
      <c r="E13" s="16">
        <f>시뮬레이션!G15</f>
        <v>27.777777777777779</v>
      </c>
      <c r="F13" s="16">
        <f>시뮬레이션!F15</f>
        <v>0.88457142857142856</v>
      </c>
      <c r="G13" s="16">
        <f>시뮬레이션!AF15</f>
        <v>1.4</v>
      </c>
    </row>
    <row r="14" spans="1:7">
      <c r="A14">
        <f>시뮬레이션!A16</f>
        <v>20</v>
      </c>
      <c r="B14" s="16">
        <f>시뮬레이션!L16</f>
        <v>6.4977985806518648</v>
      </c>
      <c r="C14" s="16">
        <f>시뮬레이션!O16</f>
        <v>0.96903819422394388</v>
      </c>
      <c r="D14" s="16">
        <f>시뮬레이션!U16</f>
        <v>3.1058985121007328</v>
      </c>
      <c r="E14" s="16">
        <f>시뮬레이션!G16</f>
        <v>27.34375</v>
      </c>
      <c r="F14" s="16">
        <f>시뮬레이션!F16</f>
        <v>0.98285714285714287</v>
      </c>
      <c r="G14" s="16">
        <f>시뮬레이션!AF16</f>
        <v>1.4</v>
      </c>
    </row>
    <row r="15" spans="1:7">
      <c r="A15">
        <f>시뮬레이션!A17</f>
        <v>22</v>
      </c>
      <c r="B15" s="16">
        <f>시뮬레이션!L17</f>
        <v>6.4603519377719012</v>
      </c>
      <c r="C15" s="16">
        <f>시뮬레이션!O17</f>
        <v>1.0260919200615921</v>
      </c>
      <c r="D15" s="16">
        <f>시뮬레이션!U17</f>
        <v>3.0262429280620502</v>
      </c>
      <c r="E15" s="16">
        <f>시뮬레이션!G17</f>
        <v>26.923076923076923</v>
      </c>
      <c r="F15" s="16">
        <f>시뮬레이션!F17</f>
        <v>1.0811428571428572</v>
      </c>
      <c r="G15" s="16">
        <f>시뮬레이션!AF17</f>
        <v>1.4</v>
      </c>
    </row>
    <row r="16" spans="1:7">
      <c r="A16">
        <f>시뮬레이션!A18</f>
        <v>24</v>
      </c>
      <c r="B16" s="16">
        <f>시뮬레이션!L18</f>
        <v>6.4258793571553712</v>
      </c>
      <c r="C16" s="16">
        <f>시뮬레이션!O18</f>
        <v>1.0832113003593526</v>
      </c>
      <c r="D16" s="16">
        <f>시뮬레이션!U18</f>
        <v>2.9505322401080445</v>
      </c>
      <c r="E16" s="16">
        <f>시뮬레이션!G18</f>
        <v>26.515151515151516</v>
      </c>
      <c r="F16" s="16">
        <f>시뮬레이션!F18</f>
        <v>1.1794285714285713</v>
      </c>
      <c r="G16" s="16">
        <f>시뮬레이션!AF18</f>
        <v>1.4</v>
      </c>
    </row>
    <row r="17" spans="1:7">
      <c r="A17">
        <f>시뮬레이션!A19</f>
        <v>26</v>
      </c>
      <c r="B17" s="16">
        <f>시뮬레이션!L19</f>
        <v>6.3939429923369975</v>
      </c>
      <c r="C17" s="16">
        <f>시뮬레이션!O19</f>
        <v>1.1403964485100755</v>
      </c>
      <c r="D17" s="16">
        <f>시뮬레이션!U19</f>
        <v>2.8784804765316543</v>
      </c>
      <c r="E17" s="16">
        <f>시뮬레이션!G19</f>
        <v>26.119402985074625</v>
      </c>
      <c r="F17" s="16">
        <f>시뮬레이션!F19</f>
        <v>1.2777142857142858</v>
      </c>
      <c r="G17" s="16">
        <f>시뮬레이션!AF19</f>
        <v>1.4</v>
      </c>
    </row>
    <row r="18" spans="1:7">
      <c r="A18">
        <f>시뮬레이션!A20</f>
        <v>28</v>
      </c>
      <c r="B18" s="16">
        <f>시뮬레이션!L20</f>
        <v>6.3641950932798981</v>
      </c>
      <c r="C18" s="16">
        <f>시뮬레이션!O20</f>
        <v>1.1976474781678845</v>
      </c>
      <c r="D18" s="16">
        <f>시뮬레이션!U20</f>
        <v>2.8098286541949218</v>
      </c>
      <c r="E18" s="16">
        <f>시뮬레이션!G20</f>
        <v>25.735294117647058</v>
      </c>
      <c r="F18" s="16">
        <f>시뮬레이션!F20</f>
        <v>1.3759999999999999</v>
      </c>
      <c r="G18" s="16">
        <f>시뮬레이션!AF20</f>
        <v>1.4</v>
      </c>
    </row>
    <row r="19" spans="1:7">
      <c r="A19">
        <f>시뮬레이션!A21</f>
        <v>30</v>
      </c>
      <c r="B19" s="16">
        <f>시뮬레이션!L21</f>
        <v>6.3363548660749878</v>
      </c>
      <c r="C19" s="16">
        <f>시뮬레이션!O21</f>
        <v>1.2549645032489303</v>
      </c>
      <c r="D19" s="16">
        <f>시뮬레이션!U21</f>
        <v>2.7443416681089445</v>
      </c>
      <c r="E19" s="16">
        <f>시뮬레이션!G21</f>
        <v>25.362318840579711</v>
      </c>
      <c r="F19" s="16">
        <f>시뮬레이션!F21</f>
        <v>1.4742857142857142</v>
      </c>
      <c r="G19" s="16">
        <f>시뮬레이션!AF21</f>
        <v>1.4</v>
      </c>
    </row>
    <row r="20" spans="1:7">
      <c r="A20">
        <f>시뮬레이션!A22</f>
        <v>32</v>
      </c>
      <c r="B20" s="16">
        <f>시뮬레이션!L22</f>
        <v>6.3101923156701574</v>
      </c>
      <c r="C20" s="16">
        <f>시뮬레이션!O22</f>
        <v>1.3123476379321457</v>
      </c>
      <c r="D20" s="16">
        <f>시뮬레이션!U22</f>
        <v>2.681805601491221</v>
      </c>
      <c r="E20" s="16">
        <f>시뮬레이션!G22</f>
        <v>25</v>
      </c>
      <c r="F20" s="16">
        <f>시뮬레이션!F22</f>
        <v>1.5725714285714287</v>
      </c>
      <c r="G20" s="16">
        <f>시뮬레이션!AF22</f>
        <v>1.4</v>
      </c>
    </row>
    <row r="21" spans="1:7">
      <c r="A21">
        <f>시뮬레이션!A23</f>
        <v>34</v>
      </c>
      <c r="B21" s="16">
        <f>시뮬레이션!L23</f>
        <v>6.2855166862069982</v>
      </c>
      <c r="C21" s="16">
        <f>시뮬레이션!O23</f>
        <v>1.3697969966600037</v>
      </c>
      <c r="D21" s="16">
        <f>시뮬레이션!U23</f>
        <v>2.6220253914463898</v>
      </c>
      <c r="E21" s="16">
        <f>시뮬레이션!G23</f>
        <v>24.64788732394366</v>
      </c>
      <c r="F21" s="16">
        <f>시뮬레이션!F23</f>
        <v>1.6708571428571428</v>
      </c>
      <c r="G21" s="16">
        <f>시뮬레이션!AF23</f>
        <v>1.4</v>
      </c>
    </row>
    <row r="22" spans="1:7">
      <c r="A22">
        <f>시뮬레이션!A24</f>
        <v>36</v>
      </c>
      <c r="B22" s="16">
        <f>시뮬레이션!L24</f>
        <v>6.2621680132253328</v>
      </c>
      <c r="C22" s="16">
        <f>시뮬레이션!O24</f>
        <v>1.42731269413928</v>
      </c>
      <c r="D22" s="16">
        <f>시뮬레이션!U24</f>
        <v>2.5648227966019217</v>
      </c>
      <c r="E22" s="16">
        <f>시뮬레이션!G24</f>
        <v>24.305555555555557</v>
      </c>
      <c r="F22" s="16">
        <f>시뮬레이션!F24</f>
        <v>1.7691428571428571</v>
      </c>
      <c r="G22" s="16">
        <f>시뮬레이션!AF24</f>
        <v>1.4</v>
      </c>
    </row>
    <row r="23" spans="1:7">
      <c r="A23">
        <f>시뮬레이션!A25</f>
        <v>38</v>
      </c>
      <c r="B23" s="16">
        <f>시뮬레이션!L25</f>
        <v>6.2400108336280216</v>
      </c>
      <c r="C23" s="16">
        <f>시뮬레이션!O25</f>
        <v>1.4848948453418134</v>
      </c>
      <c r="D23" s="16">
        <f>시뮬레이션!U25</f>
        <v>2.5100346220913181</v>
      </c>
      <c r="E23" s="16">
        <f>시뮬레이션!G25</f>
        <v>23.972602739726028</v>
      </c>
      <c r="F23" s="16">
        <f>시뮬레이션!F25</f>
        <v>1.8674285714285714</v>
      </c>
      <c r="G23" s="16">
        <f>시뮬레이션!AF25</f>
        <v>1.4</v>
      </c>
    </row>
    <row r="24" spans="1:7">
      <c r="A24">
        <f>시뮬레이션!A26</f>
        <v>40</v>
      </c>
      <c r="B24" s="16">
        <f>시뮬레이션!L26</f>
        <v>6.2189294240571353</v>
      </c>
      <c r="C24" s="16">
        <f>시뮬레이션!O26</f>
        <v>1.5425435655052748</v>
      </c>
      <c r="D24" s="16">
        <f>시뮬레이션!U26</f>
        <v>2.4575111646529249</v>
      </c>
      <c r="E24" s="16">
        <f>시뮬레이션!G26</f>
        <v>23.648648648648649</v>
      </c>
      <c r="F24" s="16">
        <f>시뮬레이션!F26</f>
        <v>1.9657142857142857</v>
      </c>
      <c r="G24" s="16">
        <f>시뮬레이션!AF26</f>
        <v>1.4</v>
      </c>
    </row>
    <row r="29" spans="1:7">
      <c r="A29" s="46" t="s">
        <v>79</v>
      </c>
      <c r="B29" s="46"/>
      <c r="C29" s="46"/>
      <c r="D29" s="46"/>
      <c r="E29" s="46"/>
      <c r="F29" s="46"/>
    </row>
  </sheetData>
  <mergeCells count="2">
    <mergeCell ref="A1:F1"/>
    <mergeCell ref="A29:F29"/>
  </mergeCells>
  <phoneticPr fontId="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F9AD-5DAC-4BE8-BB6C-5F86F9E3EE93}">
  <dimension ref="B2:D6"/>
  <sheetViews>
    <sheetView workbookViewId="0">
      <selection activeCell="D9" sqref="D9"/>
    </sheetView>
  </sheetViews>
  <sheetFormatPr defaultRowHeight="14.25"/>
  <cols>
    <col min="1" max="1" width="3.625" customWidth="1"/>
    <col min="2" max="2" width="25.25" customWidth="1"/>
    <col min="3" max="3" width="36.25" customWidth="1"/>
    <col min="4" max="4" width="122.625" customWidth="1"/>
  </cols>
  <sheetData>
    <row r="2" spans="2:4" ht="15">
      <c r="B2" s="42" t="s">
        <v>95</v>
      </c>
      <c r="C2" s="42" t="s">
        <v>96</v>
      </c>
      <c r="D2" s="42" t="s">
        <v>97</v>
      </c>
    </row>
    <row r="3" spans="2:4" ht="30">
      <c r="B3" s="42" t="s">
        <v>101</v>
      </c>
      <c r="C3" s="42" t="s">
        <v>98</v>
      </c>
      <c r="D3" s="43" t="s">
        <v>102</v>
      </c>
    </row>
    <row r="4" spans="2:4" ht="45">
      <c r="B4" s="42" t="s">
        <v>103</v>
      </c>
      <c r="C4" s="42" t="s">
        <v>104</v>
      </c>
      <c r="D4" s="43" t="s">
        <v>105</v>
      </c>
    </row>
    <row r="5" spans="2:4" ht="45">
      <c r="B5" s="42" t="s">
        <v>99</v>
      </c>
      <c r="C5" s="42" t="s">
        <v>106</v>
      </c>
      <c r="D5" s="43" t="s">
        <v>107</v>
      </c>
    </row>
    <row r="6" spans="2:4" ht="60">
      <c r="B6" s="42" t="s">
        <v>100</v>
      </c>
      <c r="C6" s="42" t="s">
        <v>108</v>
      </c>
      <c r="D6" s="43" t="s">
        <v>109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입력값</vt:lpstr>
      <vt:lpstr>시뮬레이션</vt:lpstr>
      <vt:lpstr>차트데이터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박상혁(환경공학부)</cp:lastModifiedBy>
  <dcterms:modified xsi:type="dcterms:W3CDTF">2026-06-09T06:51:07Z</dcterms:modified>
</cp:coreProperties>
</file>